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ian\Downloads\"/>
    </mc:Choice>
  </mc:AlternateContent>
  <xr:revisionPtr revIDLastSave="0" documentId="13_ncr:1_{8FA22EC3-C6C7-4073-8DAA-A7A436198A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an_Data" sheetId="1" r:id="rId1"/>
    <sheet name="Cleaned_Loan_Data" sheetId="2" r:id="rId2"/>
    <sheet name="Data_Quality_Doc" sheetId="3" r:id="rId3"/>
  </sheets>
  <definedNames>
    <definedName name="_xlnm._FilterDatabase" localSheetId="1" hidden="1">Cleaned_Loan_Data!$A$1:$Z$1507</definedName>
    <definedName name="_xlnm._FilterDatabase" localSheetId="0" hidden="1">Loan_Data!$A$1:$Q$1546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2" i="2"/>
  <c r="AD3" i="2" a="1"/>
  <c r="AD3" i="2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7" i="2"/>
  <c r="U188" i="2"/>
  <c r="U189" i="2"/>
  <c r="U190" i="2"/>
  <c r="U191" i="2"/>
  <c r="U192" i="2"/>
  <c r="U193" i="2"/>
  <c r="U194" i="2"/>
  <c r="U195" i="2"/>
  <c r="U196" i="2"/>
  <c r="U197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5" i="2"/>
  <c r="U286" i="2"/>
  <c r="U287" i="2"/>
  <c r="U288" i="2"/>
  <c r="U289" i="2"/>
  <c r="U290" i="2"/>
  <c r="U291" i="2"/>
  <c r="U292" i="2"/>
  <c r="U293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3" i="2"/>
  <c r="U324" i="2"/>
  <c r="U325" i="2"/>
  <c r="U326" i="2"/>
  <c r="U327" i="2"/>
  <c r="U328" i="2"/>
  <c r="U329" i="2"/>
  <c r="U330" i="2"/>
  <c r="U331" i="2"/>
  <c r="U332" i="2"/>
  <c r="U334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9" i="2"/>
  <c r="U490" i="2"/>
  <c r="U491" i="2"/>
  <c r="U492" i="2"/>
  <c r="U493" i="2"/>
  <c r="U494" i="2"/>
  <c r="U495" i="2"/>
  <c r="U496" i="2"/>
  <c r="U498" i="2"/>
  <c r="U499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4" i="2"/>
  <c r="U615" i="2"/>
  <c r="U616" i="2"/>
  <c r="U617" i="2"/>
  <c r="U618" i="2"/>
  <c r="U619" i="2"/>
  <c r="U620" i="2"/>
  <c r="U621" i="2"/>
  <c r="U622" i="2"/>
  <c r="U623" i="2"/>
  <c r="U625" i="2"/>
  <c r="U626" i="2"/>
  <c r="U627" i="2"/>
  <c r="U628" i="2"/>
  <c r="U629" i="2"/>
  <c r="U630" i="2"/>
  <c r="U631" i="2"/>
  <c r="U632" i="2"/>
  <c r="U633" i="2"/>
  <c r="U634" i="2"/>
  <c r="U635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3" i="2"/>
  <c r="U724" i="2"/>
  <c r="U725" i="2"/>
  <c r="U726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2" i="2"/>
  <c r="U783" i="2"/>
  <c r="U784" i="2"/>
  <c r="U785" i="2"/>
  <c r="U786" i="2"/>
  <c r="U787" i="2"/>
  <c r="U788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2" i="2"/>
  <c r="U893" i="2"/>
  <c r="U894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1" i="2"/>
  <c r="U932" i="2"/>
  <c r="U933" i="2"/>
  <c r="U934" i="2"/>
  <c r="U935" i="2"/>
  <c r="U936" i="2"/>
  <c r="U937" i="2"/>
  <c r="U938" i="2"/>
  <c r="U939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3" i="2"/>
  <c r="U1044" i="2"/>
  <c r="U1045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5" i="2"/>
  <c r="U1146" i="2"/>
  <c r="U1147" i="2"/>
  <c r="U1148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30" i="2"/>
  <c r="U1231" i="2"/>
  <c r="U1232" i="2"/>
  <c r="U1233" i="2"/>
  <c r="U1234" i="2"/>
  <c r="U1235" i="2"/>
  <c r="U1236" i="2"/>
  <c r="U1237" i="2"/>
  <c r="U1238" i="2"/>
  <c r="U1240" i="2"/>
  <c r="U1241" i="2"/>
  <c r="U1242" i="2"/>
  <c r="U1243" i="2"/>
  <c r="U1244" i="2"/>
  <c r="U1245" i="2"/>
  <c r="U1246" i="2"/>
  <c r="U1247" i="2"/>
  <c r="U1248" i="2"/>
  <c r="U1249" i="2"/>
  <c r="U1250" i="2"/>
  <c r="U1252" i="2"/>
  <c r="U1253" i="2"/>
  <c r="U1254" i="2"/>
  <c r="U1255" i="2"/>
  <c r="U1256" i="2"/>
  <c r="U1257" i="2"/>
  <c r="U1258" i="2"/>
  <c r="U1259" i="2"/>
  <c r="U1260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4" i="2"/>
  <c r="U1455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7" i="2"/>
  <c r="U2" i="2"/>
  <c r="AD2" i="2" a="1"/>
  <c r="AD2" i="2" s="1"/>
  <c r="U219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AD1" i="2" a="1"/>
  <c r="AD1" i="2" s="1"/>
  <c r="E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2" i="2"/>
  <c r="B10" i="3"/>
  <c r="B9" i="3"/>
  <c r="B8" i="3"/>
  <c r="B7" i="3"/>
  <c r="B6" i="3"/>
  <c r="B4" i="3"/>
  <c r="B3" i="3"/>
  <c r="B2" i="3"/>
  <c r="U1506" i="2" l="1"/>
  <c r="U1282" i="2"/>
  <c r="U1042" i="2"/>
  <c r="U930" i="2"/>
  <c r="U722" i="2"/>
  <c r="U706" i="2"/>
  <c r="U322" i="2"/>
  <c r="U186" i="2"/>
  <c r="U497" i="2"/>
  <c r="U241" i="2"/>
  <c r="U153" i="2"/>
  <c r="U1456" i="2"/>
  <c r="U1192" i="2"/>
  <c r="U1144" i="2"/>
  <c r="U624" i="2"/>
  <c r="U488" i="2"/>
  <c r="U336" i="2"/>
  <c r="U72" i="2"/>
  <c r="U1239" i="2"/>
  <c r="U1063" i="2"/>
  <c r="U895" i="2"/>
  <c r="U743" i="2"/>
  <c r="U727" i="2"/>
  <c r="U335" i="2"/>
  <c r="U87" i="2"/>
  <c r="U1262" i="2"/>
  <c r="U1126" i="2"/>
  <c r="U1094" i="2"/>
  <c r="U1046" i="2"/>
  <c r="U446" i="2"/>
  <c r="U294" i="2"/>
  <c r="U198" i="2"/>
  <c r="U54" i="2"/>
  <c r="U1453" i="2"/>
  <c r="U1357" i="2"/>
  <c r="U1261" i="2"/>
  <c r="U1229" i="2"/>
  <c r="U1149" i="2"/>
  <c r="U845" i="2"/>
  <c r="U789" i="2"/>
  <c r="U781" i="2"/>
  <c r="U613" i="2"/>
  <c r="U421" i="2"/>
  <c r="U333" i="2"/>
  <c r="U117" i="2"/>
  <c r="U1420" i="2"/>
  <c r="U940" i="2"/>
  <c r="U636" i="2"/>
  <c r="U548" i="2"/>
  <c r="U500" i="2"/>
  <c r="U284" i="2"/>
  <c r="U1251" i="2"/>
  <c r="U1163" i="2"/>
  <c r="U1011" i="2"/>
  <c r="U89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<sst xmlns="http://schemas.openxmlformats.org/spreadsheetml/2006/main" count="24041" uniqueCount="4114">
  <si>
    <t>Loan_ID</t>
  </si>
  <si>
    <t>Customer_Name</t>
  </si>
  <si>
    <t>Age</t>
  </si>
  <si>
    <t>Gender</t>
  </si>
  <si>
    <t>County</t>
  </si>
  <si>
    <t>Employment_Status</t>
  </si>
  <si>
    <t>Employment_Length_Years</t>
  </si>
  <si>
    <t>Annual_Income_KES</t>
  </si>
  <si>
    <t>Loan_Amount_KES</t>
  </si>
  <si>
    <t>Interest_Rate_Percent</t>
  </si>
  <si>
    <t>Loan_Term_Months</t>
  </si>
  <si>
    <t>Loan_Purpose</t>
  </si>
  <si>
    <t>Credit_Score</t>
  </si>
  <si>
    <t>Num_Late_Payments</t>
  </si>
  <si>
    <t>Loan_Status</t>
  </si>
  <si>
    <t>Issue_Date</t>
  </si>
  <si>
    <t>Debt_To_Income_Ratio</t>
  </si>
  <si>
    <t>LN-00202</t>
  </si>
  <si>
    <t>LN-00686</t>
  </si>
  <si>
    <t>LN-01423</t>
  </si>
  <si>
    <t>LN-01136</t>
  </si>
  <si>
    <t>LN-00479</t>
  </si>
  <si>
    <t>LN-00680</t>
  </si>
  <si>
    <t>LN-01257</t>
  </si>
  <si>
    <t>LN-00161</t>
  </si>
  <si>
    <t>LN-00499</t>
  </si>
  <si>
    <t>LN-01250</t>
  </si>
  <si>
    <t>LN-01413</t>
  </si>
  <si>
    <t>LN-00087</t>
  </si>
  <si>
    <t>LN-01498</t>
  </si>
  <si>
    <t>LN-00308</t>
  </si>
  <si>
    <t>LN-00663</t>
  </si>
  <si>
    <t>LN-00019</t>
  </si>
  <si>
    <t>LN-00723</t>
  </si>
  <si>
    <t>LN-01231</t>
  </si>
  <si>
    <t>LN-00142</t>
  </si>
  <si>
    <t>LN-00454</t>
  </si>
  <si>
    <t>LN-01192</t>
  </si>
  <si>
    <t>LN-00330</t>
  </si>
  <si>
    <t>LN-01355</t>
  </si>
  <si>
    <t>LN-00739</t>
  </si>
  <si>
    <t>LN-00492</t>
  </si>
  <si>
    <t>LN-00656</t>
  </si>
  <si>
    <t>LN-01429</t>
  </si>
  <si>
    <t>LN-00309</t>
  </si>
  <si>
    <t>LN-00938</t>
  </si>
  <si>
    <t>LN-00288</t>
  </si>
  <si>
    <t>LN-01415</t>
  </si>
  <si>
    <t>LN-00468</t>
  </si>
  <si>
    <t>LN-00448</t>
  </si>
  <si>
    <t>LN-01117</t>
  </si>
  <si>
    <t>LN-01028</t>
  </si>
  <si>
    <t>LN-00637</t>
  </si>
  <si>
    <t>LN-00075</t>
  </si>
  <si>
    <t>LN-01481</t>
  </si>
  <si>
    <t>LN-00043</t>
  </si>
  <si>
    <t>LN-00261</t>
  </si>
  <si>
    <t>LN-00058</t>
  </si>
  <si>
    <t>LN-00982</t>
  </si>
  <si>
    <t>LN-00603</t>
  </si>
  <si>
    <t>LN-00839</t>
  </si>
  <si>
    <t>LN-00566</t>
  </si>
  <si>
    <t>LN-00645</t>
  </si>
  <si>
    <t>LN-00283</t>
  </si>
  <si>
    <t>LN-01484</t>
  </si>
  <si>
    <t>LN-01399</t>
  </si>
  <si>
    <t>LN-01197</t>
  </si>
  <si>
    <t>LN-00961</t>
  </si>
  <si>
    <t>LN-00254</t>
  </si>
  <si>
    <t>LN-00262</t>
  </si>
  <si>
    <t>LN-00569</t>
  </si>
  <si>
    <t>LN-01443</t>
  </si>
  <si>
    <t>LN-00807</t>
  </si>
  <si>
    <t>LN-00420</t>
  </si>
  <si>
    <t>LN-01431</t>
  </si>
  <si>
    <t>LN-00890</t>
  </si>
  <si>
    <t>LN-01161</t>
  </si>
  <si>
    <t>LN-00687</t>
  </si>
  <si>
    <t>LN-01032</t>
  </si>
  <si>
    <t>LN-00951</t>
  </si>
  <si>
    <t>LN-01170</t>
  </si>
  <si>
    <t>LN-00994</t>
  </si>
  <si>
    <t>LN-00489</t>
  </si>
  <si>
    <t>LN-01353</t>
  </si>
  <si>
    <t>LN-01166</t>
  </si>
  <si>
    <t>LN-00286</t>
  </si>
  <si>
    <t>LN-01159</t>
  </si>
  <si>
    <t>LN-01306</t>
  </si>
  <si>
    <t>LN-01361</t>
  </si>
  <si>
    <t>LN-01301</t>
  </si>
  <si>
    <t>LN-00526</t>
  </si>
  <si>
    <t>LN-00543</t>
  </si>
  <si>
    <t>LN-00579</t>
  </si>
  <si>
    <t>LN-00671</t>
  </si>
  <si>
    <t>LN-01103</t>
  </si>
  <si>
    <t>LN-01379</t>
  </si>
  <si>
    <t>LN-00809</t>
  </si>
  <si>
    <t>LN-01403</t>
  </si>
  <si>
    <t>LN-00708</t>
  </si>
  <si>
    <t>LN-00718</t>
  </si>
  <si>
    <t>LN-00781</t>
  </si>
  <si>
    <t>LN-01334</t>
  </si>
  <si>
    <t>LN-01468</t>
  </si>
  <si>
    <t>LN-01173</t>
  </si>
  <si>
    <t>LN-00383</t>
  </si>
  <si>
    <t>LN-00719</t>
  </si>
  <si>
    <t>LN-00208</t>
  </si>
  <si>
    <t>LN-01376</t>
  </si>
  <si>
    <t>LN-00157</t>
  </si>
  <si>
    <t>LN-00649</t>
  </si>
  <si>
    <t>LN-01249</t>
  </si>
  <si>
    <t>LN-00922</t>
  </si>
  <si>
    <t>LN-00505</t>
  </si>
  <si>
    <t>LN-00311</t>
  </si>
  <si>
    <t>LN-01396</t>
  </si>
  <si>
    <t>LN-00959</t>
  </si>
  <si>
    <t>LN-00665</t>
  </si>
  <si>
    <t>LN-01462</t>
  </si>
  <si>
    <t>LN-00212</t>
  </si>
  <si>
    <t>LN-01182</t>
  </si>
  <si>
    <t>LN-00044</t>
  </si>
  <si>
    <t>LN-01086</t>
  </si>
  <si>
    <t>LN-00305</t>
  </si>
  <si>
    <t>LN-01457</t>
  </si>
  <si>
    <t>LN-01397</t>
  </si>
  <si>
    <t>LN-00510</t>
  </si>
  <si>
    <t>LN-01194</t>
  </si>
  <si>
    <t>LN-00033</t>
  </si>
  <si>
    <t>LN-00406</t>
  </si>
  <si>
    <t>LN-01144</t>
  </si>
  <si>
    <t>LN-00802</t>
  </si>
  <si>
    <t>LN-00223</t>
  </si>
  <si>
    <t>LN-00597</t>
  </si>
  <si>
    <t>LN-00779</t>
  </si>
  <si>
    <t>LN-01040</t>
  </si>
  <si>
    <t>LN-00944</t>
  </si>
  <si>
    <t>LN-00173</t>
  </si>
  <si>
    <t>LN-01354</t>
  </si>
  <si>
    <t>LN-00914</t>
  </si>
  <si>
    <t>LN-00765</t>
  </si>
  <si>
    <t>LN-00192</t>
  </si>
  <si>
    <t>LN-00183</t>
  </si>
  <si>
    <t>LN-01007</t>
  </si>
  <si>
    <t>LN-01203</t>
  </si>
  <si>
    <t>LN-01195</t>
  </si>
  <si>
    <t>LN-01268</t>
  </si>
  <si>
    <t>LN-00884</t>
  </si>
  <si>
    <t>LN-01150</t>
  </si>
  <si>
    <t>LN-00726</t>
  </si>
  <si>
    <t>LN-00625</t>
  </si>
  <si>
    <t>LN-00542</t>
  </si>
  <si>
    <t>LN-00225</t>
  </si>
  <si>
    <t>LN-01451</t>
  </si>
  <si>
    <t>LN-00681</t>
  </si>
  <si>
    <t>LN-00629</t>
  </si>
  <si>
    <t>LN-00513</t>
  </si>
  <si>
    <t>LN-00530</t>
  </si>
  <si>
    <t>LN-00759</t>
  </si>
  <si>
    <t>LN-01081</t>
  </si>
  <si>
    <t>LN-00015</t>
  </si>
  <si>
    <t>LN-00127</t>
  </si>
  <si>
    <t>LN-01011</t>
  </si>
  <si>
    <t>LN-01089</t>
  </si>
  <si>
    <t>LN-01015</t>
  </si>
  <si>
    <t>LN-00293</t>
  </si>
  <si>
    <t>LN-00204</t>
  </si>
  <si>
    <t>LN-00725</t>
  </si>
  <si>
    <t>LN-00879</t>
  </si>
  <si>
    <t>LN-00397</t>
  </si>
  <si>
    <t>LN-01019</t>
  </si>
  <si>
    <t>LN-01253</t>
  </si>
  <si>
    <t>LN-01332</t>
  </si>
  <si>
    <t>LN-00267</t>
  </si>
  <si>
    <t>LN-00619</t>
  </si>
  <si>
    <t>LN-00460</t>
  </si>
  <si>
    <t>LN-01034</t>
  </si>
  <si>
    <t>LN-01450</t>
  </si>
  <si>
    <t>LN-01003</t>
  </si>
  <si>
    <t>LN-00132</t>
  </si>
  <si>
    <t>LN-01057</t>
  </si>
  <si>
    <t>LN-01470</t>
  </si>
  <si>
    <t>LN-01285</t>
  </si>
  <si>
    <t>LN-00976</t>
  </si>
  <si>
    <t>LN-01275</t>
  </si>
  <si>
    <t>LN-00063</t>
  </si>
  <si>
    <t>LN-00775</t>
  </si>
  <si>
    <t>LN-00301</t>
  </si>
  <si>
    <t>LN-00770</t>
  </si>
  <si>
    <t>LN-01205</t>
  </si>
  <si>
    <t>LN-00045</t>
  </si>
  <si>
    <t>LN-00613</t>
  </si>
  <si>
    <t>LN-00799</t>
  </si>
  <si>
    <t>LN-00997</t>
  </si>
  <si>
    <t>LN-00620</t>
  </si>
  <si>
    <t>LN-00387</t>
  </si>
  <si>
    <t>LN-00029</t>
  </si>
  <si>
    <t>LN-00432</t>
  </si>
  <si>
    <t>LN-00337</t>
  </si>
  <si>
    <t>LN-00373</t>
  </si>
  <si>
    <t>LN-00120</t>
  </si>
  <si>
    <t>LN-01036</t>
  </si>
  <si>
    <t>LN-01229</t>
  </si>
  <si>
    <t>LN-00676</t>
  </si>
  <si>
    <t>LN-01344</t>
  </si>
  <si>
    <t>LN-00516</t>
  </si>
  <si>
    <t>LN-00830</t>
  </si>
  <si>
    <t>LN-00866</t>
  </si>
  <si>
    <t>LN-00861</t>
  </si>
  <si>
    <t>LN-00108</t>
  </si>
  <si>
    <t>LN-00670</t>
  </si>
  <si>
    <t>LN-00007</t>
  </si>
  <si>
    <t>LN-01319</t>
  </si>
  <si>
    <t>LN-00996</t>
  </si>
  <si>
    <t>LN-00863</t>
  </si>
  <si>
    <t>LN-00147</t>
  </si>
  <si>
    <t>LN-01382</t>
  </si>
  <si>
    <t>LN-01165</t>
  </si>
  <si>
    <t>LN-00972</t>
  </si>
  <si>
    <t>LN-00588</t>
  </si>
  <si>
    <t>LN-00829</t>
  </si>
  <si>
    <t>LN-00521</t>
  </si>
  <si>
    <t>LN-00013</t>
  </si>
  <si>
    <t>LN-00130</t>
  </si>
  <si>
    <t>LN-00404</t>
  </si>
  <si>
    <t>LN-01258</t>
  </si>
  <si>
    <t>LN-00402</t>
  </si>
  <si>
    <t>LN-00153</t>
  </si>
  <si>
    <t>LN-01477</t>
  </si>
  <si>
    <t>LN-01227</t>
  </si>
  <si>
    <t>LN-00386</t>
  </si>
  <si>
    <t>LN-00064</t>
  </si>
  <si>
    <t>LN-01247</t>
  </si>
  <si>
    <t>LN-00209</t>
  </si>
  <si>
    <t>LN-01105</t>
  </si>
  <si>
    <t>LN-01061</t>
  </si>
  <si>
    <t>LN-00234</t>
  </si>
  <si>
    <t>LN-01307</t>
  </si>
  <si>
    <t>LN-00159</t>
  </si>
  <si>
    <t>LN-00867</t>
  </si>
  <si>
    <t>LN-00413</t>
  </si>
  <si>
    <t>LN-01006</t>
  </si>
  <si>
    <t>LN-00969</t>
  </si>
  <si>
    <t>LN-00145</t>
  </si>
  <si>
    <t>LN-01149</t>
  </si>
  <si>
    <t>LN-00577</t>
  </si>
  <si>
    <t>LN-00077</t>
  </si>
  <si>
    <t>LN-01303</t>
  </si>
  <si>
    <t>LN-00882</t>
  </si>
  <si>
    <t>LN-00235</t>
  </si>
  <si>
    <t>LN-00806</t>
  </si>
  <si>
    <t>LN-01479</t>
  </si>
  <si>
    <t>LN-00317</t>
  </si>
  <si>
    <t>LN-00444</t>
  </si>
  <si>
    <t>LN-00837</t>
  </si>
  <si>
    <t>LN-01383</t>
  </si>
  <si>
    <t>LN-00215</t>
  </si>
  <si>
    <t>LN-00639</t>
  </si>
  <si>
    <t>LN-00720</t>
  </si>
  <si>
    <t>LN-01263</t>
  </si>
  <si>
    <t>LN-00813</t>
  </si>
  <si>
    <t>LN-00604</t>
  </si>
  <si>
    <t>LN-00658</t>
  </si>
  <si>
    <t>LN-01175</t>
  </si>
  <si>
    <t>LN-01360</t>
  </si>
  <si>
    <t>LN-00641</t>
  </si>
  <si>
    <t>LN-01055</t>
  </si>
  <si>
    <t>LN-00003</t>
  </si>
  <si>
    <t>LN-00960</t>
  </si>
  <si>
    <t>LN-00443</t>
  </si>
  <si>
    <t>LN-00598</t>
  </si>
  <si>
    <t>LN-00503</t>
  </si>
  <si>
    <t>LN-01330</t>
  </si>
  <si>
    <t>LN-00854</t>
  </si>
  <si>
    <t>LN-00548</t>
  </si>
  <si>
    <t>LN-00117</t>
  </si>
  <si>
    <t>LN-00983</t>
  </si>
  <si>
    <t>LN-01072</t>
  </si>
  <si>
    <t>LN-00560</t>
  </si>
  <si>
    <t>LN-00486</t>
  </si>
  <si>
    <t>LN-00361</t>
  </si>
  <si>
    <t>LN-00296</t>
  </si>
  <si>
    <t>LN-00473</t>
  </si>
  <si>
    <t>LN-00945</t>
  </si>
  <si>
    <t>LN-01500</t>
  </si>
  <si>
    <t>LN-01304</t>
  </si>
  <si>
    <t>LN-00154</t>
  </si>
  <si>
    <t>LN-00274</t>
  </si>
  <si>
    <t>LN-00940</t>
  </si>
  <si>
    <t>LN-01358</t>
  </si>
  <si>
    <t>LN-00129</t>
  </si>
  <si>
    <t>LN-01414</t>
  </si>
  <si>
    <t>LN-00624</t>
  </si>
  <si>
    <t>LN-00697</t>
  </si>
  <si>
    <t>LN-00617</t>
  </si>
  <si>
    <t>LN-00041</t>
  </si>
  <si>
    <t>LN-00764</t>
  </si>
  <si>
    <t>LN-00793</t>
  </si>
  <si>
    <t>LN-01400</t>
  </si>
  <si>
    <t>LN-00178</t>
  </si>
  <si>
    <t>LN-00124</t>
  </si>
  <si>
    <t>LN-00125</t>
  </si>
  <si>
    <t>LN-01294</t>
  </si>
  <si>
    <t>LN-01331</t>
  </si>
  <si>
    <t>LN-00401</t>
  </si>
  <si>
    <t>LN-00679</t>
  </si>
  <si>
    <t>LN-00507</t>
  </si>
  <si>
    <t>LN-01487</t>
  </si>
  <si>
    <t>LN-00933</t>
  </si>
  <si>
    <t>LN-00616</t>
  </si>
  <si>
    <t>LN-00638</t>
  </si>
  <si>
    <t>LN-00644</t>
  </si>
  <si>
    <t>LN-00674</t>
  </si>
  <si>
    <t>LN-00334</t>
  </si>
  <si>
    <t>LN-00343</t>
  </si>
  <si>
    <t>LN-00743</t>
  </si>
  <si>
    <t>LN-00715</t>
  </si>
  <si>
    <t>LN-00052</t>
  </si>
  <si>
    <t>LN-01284</t>
  </si>
  <si>
    <t>LN-00196</t>
  </si>
  <si>
    <t>LN-01190</t>
  </si>
  <si>
    <t>LN-00881</t>
  </si>
  <si>
    <t>LN-01425</t>
  </si>
  <si>
    <t>LN-00352</t>
  </si>
  <si>
    <t>LN-00258</t>
  </si>
  <si>
    <t>LN-00601</t>
  </si>
  <si>
    <t>LN-00758</t>
  </si>
  <si>
    <t>LN-00668</t>
  </si>
  <si>
    <t>LN-00357</t>
  </si>
  <si>
    <t>LN-01180</t>
  </si>
  <si>
    <t>LN-00263</t>
  </si>
  <si>
    <t>LN-00320</t>
  </si>
  <si>
    <t>LN-00464</t>
  </si>
  <si>
    <t>LN-00580</t>
  </si>
  <si>
    <t>LN-00501</t>
  </si>
  <si>
    <t>LN-00563</t>
  </si>
  <si>
    <t>LN-00081</t>
  </si>
  <si>
    <t>LN-00339</t>
  </si>
  <si>
    <t>LN-00016</t>
  </si>
  <si>
    <t>LN-01293</t>
  </si>
  <si>
    <t>LN-00804</t>
  </si>
  <si>
    <t>LN-00437</t>
  </si>
  <si>
    <t>LN-00971</t>
  </si>
  <si>
    <t>LN-00066</t>
  </si>
  <si>
    <t>LN-01078</t>
  </si>
  <si>
    <t>LN-00384</t>
  </si>
  <si>
    <t>LN-00524</t>
  </si>
  <si>
    <t>LN-01404</t>
  </si>
  <si>
    <t>LN-00059</t>
  </si>
  <si>
    <t>LN-00962</t>
  </si>
  <si>
    <t>LN-00089</t>
  </si>
  <si>
    <t>LN-00054</t>
  </si>
  <si>
    <t>LN-00026</t>
  </si>
  <si>
    <t>LN-00772</t>
  </si>
  <si>
    <t>LN-00255</t>
  </si>
  <si>
    <t>LN-00599</t>
  </si>
  <si>
    <t>LN-00655</t>
  </si>
  <si>
    <t>LN-00390</t>
  </si>
  <si>
    <t>LN-00018</t>
  </si>
  <si>
    <t>LN-01471</t>
  </si>
  <si>
    <t>LN-00549</t>
  </si>
  <si>
    <t>LN-00852</t>
  </si>
  <si>
    <t>LN-00570</t>
  </si>
  <si>
    <t>LN-00947</t>
  </si>
  <si>
    <t>LN-00669</t>
  </si>
  <si>
    <t>LN-00682</t>
  </si>
  <si>
    <t>LN-00753</t>
  </si>
  <si>
    <t>LN-00987</t>
  </si>
  <si>
    <t>LN-00097</t>
  </si>
  <si>
    <t>LN-00457</t>
  </si>
  <si>
    <t>LN-00948</t>
  </si>
  <si>
    <t>LN-01436</t>
  </si>
  <si>
    <t>LN-01311</t>
  </si>
  <si>
    <t>LN-00351</t>
  </si>
  <si>
    <t>LN-00820</t>
  </si>
  <si>
    <t>LN-01426</t>
  </si>
  <si>
    <t>LN-00138</t>
  </si>
  <si>
    <t>LN-00250</t>
  </si>
  <si>
    <t>LN-00984</t>
  </si>
  <si>
    <t>LN-00364</t>
  </si>
  <si>
    <t>LN-00100</t>
  </si>
  <si>
    <t>LN-00366</t>
  </si>
  <si>
    <t>LN-00295</t>
  </si>
  <si>
    <t>LN-01375</t>
  </si>
  <si>
    <t>LN-00224</t>
  </si>
  <si>
    <t>LN-00155</t>
  </si>
  <si>
    <t>LN-01033</t>
  </si>
  <si>
    <t>LN-00800</t>
  </si>
  <si>
    <t>LN-01097</t>
  </si>
  <si>
    <t>LN-01364</t>
  </si>
  <si>
    <t>LN-01090</t>
  </si>
  <si>
    <t>LN-00952</t>
  </si>
  <si>
    <t>LN-01356</t>
  </si>
  <si>
    <t>LN-01437</t>
  </si>
  <si>
    <t>LN-01128</t>
  </si>
  <si>
    <t>LN-00531</t>
  </si>
  <si>
    <t>LN-00168</t>
  </si>
  <si>
    <t>LN-00535</t>
  </si>
  <si>
    <t>LN-00790</t>
  </si>
  <si>
    <t>LN-01420</t>
  </si>
  <si>
    <t>LN-00024</t>
  </si>
  <si>
    <t>LN-01478</t>
  </si>
  <si>
    <t>LN-00200</t>
  </si>
  <si>
    <t>LN-00848</t>
  </si>
  <si>
    <t>LN-00246</t>
  </si>
  <si>
    <t>LN-01050</t>
  </si>
  <si>
    <t>LN-01377</t>
  </si>
  <si>
    <t>LN-01289</t>
  </si>
  <si>
    <t>LN-00144</t>
  </si>
  <si>
    <t>LN-01073</t>
  </si>
  <si>
    <t>LN-00483</t>
  </si>
  <si>
    <t>LN-00378</t>
  </si>
  <si>
    <t>LN-00391</t>
  </si>
  <si>
    <t>LN-01387</t>
  </si>
  <si>
    <t>LN-00675</t>
  </si>
  <si>
    <t>LN-00529</t>
  </si>
  <si>
    <t>LN-00963</t>
  </si>
  <si>
    <t>LN-00833</t>
  </si>
  <si>
    <t>LN-00226</t>
  </si>
  <si>
    <t>LN-00672</t>
  </si>
  <si>
    <t>LN-00481</t>
  </si>
  <si>
    <t>LN-00272</t>
  </si>
  <si>
    <t>LN-00677</t>
  </si>
  <si>
    <t>LN-01071</t>
  </si>
  <si>
    <t>LN-00150</t>
  </si>
  <si>
    <t>LN-01235</t>
  </si>
  <si>
    <t>LN-00652</t>
  </si>
  <si>
    <t>LN-00792</t>
  </si>
  <si>
    <t>LN-00249</t>
  </si>
  <si>
    <t>LN-00832</t>
  </si>
  <si>
    <t>LN-01271</t>
  </si>
  <si>
    <t>LN-01091</t>
  </si>
  <si>
    <t>LN-00306</t>
  </si>
  <si>
    <t>LN-01147</t>
  </si>
  <si>
    <t>LN-00858</t>
  </si>
  <si>
    <t>LN-00377</t>
  </si>
  <si>
    <t>LN-00302</t>
  </si>
  <si>
    <t>LN-01212</t>
  </si>
  <si>
    <t>LN-00214</t>
  </si>
  <si>
    <t>LN-00828</t>
  </si>
  <si>
    <t>LN-00363</t>
  </si>
  <si>
    <t>LN-00520</t>
  </si>
  <si>
    <t>LN-01156</t>
  </si>
  <si>
    <t>LN-00102</t>
  </si>
  <si>
    <t>LN-00021</t>
  </si>
  <si>
    <t>LN-00023</t>
  </si>
  <si>
    <t>LN-01022</t>
  </si>
  <si>
    <t>LN-00694</t>
  </si>
  <si>
    <t>LN-00897</t>
  </si>
  <si>
    <t>LN-01445</t>
  </si>
  <si>
    <t>LN-00237</t>
  </si>
  <si>
    <t>LN-01010</t>
  </si>
  <si>
    <t>LN-00838</t>
  </si>
  <si>
    <t>LN-01373</t>
  </si>
  <si>
    <t>LN-00172</t>
  </si>
  <si>
    <t>LN-00782</t>
  </si>
  <si>
    <t>LN-01369</t>
  </si>
  <si>
    <t>LN-01490</t>
  </si>
  <si>
    <t>LN-00868</t>
  </si>
  <si>
    <t>LN-00571</t>
  </si>
  <si>
    <t>LN-00911</t>
  </si>
  <si>
    <t>LN-01466</t>
  </si>
  <si>
    <t>LN-01074</t>
  </si>
  <si>
    <t>LN-00977</t>
  </si>
  <si>
    <t>LN-00482</t>
  </si>
  <si>
    <t>LN-00318</t>
  </si>
  <si>
    <t>LN-00646</t>
  </si>
  <si>
    <t>LN-00368</t>
  </si>
  <si>
    <t>LN-00825</t>
  </si>
  <si>
    <t>LN-00300</t>
  </si>
  <si>
    <t>LN-01291</t>
  </si>
  <si>
    <t>LN-00049</t>
  </si>
  <si>
    <t>LN-01062</t>
  </si>
  <si>
    <t>LN-00260</t>
  </si>
  <si>
    <t>LN-00148</t>
  </si>
  <si>
    <t>LN-00135</t>
  </si>
  <si>
    <t>LN-00595</t>
  </si>
  <si>
    <t>LN-01368</t>
  </si>
  <si>
    <t>LN-01005</t>
  </si>
  <si>
    <t>LN-01021</t>
  </si>
  <si>
    <t>LN-00379</t>
  </si>
  <si>
    <t>LN-00618</t>
  </si>
  <si>
    <t>LN-00939</t>
  </si>
  <si>
    <t>LN-00194</t>
  </si>
  <si>
    <t>LN-00408</t>
  </si>
  <si>
    <t>LN-01318</t>
  </si>
  <si>
    <t>LN-01179</t>
  </si>
  <si>
    <t>LN-00031</t>
  </si>
  <si>
    <t>LN-00004</t>
  </si>
  <si>
    <t>LN-00137</t>
  </si>
  <si>
    <t>LN-01417</t>
  </si>
  <si>
    <t>LN-00496</t>
  </si>
  <si>
    <t>LN-00393</t>
  </si>
  <si>
    <t>LN-00116</t>
  </si>
  <si>
    <t>LN-01349</t>
  </si>
  <si>
    <t>LN-01363</t>
  </si>
  <si>
    <t>LN-00757</t>
  </si>
  <si>
    <t>LN-00817</t>
  </si>
  <si>
    <t>LN-01402</t>
  </si>
  <si>
    <t>LN-00853</t>
  </si>
  <si>
    <t>LN-00078</t>
  </si>
  <si>
    <t>LN-00279</t>
  </si>
  <si>
    <t>LN-00986</t>
  </si>
  <si>
    <t>LN-00727</t>
  </si>
  <si>
    <t>LN-00918</t>
  </si>
  <si>
    <t>LN-01290</t>
  </si>
  <si>
    <t>LN-00705</t>
  </si>
  <si>
    <t>LN-00789</t>
  </si>
  <si>
    <t>LN-00896</t>
  </si>
  <si>
    <t>LN-00822</t>
  </si>
  <si>
    <t>LN-00654</t>
  </si>
  <si>
    <t>LN-01198</t>
  </si>
  <si>
    <t>LN-00082</t>
  </si>
  <si>
    <t>LN-00847</t>
  </si>
  <si>
    <t>LN-00017</t>
  </si>
  <si>
    <t>LN-00203</t>
  </si>
  <si>
    <t>LN-00850</t>
  </si>
  <si>
    <t>LN-00141</t>
  </si>
  <si>
    <t>LN-00581</t>
  </si>
  <si>
    <t>LN-00924</t>
  </si>
  <si>
    <t>LN-01256</t>
  </si>
  <si>
    <t>LN-01163</t>
  </si>
  <si>
    <t>LN-00523</t>
  </si>
  <si>
    <t>LN-00788</t>
  </si>
  <si>
    <t>LN-00163</t>
  </si>
  <si>
    <t>LN-00114</t>
  </si>
  <si>
    <t>LN-00760</t>
  </si>
  <si>
    <t>LN-00905</t>
  </si>
  <si>
    <t>LN-00860</t>
  </si>
  <si>
    <t>LN-01357</t>
  </si>
  <si>
    <t>LN-00801</t>
  </si>
  <si>
    <t>LN-01299</t>
  </si>
  <si>
    <t>LN-00455</t>
  </si>
  <si>
    <t>LN-00431</t>
  </si>
  <si>
    <t>LN-00477</t>
  </si>
  <si>
    <t>LN-00561</t>
  </si>
  <si>
    <t>LN-00582</t>
  </si>
  <si>
    <t>LN-01044</t>
  </si>
  <si>
    <t>LN-00006</t>
  </si>
  <si>
    <t>LN-00537</t>
  </si>
  <si>
    <t>LN-00421</t>
  </si>
  <si>
    <t>LN-00370</t>
  </si>
  <si>
    <t>LN-00273</t>
  </si>
  <si>
    <t>LN-00103</t>
  </si>
  <si>
    <t>LN-00276</t>
  </si>
  <si>
    <t>LN-00270</t>
  </si>
  <si>
    <t>LN-00354</t>
  </si>
  <si>
    <t>LN-00767</t>
  </si>
  <si>
    <t>LN-00071</t>
  </si>
  <si>
    <t>LN-00467</t>
  </si>
  <si>
    <t>LN-00047</t>
  </si>
  <si>
    <t>LN-01252</t>
  </si>
  <si>
    <t>LN-00660</t>
  </si>
  <si>
    <t>LN-00398</t>
  </si>
  <si>
    <t>LN-00051</t>
  </si>
  <si>
    <t>LN-00409</t>
  </si>
  <si>
    <t>LN-00993</t>
  </si>
  <si>
    <t>LN-00540</t>
  </si>
  <si>
    <t>LN-00005</t>
  </si>
  <si>
    <t>LN-00517</t>
  </si>
  <si>
    <t>LN-00974</t>
  </si>
  <si>
    <t>LN-01272</t>
  </si>
  <si>
    <t>LN-00050</t>
  </si>
  <si>
    <t>LN-00533</t>
  </si>
  <si>
    <t>LN-00685</t>
  </si>
  <si>
    <t>LN-00626</t>
  </si>
  <si>
    <t>LN-01047</t>
  </si>
  <si>
    <t>LN-01199</t>
  </si>
  <si>
    <t>LN-00475</t>
  </si>
  <si>
    <t>LN-01127</t>
  </si>
  <si>
    <t>LN-00731</t>
  </si>
  <si>
    <t>LN-00359</t>
  </si>
  <si>
    <t>LN-01042</t>
  </si>
  <si>
    <t>LN-00435</t>
  </si>
  <si>
    <t>LN-00909</t>
  </si>
  <si>
    <t>LN-01476</t>
  </si>
  <si>
    <t>LN-01395</t>
  </si>
  <si>
    <t>LN-01013</t>
  </si>
  <si>
    <t>LN-00667</t>
  </si>
  <si>
    <t>LN-01143</t>
  </si>
  <si>
    <t>LN-01341</t>
  </si>
  <si>
    <t>LN-01216</t>
  </si>
  <si>
    <t>LN-00611</t>
  </si>
  <si>
    <t>LN-01206</t>
  </si>
  <si>
    <t>LN-01254</t>
  </si>
  <si>
    <t>LN-00899</t>
  </si>
  <si>
    <t>LN-00189</t>
  </si>
  <si>
    <t>LN-01407</t>
  </si>
  <si>
    <t>LN-00887</t>
  </si>
  <si>
    <t>LN-00586</t>
  </si>
  <si>
    <t>LN-01448</t>
  </si>
  <si>
    <t>LN-00344</t>
  </si>
  <si>
    <t>LN-00805</t>
  </si>
  <si>
    <t>LN-00008</t>
  </si>
  <si>
    <t>LN-01328</t>
  </si>
  <si>
    <t>LN-01035</t>
  </si>
  <si>
    <t>LN-00216</t>
  </si>
  <si>
    <t>LN-00110</t>
  </si>
  <si>
    <t>LN-00220</t>
  </si>
  <si>
    <t>LN-00814</t>
  </si>
  <si>
    <t>LN-00650</t>
  </si>
  <si>
    <t>LN-01125</t>
  </si>
  <si>
    <t>LN-00028</t>
  </si>
  <si>
    <t>LN-00231</t>
  </si>
  <si>
    <t>LN-00416</t>
  </si>
  <si>
    <t>LN-00053</t>
  </si>
  <si>
    <t>LN-01292</t>
  </si>
  <si>
    <t>LN-01052</t>
  </si>
  <si>
    <t>LN-00587</t>
  </si>
  <si>
    <t>LN-00698</t>
  </si>
  <si>
    <t>LN-00559</t>
  </si>
  <si>
    <t>LN-00197</t>
  </si>
  <si>
    <t>LN-00787</t>
  </si>
  <si>
    <t>LN-01046</t>
  </si>
  <si>
    <t>LN-00989</t>
  </si>
  <si>
    <t>LN-00065</t>
  </si>
  <si>
    <t>LN-01065</t>
  </si>
  <si>
    <t>LN-00070</t>
  </si>
  <si>
    <t>LN-00755</t>
  </si>
  <si>
    <t>LN-01305</t>
  </si>
  <si>
    <t>LN-01054</t>
  </si>
  <si>
    <t>LN-00380</t>
  </si>
  <si>
    <t>LN-00268</t>
  </si>
  <si>
    <t>LN-01393</t>
  </si>
  <si>
    <t>LN-00690</t>
  </si>
  <si>
    <t>LN-00139</t>
  </si>
  <si>
    <t>LN-00575</t>
  </si>
  <si>
    <t>LN-00219</t>
  </si>
  <si>
    <t>LN-01082</t>
  </si>
  <si>
    <t>LN-00358</t>
  </si>
  <si>
    <t>LN-00484</t>
  </si>
  <si>
    <t>LN-01058</t>
  </si>
  <si>
    <t>LN-00236</t>
  </si>
  <si>
    <t>LN-00702</t>
  </si>
  <si>
    <t>LN-00238</t>
  </si>
  <si>
    <t>LN-01008</t>
  </si>
  <si>
    <t>LN-01219</t>
  </si>
  <si>
    <t>LN-01320</t>
  </si>
  <si>
    <t>LN-01066</t>
  </si>
  <si>
    <t>LN-01323</t>
  </si>
  <si>
    <t>LN-00101</t>
  </si>
  <si>
    <t>LN-00591</t>
  </si>
  <si>
    <t>LN-00333</t>
  </si>
  <si>
    <t>LN-01009</t>
  </si>
  <si>
    <t>LN-00607</t>
  </si>
  <si>
    <t>LN-00979</t>
  </si>
  <si>
    <t>LN-00737</t>
  </si>
  <si>
    <t>LN-01381</t>
  </si>
  <si>
    <t>LN-00259</t>
  </si>
  <si>
    <t>LN-00769</t>
  </si>
  <si>
    <t>LN-01191</t>
  </si>
  <si>
    <t>LN-00888</t>
  </si>
  <si>
    <t>LN-01411</t>
  </si>
  <si>
    <t>LN-00877</t>
  </si>
  <si>
    <t>LN-00438</t>
  </si>
  <si>
    <t>LN-00553</t>
  </si>
  <si>
    <t>LN-00803</t>
  </si>
  <si>
    <t>LN-00073</t>
  </si>
  <si>
    <t>LN-00785</t>
  </si>
  <si>
    <t>LN-00085</t>
  </si>
  <si>
    <t>LN-00545</t>
  </si>
  <si>
    <t>LN-01366</t>
  </si>
  <si>
    <t>LN-00936</t>
  </si>
  <si>
    <t>LN-01048</t>
  </si>
  <si>
    <t>LN-00992</t>
  </si>
  <si>
    <t>LN-01340</t>
  </si>
  <si>
    <t>LN-01372</t>
  </si>
  <si>
    <t>LN-01151</t>
  </si>
  <si>
    <t>LN-00369</t>
  </si>
  <si>
    <t>LN-00451</t>
  </si>
  <si>
    <t>LN-00278</t>
  </si>
  <si>
    <t>LN-01129</t>
  </si>
  <si>
    <t>LN-01472</t>
  </si>
  <si>
    <t>LN-00704</t>
  </si>
  <si>
    <t>LN-01458</t>
  </si>
  <si>
    <t>LN-00572</t>
  </si>
  <si>
    <t>LN-01168</t>
  </si>
  <si>
    <t>LN-01142</t>
  </si>
  <si>
    <t>LN-00133</t>
  </si>
  <si>
    <t>LN-00092</t>
  </si>
  <si>
    <t>LN-01242</t>
  </si>
  <si>
    <t>LN-00594</t>
  </si>
  <si>
    <t>LN-00628</t>
  </si>
  <si>
    <t>LN-00429</t>
  </si>
  <si>
    <t>LN-01392</t>
  </si>
  <si>
    <t>LN-01187</t>
  </si>
  <si>
    <t>LN-00345</t>
  </si>
  <si>
    <t>LN-01333</t>
  </si>
  <si>
    <t>LN-00836</t>
  </si>
  <si>
    <t>LN-00713</t>
  </si>
  <si>
    <t>LN-00426</t>
  </si>
  <si>
    <t>LN-01348</t>
  </si>
  <si>
    <t>LN-00826</t>
  </si>
  <si>
    <t>LN-00181</t>
  </si>
  <si>
    <t>LN-01208</t>
  </si>
  <si>
    <t>LN-01100</t>
  </si>
  <si>
    <t>LN-01324</t>
  </si>
  <si>
    <t>LN-00107</t>
  </si>
  <si>
    <t>LN-00519</t>
  </si>
  <si>
    <t>LN-00717</t>
  </si>
  <si>
    <t>LN-00095</t>
  </si>
  <si>
    <t>LN-00777</t>
  </si>
  <si>
    <t>LN-00856</t>
  </si>
  <si>
    <t>LN-01325</t>
  </si>
  <si>
    <t>LN-00376</t>
  </si>
  <si>
    <t>LN-00823</t>
  </si>
  <si>
    <t>LN-00027</t>
  </si>
  <si>
    <t>LN-00721</t>
  </si>
  <si>
    <t>LN-00958</t>
  </si>
  <si>
    <t>LN-01398</t>
  </si>
  <si>
    <t>LN-01467</t>
  </si>
  <si>
    <t>LN-01286</t>
  </si>
  <si>
    <t>LN-00346</t>
  </si>
  <si>
    <t>LN-01439</t>
  </si>
  <si>
    <t>LN-00233</t>
  </si>
  <si>
    <t>LN-01438</t>
  </si>
  <si>
    <t>LN-00875</t>
  </si>
  <si>
    <t>LN-00567</t>
  </si>
  <si>
    <t>LN-01043</t>
  </si>
  <si>
    <t>LN-00696</t>
  </si>
  <si>
    <t>LN-01132</t>
  </si>
  <si>
    <t>LN-00289</t>
  </si>
  <si>
    <t>LN-00310</t>
  </si>
  <si>
    <t>LN-00365</t>
  </si>
  <si>
    <t>LN-00284</t>
  </si>
  <si>
    <t>LN-00819</t>
  </si>
  <si>
    <t>LN-00908</t>
  </si>
  <si>
    <t>LN-00079</t>
  </si>
  <si>
    <t>LN-00502</t>
  </si>
  <si>
    <t>LN-01238</t>
  </si>
  <si>
    <t>LN-00931</t>
  </si>
  <si>
    <t>LN-00528</t>
  </si>
  <si>
    <t>LN-00222</t>
  </si>
  <si>
    <t>LN-01106</t>
  </si>
  <si>
    <t>LN-00811</t>
  </si>
  <si>
    <t>LN-01384</t>
  </si>
  <si>
    <t>LN-00500</t>
  </si>
  <si>
    <t>LN-00282</t>
  </si>
  <si>
    <t>LN-00495</t>
  </si>
  <si>
    <t>LN-00966</t>
  </si>
  <si>
    <t>LN-00038</t>
  </si>
  <si>
    <t>LN-00707</t>
  </si>
  <si>
    <t>LN-01298</t>
  </si>
  <si>
    <t>LN-00485</t>
  </si>
  <si>
    <t>LN-00647</t>
  </si>
  <si>
    <t>LN-00106</t>
  </si>
  <si>
    <t>LN-01115</t>
  </si>
  <si>
    <t>LN-00734</t>
  </si>
  <si>
    <t>LN-00946</t>
  </si>
  <si>
    <t>LN-00126</t>
  </si>
  <si>
    <t>LN-00876</t>
  </si>
  <si>
    <t>LN-01283</t>
  </si>
  <si>
    <t>LN-00949</t>
  </si>
  <si>
    <t>LN-01051</t>
  </si>
  <si>
    <t>LN-00385</t>
  </si>
  <si>
    <t>LN-00913</t>
  </si>
  <si>
    <t>LN-00162</t>
  </si>
  <si>
    <t>LN-01112</t>
  </si>
  <si>
    <t>LN-00490</t>
  </si>
  <si>
    <t>LN-00712</t>
  </si>
  <si>
    <t>LN-01259</t>
  </si>
  <si>
    <t>LN-00374</t>
  </si>
  <si>
    <t>LN-00442</t>
  </si>
  <si>
    <t>LN-00632</t>
  </si>
  <si>
    <t>LN-01300</t>
  </si>
  <si>
    <t>LN-01316</t>
  </si>
  <si>
    <t>LN-00640</t>
  </si>
  <si>
    <t>LN-01038</t>
  </si>
  <si>
    <t>LN-01067</t>
  </si>
  <si>
    <t>LN-00375</t>
  </si>
  <si>
    <t>LN-00724</t>
  </si>
  <si>
    <t>LN-01488</t>
  </si>
  <si>
    <t>LN-01460</t>
  </si>
  <si>
    <t>LN-00999</t>
  </si>
  <si>
    <t>LN-00119</t>
  </si>
  <si>
    <t>LN-00917</t>
  </si>
  <si>
    <t>LN-00818</t>
  </si>
  <si>
    <t>LN-01486</t>
  </si>
  <si>
    <t>LN-00112</t>
  </si>
  <si>
    <t>LN-00841</t>
  </si>
  <si>
    <t>LN-00415</t>
  </si>
  <si>
    <t>LN-00943</t>
  </si>
  <si>
    <t>LN-00821</t>
  </si>
  <si>
    <t>LN-00771</t>
  </si>
  <si>
    <t>LN-00784</t>
  </si>
  <si>
    <t>LN-00128</t>
  </si>
  <si>
    <t>LN-01269</t>
  </si>
  <si>
    <t>LN-00954</t>
  </si>
  <si>
    <t>LN-00573</t>
  </si>
  <si>
    <t>LN-01262</t>
  </si>
  <si>
    <t>LN-00955</t>
  </si>
  <si>
    <t>LN-00673</t>
  </si>
  <si>
    <t>LN-01167</t>
  </si>
  <si>
    <t>LN-00400</t>
  </si>
  <si>
    <t>LN-01274</t>
  </si>
  <si>
    <t>LN-00552</t>
  </si>
  <si>
    <t>LN-00565</t>
  </si>
  <si>
    <t>LN-00175</t>
  </si>
  <si>
    <t>LN-00321</t>
  </si>
  <si>
    <t>LN-00525</t>
  </si>
  <si>
    <t>LN-00470</t>
  </si>
  <si>
    <t>LN-01244</t>
  </si>
  <si>
    <t>LN-01456</t>
  </si>
  <si>
    <t>LN-00859</t>
  </si>
  <si>
    <t>LN-00080</t>
  </si>
  <si>
    <t>LN-00534</t>
  </si>
  <si>
    <t>LN-01251</t>
  </si>
  <si>
    <t>LN-00458</t>
  </si>
  <si>
    <t>LN-00291</t>
  </si>
  <si>
    <t>LN-00371</t>
  </si>
  <si>
    <t>LN-00266</t>
  </si>
  <si>
    <t>LN-00589</t>
  </si>
  <si>
    <t>LN-00478</t>
  </si>
  <si>
    <t>LN-00165</t>
  </si>
  <si>
    <t>LN-01309</t>
  </si>
  <si>
    <t>LN-00094</t>
  </si>
  <si>
    <t>LN-00474</t>
  </si>
  <si>
    <t>LN-00198</t>
  </si>
  <si>
    <t>LN-00186</t>
  </si>
  <si>
    <t>LN-01018</t>
  </si>
  <si>
    <t>LN-00422</t>
  </si>
  <si>
    <t>LN-00452</t>
  </si>
  <si>
    <t>LN-00257</t>
  </si>
  <si>
    <t>LN-00136</t>
  </si>
  <si>
    <t>LN-01079</t>
  </si>
  <si>
    <t>LN-00895</t>
  </si>
  <si>
    <t>LN-00872</t>
  </si>
  <si>
    <t>LN-00584</t>
  </si>
  <si>
    <t>LN-01495</t>
  </si>
  <si>
    <t>LN-01380</t>
  </si>
  <si>
    <t>LN-01427</t>
  </si>
  <si>
    <t>LN-00342</t>
  </si>
  <si>
    <t>LN-00798</t>
  </si>
  <si>
    <t>LN-01264</t>
  </si>
  <si>
    <t>LN-00527</t>
  </si>
  <si>
    <t>LN-00968</t>
  </si>
  <si>
    <t>LN-01211</t>
  </si>
  <si>
    <t>LN-00683</t>
  </si>
  <si>
    <t>LN-00463</t>
  </si>
  <si>
    <t>LN-00904</t>
  </si>
  <si>
    <t>LN-00981</t>
  </si>
  <si>
    <t>LN-01312</t>
  </si>
  <si>
    <t>LN-00469</t>
  </si>
  <si>
    <t>LN-00648</t>
  </si>
  <si>
    <t>LN-01188</t>
  </si>
  <si>
    <t>LN-00034</t>
  </si>
  <si>
    <t>LN-00417</t>
  </si>
  <si>
    <t>LN-00810</t>
  </si>
  <si>
    <t>LN-00248</t>
  </si>
  <si>
    <t>LN-01424</t>
  </si>
  <si>
    <t>LN-00871</t>
  </si>
  <si>
    <t>LN-00440</t>
  </si>
  <si>
    <t>LN-01367</t>
  </si>
  <si>
    <t>LN-01162</t>
  </si>
  <si>
    <t>LN-00217</t>
  </si>
  <si>
    <t>LN-01109</t>
  </si>
  <si>
    <t>LN-00544</t>
  </si>
  <si>
    <t>LN-01137</t>
  </si>
  <si>
    <t>LN-01154</t>
  </si>
  <si>
    <t>LN-00494</t>
  </si>
  <si>
    <t>LN-01220</t>
  </si>
  <si>
    <t>LN-00465</t>
  </si>
  <si>
    <t>LN-00392</t>
  </si>
  <si>
    <t>LN-01336</t>
  </si>
  <si>
    <t>LN-00439</t>
  </si>
  <si>
    <t>LN-01483</t>
  </si>
  <si>
    <t>LN-00583</t>
  </si>
  <si>
    <t>LN-00885</t>
  </si>
  <si>
    <t>LN-00327</t>
  </si>
  <si>
    <t>LN-00227</t>
  </si>
  <si>
    <t>LN-00466</t>
  </si>
  <si>
    <t>LN-00554</t>
  </si>
  <si>
    <t>LN-00062</t>
  </si>
  <si>
    <t>LN-00419</t>
  </si>
  <si>
    <t>LN-01126</t>
  </si>
  <si>
    <t>LN-00709</t>
  </si>
  <si>
    <t>LN-01496</t>
  </si>
  <si>
    <t>LN-00539</t>
  </si>
  <si>
    <t>LN-00156</t>
  </si>
  <si>
    <t>LN-00797</t>
  </si>
  <si>
    <t>LN-01239</t>
  </si>
  <si>
    <t>LN-00991</t>
  </si>
  <si>
    <t>LN-01213</t>
  </si>
  <si>
    <t>LN-00083</t>
  </si>
  <si>
    <t>LN-01241</t>
  </si>
  <si>
    <t>LN-01385</t>
  </si>
  <si>
    <t>LN-00367</t>
  </si>
  <si>
    <t>LN-00978</t>
  </si>
  <si>
    <t>LN-00862</t>
  </si>
  <si>
    <t>LN-01088</t>
  </si>
  <si>
    <t>LN-00612</t>
  </si>
  <si>
    <t>LN-00349</t>
  </si>
  <si>
    <t>LN-01394</t>
  </si>
  <si>
    <t>LN-01391</t>
  </si>
  <si>
    <t>LN-00167</t>
  </si>
  <si>
    <t>LN-00857</t>
  </si>
  <si>
    <t>LN-01224</t>
  </si>
  <si>
    <t>LN-01455</t>
  </si>
  <si>
    <t>LN-00547</t>
  </si>
  <si>
    <t>LN-00205</t>
  </si>
  <si>
    <t>LN-01196</t>
  </si>
  <si>
    <t>LN-00710</t>
  </si>
  <si>
    <t>LN-00907</t>
  </si>
  <si>
    <t>LN-00606</t>
  </si>
  <si>
    <t>LN-01390</t>
  </si>
  <si>
    <t>LN-00187</t>
  </si>
  <si>
    <t>LN-00778</t>
  </si>
  <si>
    <t>LN-01491</t>
  </si>
  <si>
    <t>LN-01297</t>
  </si>
  <si>
    <t>LN-00010</t>
  </si>
  <si>
    <t>LN-00011</t>
  </si>
  <si>
    <t>LN-01171</t>
  </si>
  <si>
    <t>LN-00722</t>
  </si>
  <si>
    <t>LN-00631</t>
  </si>
  <si>
    <t>LN-00995</t>
  </si>
  <si>
    <t>LN-00747</t>
  </si>
  <si>
    <t>LN-01172</t>
  </si>
  <si>
    <t>LN-00556</t>
  </si>
  <si>
    <t>LN-00290</t>
  </si>
  <si>
    <t>LN-00729</t>
  </si>
  <si>
    <t>LN-00428</t>
  </si>
  <si>
    <t>LN-00562</t>
  </si>
  <si>
    <t>LN-00794</t>
  </si>
  <si>
    <t>LN-01276</t>
  </si>
  <si>
    <t>LN-01017</t>
  </si>
  <si>
    <t>LN-01111</t>
  </si>
  <si>
    <t>LN-00122</t>
  </si>
  <si>
    <t>LN-00657</t>
  </si>
  <si>
    <t>LN-01085</t>
  </si>
  <si>
    <t>LN-00768</t>
  </si>
  <si>
    <t>LN-00152</t>
  </si>
  <si>
    <t>LN-01177</t>
  </si>
  <si>
    <t>LN-00113</t>
  </si>
  <si>
    <t>LN-00834</t>
  </si>
  <si>
    <t>LN-01140</t>
  </si>
  <si>
    <t>LN-00424</t>
  </si>
  <si>
    <t>LN-00873</t>
  </si>
  <si>
    <t>LN-00915</t>
  </si>
  <si>
    <t>LN-00919</t>
  </si>
  <si>
    <t>LN-01236</t>
  </si>
  <si>
    <t>LN-00131</t>
  </si>
  <si>
    <t>LN-00462</t>
  </si>
  <si>
    <t>LN-00998</t>
  </si>
  <si>
    <t>LN-00851</t>
  </si>
  <si>
    <t>LN-00134</t>
  </si>
  <si>
    <t>LN-00001</t>
  </si>
  <si>
    <t>LN-01104</t>
  </si>
  <si>
    <t>LN-01225</t>
  </si>
  <si>
    <t>LN-01463</t>
  </si>
  <si>
    <t>LN-01215</t>
  </si>
  <si>
    <t>LN-00700</t>
  </si>
  <si>
    <t>LN-01053</t>
  </si>
  <si>
    <t>LN-01337</t>
  </si>
  <si>
    <t>LN-01014</t>
  </si>
  <si>
    <t>LN-01494</t>
  </si>
  <si>
    <t>LN-00412</t>
  </si>
  <si>
    <t>LN-00323</t>
  </si>
  <si>
    <t>LN-00002</t>
  </si>
  <si>
    <t>LN-00436</t>
  </si>
  <si>
    <t>LN-00957</t>
  </si>
  <si>
    <t>LN-00453</t>
  </si>
  <si>
    <t>LN-00039</t>
  </si>
  <si>
    <t>LN-00184</t>
  </si>
  <si>
    <t>LN-01133</t>
  </si>
  <si>
    <t>LN-00880</t>
  </si>
  <si>
    <t>LN-00218</t>
  </si>
  <si>
    <t>LN-01080</t>
  </si>
  <si>
    <t>LN-01031</t>
  </si>
  <si>
    <t>LN-00855</t>
  </si>
  <si>
    <t>LN-00307</t>
  </si>
  <si>
    <t>LN-00730</t>
  </si>
  <si>
    <t>LN-00441</t>
  </si>
  <si>
    <t>LN-01432</t>
  </si>
  <si>
    <t>LN-00550</t>
  </si>
  <si>
    <t>LN-00314</t>
  </si>
  <si>
    <t>LN-00970</t>
  </si>
  <si>
    <t>LN-01430</t>
  </si>
  <si>
    <t>LN-00701</t>
  </si>
  <si>
    <t>LN-00332</t>
  </si>
  <si>
    <t>LN-00037</t>
  </si>
  <si>
    <t>LN-00111</t>
  </si>
  <si>
    <t>LN-01130</t>
  </si>
  <si>
    <t>LN-00889</t>
  </si>
  <si>
    <t>LN-01245</t>
  </si>
  <si>
    <t>LN-00916</t>
  </si>
  <si>
    <t>LN-01233</t>
  </si>
  <si>
    <t>LN-00927</t>
  </si>
  <si>
    <t>LN-00746</t>
  </si>
  <si>
    <t>LN-00615</t>
  </si>
  <si>
    <t>LN-00776</t>
  </si>
  <si>
    <t>LN-01027</t>
  </si>
  <si>
    <t>LN-00714</t>
  </si>
  <si>
    <t>LN-00578</t>
  </si>
  <si>
    <t>LN-01260</t>
  </si>
  <si>
    <t>LN-00434</t>
  </si>
  <si>
    <t>LN-00164</t>
  </si>
  <si>
    <t>LN-00264</t>
  </si>
  <si>
    <t>LN-00232</t>
  </si>
  <si>
    <t>LN-00303</t>
  </si>
  <si>
    <t>LN-01270</t>
  </si>
  <si>
    <t>LN-00928</t>
  </si>
  <si>
    <t>LN-00176</t>
  </si>
  <si>
    <t>LN-01160</t>
  </si>
  <si>
    <t>LN-01480</t>
  </si>
  <si>
    <t>LN-01075</t>
  </si>
  <si>
    <t>LN-00072</t>
  </si>
  <si>
    <t>LN-00169</t>
  </si>
  <si>
    <t>LN-00456</t>
  </si>
  <si>
    <t>LN-00090</t>
  </si>
  <si>
    <t>LN-00118</t>
  </si>
  <si>
    <t>LN-00488</t>
  </si>
  <si>
    <t>LN-00322</t>
  </si>
  <si>
    <t>LN-01351</t>
  </si>
  <si>
    <t>LN-01441</t>
  </si>
  <si>
    <t>LN-01114</t>
  </si>
  <si>
    <t>LN-00242</t>
  </si>
  <si>
    <t>LN-00699</t>
  </si>
  <si>
    <t>LN-00842</t>
  </si>
  <si>
    <t>LN-01099</t>
  </si>
  <si>
    <t>LN-00703</t>
  </si>
  <si>
    <t>LN-01157</t>
  </si>
  <si>
    <t>LN-00585</t>
  </si>
  <si>
    <t>LN-00980</t>
  </si>
  <si>
    <t>LN-00693</t>
  </si>
  <si>
    <t>LN-00271</t>
  </si>
  <si>
    <t>LN-00596</t>
  </si>
  <si>
    <t>LN-00786</t>
  </si>
  <si>
    <t>LN-00497</t>
  </si>
  <si>
    <t>LN-00221</t>
  </si>
  <si>
    <t>LN-01295</t>
  </si>
  <si>
    <t>LN-00878</t>
  </si>
  <si>
    <t>LN-00921</t>
  </si>
  <si>
    <t>LN-01096</t>
  </si>
  <si>
    <t>LN-00985</t>
  </si>
  <si>
    <t>LN-01169</t>
  </si>
  <si>
    <t>LN-00313</t>
  </si>
  <si>
    <t>LN-00508</t>
  </si>
  <si>
    <t>LN-00394</t>
  </si>
  <si>
    <t>LN-00410</t>
  </si>
  <si>
    <t>LN-00678</t>
  </si>
  <si>
    <t>LN-00953</t>
  </si>
  <si>
    <t>LN-01452</t>
  </si>
  <si>
    <t>LN-00329</t>
  </si>
  <si>
    <t>LN-01037</t>
  </si>
  <si>
    <t>LN-00086</t>
  </si>
  <si>
    <t>LN-00084</t>
  </si>
  <si>
    <t>LN-00207</t>
  </si>
  <si>
    <t>LN-00104</t>
  </si>
  <si>
    <t>LN-00735</t>
  </si>
  <si>
    <t>LN-00695</t>
  </si>
  <si>
    <t>LN-00498</t>
  </si>
  <si>
    <t>LN-00328</t>
  </si>
  <si>
    <t>LN-00661</t>
  </si>
  <si>
    <t>LN-00347</t>
  </si>
  <si>
    <t>LN-00211</t>
  </si>
  <si>
    <t>LN-00568</t>
  </si>
  <si>
    <t>LN-00143</t>
  </si>
  <si>
    <t>LN-00515</t>
  </si>
  <si>
    <t>LN-01029</t>
  </si>
  <si>
    <t>LN-01069</t>
  </si>
  <si>
    <t>LN-00865</t>
  </si>
  <si>
    <t>LN-00892</t>
  </si>
  <si>
    <t>LN-00815</t>
  </si>
  <si>
    <t>LN-01214</t>
  </si>
  <si>
    <t>LN-00564</t>
  </si>
  <si>
    <t>LN-01308</t>
  </si>
  <si>
    <t>LN-00372</t>
  </si>
  <si>
    <t>LN-01012</t>
  </si>
  <si>
    <t>LN-00891</t>
  </si>
  <si>
    <t>LN-01255</t>
  </si>
  <si>
    <t>LN-00684</t>
  </si>
  <si>
    <t>LN-00633</t>
  </si>
  <si>
    <t>LN-00195</t>
  </si>
  <si>
    <t>LN-00514</t>
  </si>
  <si>
    <t>LN-00210</t>
  </si>
  <si>
    <t>LN-01001</t>
  </si>
  <si>
    <t>LN-00088</t>
  </si>
  <si>
    <t>LN-01200</t>
  </si>
  <si>
    <t>LN-00910</t>
  </si>
  <si>
    <t>LN-00191</t>
  </si>
  <si>
    <t>LN-00179</t>
  </si>
  <si>
    <t>LN-00557</t>
  </si>
  <si>
    <t>LN-01134</t>
  </si>
  <si>
    <t>LN-00745</t>
  </si>
  <si>
    <t>LN-01124</t>
  </si>
  <si>
    <t>LN-01098</t>
  </si>
  <si>
    <t>LN-00512</t>
  </si>
  <si>
    <t>LN-01277</t>
  </si>
  <si>
    <t>LN-00472</t>
  </si>
  <si>
    <t>LN-00399</t>
  </si>
  <si>
    <t>LN-00036</t>
  </si>
  <si>
    <t>LN-00206</t>
  </si>
  <si>
    <t>LN-00609</t>
  </si>
  <si>
    <t>LN-01321</t>
  </si>
  <si>
    <t>LN-01138</t>
  </si>
  <si>
    <t>LN-01068</t>
  </si>
  <si>
    <t>LN-00430</t>
  </si>
  <si>
    <t>LN-01267</t>
  </si>
  <si>
    <t>LN-00229</t>
  </si>
  <si>
    <t>LN-01004</t>
  </si>
  <si>
    <t>LN-01030</t>
  </si>
  <si>
    <t>LN-00728</t>
  </si>
  <si>
    <t>LN-00319</t>
  </si>
  <si>
    <t>LN-00630</t>
  </si>
  <si>
    <t>LN-00926</t>
  </si>
  <si>
    <t>LN-00894</t>
  </si>
  <si>
    <t>LN-01020</t>
  </si>
  <si>
    <t>LN-01418</t>
  </si>
  <si>
    <t>LN-00035</t>
  </si>
  <si>
    <t>LN-00076</t>
  </si>
  <si>
    <t>LN-00174</t>
  </si>
  <si>
    <t>LN-01406</t>
  </si>
  <si>
    <t>LN-01076</t>
  </si>
  <si>
    <t>LN-01234</t>
  </si>
  <si>
    <t>LN-01365</t>
  </si>
  <si>
    <t>LN-01464</t>
  </si>
  <si>
    <t>LN-00748</t>
  </si>
  <si>
    <t>LN-01421</t>
  </si>
  <si>
    <t>LN-00509</t>
  </si>
  <si>
    <t>LN-00711</t>
  </si>
  <si>
    <t>LN-00608</t>
  </si>
  <si>
    <t>LN-00388</t>
  </si>
  <si>
    <t>LN-01118</t>
  </si>
  <si>
    <t>LN-00752</t>
  </si>
  <si>
    <t>LN-00912</t>
  </si>
  <si>
    <t>LN-00149</t>
  </si>
  <si>
    <t>LN-00754</t>
  </si>
  <si>
    <t>LN-00403</t>
  </si>
  <si>
    <t>LN-00341</t>
  </si>
  <si>
    <t>LN-01296</t>
  </si>
  <si>
    <t>LN-00988</t>
  </si>
  <si>
    <t>LN-00201</t>
  </si>
  <si>
    <t>LN-01116</t>
  </si>
  <si>
    <t>LN-00733</t>
  </si>
  <si>
    <t>LN-00541</t>
  </si>
  <si>
    <t>LN-00692</t>
  </si>
  <si>
    <t>LN-00610</t>
  </si>
  <si>
    <t>LN-00956</t>
  </si>
  <si>
    <t>LN-00281</t>
  </si>
  <si>
    <t>LN-00411</t>
  </si>
  <si>
    <t>LN-01217</t>
  </si>
  <si>
    <t>LN-01314</t>
  </si>
  <si>
    <t>LN-01201</t>
  </si>
  <si>
    <t>LN-00688</t>
  </si>
  <si>
    <t>LN-00336</t>
  </si>
  <si>
    <t>LN-00643</t>
  </si>
  <si>
    <t>LN-00315</t>
  </si>
  <si>
    <t>LN-00783</t>
  </si>
  <si>
    <t>LN-01207</t>
  </si>
  <si>
    <t>LN-01473</t>
  </si>
  <si>
    <t>LN-01469</t>
  </si>
  <si>
    <t>LN-01335</t>
  </si>
  <si>
    <t>LN-00093</t>
  </si>
  <si>
    <t>LN-00835</t>
  </si>
  <si>
    <t>LN-00593</t>
  </si>
  <si>
    <t>LN-00920</t>
  </si>
  <si>
    <t>LN-00395</t>
  </si>
  <si>
    <t>LN-01326</t>
  </si>
  <si>
    <t>LN-01070</t>
  </si>
  <si>
    <t>LN-00576</t>
  </si>
  <si>
    <t>LN-00574</t>
  </si>
  <si>
    <t>LN-01281</t>
  </si>
  <si>
    <t>LN-00736</t>
  </si>
  <si>
    <t>LN-01371</t>
  </si>
  <si>
    <t>LN-00280</t>
  </si>
  <si>
    <t>LN-00338</t>
  </si>
  <si>
    <t>LN-00228</t>
  </si>
  <si>
    <t>LN-00009</t>
  </si>
  <si>
    <t>LN-01110</t>
  </si>
  <si>
    <t>LN-01327</t>
  </si>
  <si>
    <t>LN-01202</t>
  </si>
  <si>
    <t>LN-00069</t>
  </si>
  <si>
    <t>LN-01405</t>
  </si>
  <si>
    <t>LN-01121</t>
  </si>
  <si>
    <t>LN-01146</t>
  </si>
  <si>
    <t>LN-01181</t>
  </si>
  <si>
    <t>LN-01359</t>
  </si>
  <si>
    <t>LN-00025</t>
  </si>
  <si>
    <t>LN-00634</t>
  </si>
  <si>
    <t>LN-00471</t>
  </si>
  <si>
    <t>LN-00558</t>
  </si>
  <si>
    <t>LN-00294</t>
  </si>
  <si>
    <t>LN-00773</t>
  </si>
  <si>
    <t>LN-01459</t>
  </si>
  <si>
    <t>LN-01189</t>
  </si>
  <si>
    <t>LN-01023</t>
  </si>
  <si>
    <t>LN-00121</t>
  </si>
  <si>
    <t>LN-00906</t>
  </si>
  <si>
    <t>LN-00511</t>
  </si>
  <si>
    <t>LN-00180</t>
  </si>
  <si>
    <t>LN-01094</t>
  </si>
  <si>
    <t>LN-01184</t>
  </si>
  <si>
    <t>LN-00816</t>
  </si>
  <si>
    <t>LN-01493</t>
  </si>
  <si>
    <t>LN-00864</t>
  </si>
  <si>
    <t>LN-01083</t>
  </si>
  <si>
    <t>LN-01209</t>
  </si>
  <si>
    <t>LN-01346</t>
  </si>
  <si>
    <t>LN-00381</t>
  </si>
  <si>
    <t>LN-00605</t>
  </si>
  <si>
    <t>LN-01261</t>
  </si>
  <si>
    <t>LN-01342</t>
  </si>
  <si>
    <t>LN-00551</t>
  </si>
  <si>
    <t>LN-00252</t>
  </si>
  <si>
    <t>LN-01428</t>
  </si>
  <si>
    <t>LN-00213</t>
  </si>
  <si>
    <t>LN-01313</t>
  </si>
  <si>
    <t>LN-00331</t>
  </si>
  <si>
    <t>LN-00433</t>
  </si>
  <si>
    <t>LN-00277</t>
  </si>
  <si>
    <t>LN-01370</t>
  </si>
  <si>
    <t>LN-00292</t>
  </si>
  <si>
    <t>LN-00902</t>
  </si>
  <si>
    <t>LN-00449</t>
  </si>
  <si>
    <t>LN-01288</t>
  </si>
  <si>
    <t>LN-01338</t>
  </si>
  <si>
    <t>LN-00304</t>
  </si>
  <si>
    <t>LN-01317</t>
  </si>
  <si>
    <t>LN-01442</t>
  </si>
  <si>
    <t>LN-00941</t>
  </si>
  <si>
    <t>LN-00068</t>
  </si>
  <si>
    <t>LN-00020</t>
  </si>
  <si>
    <t>LN-00325</t>
  </si>
  <si>
    <t>LN-01409</t>
  </si>
  <si>
    <t>LN-00055</t>
  </si>
  <si>
    <t>LN-00964</t>
  </si>
  <si>
    <t>LN-00932</t>
  </si>
  <si>
    <t>LN-01446</t>
  </si>
  <si>
    <t>LN-00151</t>
  </si>
  <si>
    <t>LN-01278</t>
  </si>
  <si>
    <t>LN-01122</t>
  </si>
  <si>
    <t>LN-01287</t>
  </si>
  <si>
    <t>LN-01131</t>
  </si>
  <si>
    <t>LN-00744</t>
  </si>
  <si>
    <t>LN-00750</t>
  </si>
  <si>
    <t>LN-00756</t>
  </si>
  <si>
    <t>LN-01049</t>
  </si>
  <si>
    <t>LN-00812</t>
  </si>
  <si>
    <t>LN-00662</t>
  </si>
  <si>
    <t>LN-01408</t>
  </si>
  <si>
    <t>LN-01107</t>
  </si>
  <si>
    <t>LN-00256</t>
  </si>
  <si>
    <t>LN-00935</t>
  </si>
  <si>
    <t>LN-00870</t>
  </si>
  <si>
    <t>LN-01422</t>
  </si>
  <si>
    <t>LN-00893</t>
  </si>
  <si>
    <t>LN-00874</t>
  </si>
  <si>
    <t>LN-00614</t>
  </si>
  <si>
    <t>LN-01101</t>
  </si>
  <si>
    <t>LN-00389</t>
  </si>
  <si>
    <t>LN-00937</t>
  </si>
  <si>
    <t>LN-00407</t>
  </si>
  <si>
    <t>LN-00795</t>
  </si>
  <si>
    <t>LN-00716</t>
  </si>
  <si>
    <t>LN-01135</t>
  </si>
  <si>
    <t>LN-01024</t>
  </si>
  <si>
    <t>LN-01056</t>
  </si>
  <si>
    <t>LN-01347</t>
  </si>
  <si>
    <t>LN-00247</t>
  </si>
  <si>
    <t>LN-00146</t>
  </si>
  <si>
    <t>LN-01435</t>
  </si>
  <si>
    <t>LN-01153</t>
  </si>
  <si>
    <t>LN-01412</t>
  </si>
  <si>
    <t>LN-00623</t>
  </si>
  <si>
    <t>LN-00461</t>
  </si>
  <si>
    <t>LN-00487</t>
  </si>
  <si>
    <t>LN-01461</t>
  </si>
  <si>
    <t>LN-00091</t>
  </si>
  <si>
    <t>LN-01230</t>
  </si>
  <si>
    <t>LN-00493</t>
  </si>
  <si>
    <t>LN-00171</t>
  </si>
  <si>
    <t>LN-00057</t>
  </si>
  <si>
    <t>LN-00405</t>
  </si>
  <si>
    <t>LN-01266</t>
  </si>
  <si>
    <t>LN-00600</t>
  </si>
  <si>
    <t>LN-01016</t>
  </si>
  <si>
    <t>LN-00098</t>
  </si>
  <si>
    <t>LN-00827</t>
  </si>
  <si>
    <t>LN-01141</t>
  </si>
  <si>
    <t>LN-01226</t>
  </si>
  <si>
    <t>LN-00480</t>
  </si>
  <si>
    <t>LN-00324</t>
  </si>
  <si>
    <t>LN-01218</t>
  </si>
  <si>
    <t>LN-01374</t>
  </si>
  <si>
    <t>LN-00099</t>
  </si>
  <si>
    <t>LN-00425</t>
  </si>
  <si>
    <t>LN-00297</t>
  </si>
  <si>
    <t>LN-00738</t>
  </si>
  <si>
    <t>LN-01499</t>
  </si>
  <si>
    <t>LN-00903</t>
  </si>
  <si>
    <t>LN-00602</t>
  </si>
  <si>
    <t>LN-01000</t>
  </si>
  <si>
    <t>LN-01389</t>
  </si>
  <si>
    <t>LN-00396</t>
  </si>
  <si>
    <t>LN-00427</t>
  </si>
  <si>
    <t>LN-01433</t>
  </si>
  <si>
    <t>LN-01039</t>
  </si>
  <si>
    <t>LN-00253</t>
  </si>
  <si>
    <t>LN-00239</t>
  </si>
  <si>
    <t>LN-01145</t>
  </si>
  <si>
    <t>LN-00845</t>
  </si>
  <si>
    <t>LN-01310</t>
  </si>
  <si>
    <t>LN-00846</t>
  </si>
  <si>
    <t>LN-00555</t>
  </si>
  <si>
    <t>LN-01221</t>
  </si>
  <si>
    <t>LN-00546</t>
  </si>
  <si>
    <t>LN-00251</t>
  </si>
  <si>
    <t>LN-00740</t>
  </si>
  <si>
    <t>LN-00965</t>
  </si>
  <si>
    <t>LN-00199</t>
  </si>
  <si>
    <t>LN-00898</t>
  </si>
  <si>
    <t>LN-01343</t>
  </si>
  <si>
    <t>LN-01315</t>
  </si>
  <si>
    <t>LN-00990</t>
  </si>
  <si>
    <t>LN-01041</t>
  </si>
  <si>
    <t>LN-01183</t>
  </si>
  <si>
    <t>LN-00244</t>
  </si>
  <si>
    <t>LN-00067</t>
  </si>
  <si>
    <t>LN-01474</t>
  </si>
  <si>
    <t>LN-00934</t>
  </si>
  <si>
    <t>LN-00360</t>
  </si>
  <si>
    <t>LN-00096</t>
  </si>
  <si>
    <t>LN-00522</t>
  </si>
  <si>
    <t>LN-01434</t>
  </si>
  <si>
    <t>LN-00975</t>
  </si>
  <si>
    <t>LN-00666</t>
  </si>
  <si>
    <t>LN-00362</t>
  </si>
  <si>
    <t>LN-01176</t>
  </si>
  <si>
    <t>LN-01352</t>
  </si>
  <si>
    <t>LN-00312</t>
  </si>
  <si>
    <t>LN-01329</t>
  </si>
  <si>
    <t>LN-00843</t>
  </si>
  <si>
    <t>LN-00414</t>
  </si>
  <si>
    <t>LN-01158</t>
  </si>
  <si>
    <t>LN-00032</t>
  </si>
  <si>
    <t>LN-00766</t>
  </si>
  <si>
    <t>LN-00459</t>
  </si>
  <si>
    <t>LN-01186</t>
  </si>
  <si>
    <t>LN-00340</t>
  </si>
  <si>
    <t>LN-00287</t>
  </si>
  <si>
    <t>LN-01273</t>
  </si>
  <si>
    <t>LN-00950</t>
  </si>
  <si>
    <t>LN-00140</t>
  </si>
  <si>
    <t>LN-00849</t>
  </si>
  <si>
    <t>LN-01026</t>
  </si>
  <si>
    <t>LN-01232</t>
  </si>
  <si>
    <t>LN-01139</t>
  </si>
  <si>
    <t>LN-00901</t>
  </si>
  <si>
    <t>LN-00732</t>
  </si>
  <si>
    <t>LN-00265</t>
  </si>
  <si>
    <t>LN-00275</t>
  </si>
  <si>
    <t>LN-01095</t>
  </si>
  <si>
    <t>LN-00445</t>
  </si>
  <si>
    <t>LN-00040</t>
  </si>
  <si>
    <t>LN-01123</t>
  </si>
  <si>
    <t>LN-01265</t>
  </si>
  <si>
    <t>LN-00022</t>
  </si>
  <si>
    <t>LN-00706</t>
  </si>
  <si>
    <t>LN-00518</t>
  </si>
  <si>
    <t>LN-01174</t>
  </si>
  <si>
    <t>LN-00355</t>
  </si>
  <si>
    <t>LN-00298</t>
  </si>
  <si>
    <t>LN-01077</t>
  </si>
  <si>
    <t>LN-00840</t>
  </si>
  <si>
    <t>LN-01223</t>
  </si>
  <si>
    <t>LN-00925</t>
  </si>
  <si>
    <t>LN-00123</t>
  </si>
  <si>
    <t>LN-01228</t>
  </si>
  <si>
    <t>LN-01092</t>
  </si>
  <si>
    <t>LN-01248</t>
  </si>
  <si>
    <t>LN-01152</t>
  </si>
  <si>
    <t>LN-01164</t>
  </si>
  <si>
    <t>LN-00418</t>
  </si>
  <si>
    <t>LN-00967</t>
  </si>
  <si>
    <t>LN-01243</t>
  </si>
  <si>
    <t>LN-00158</t>
  </si>
  <si>
    <t>LN-01119</t>
  </si>
  <si>
    <t>LN-01280</t>
  </si>
  <si>
    <t>LN-01064</t>
  </si>
  <si>
    <t>LN-01155</t>
  </si>
  <si>
    <t>LN-00190</t>
  </si>
  <si>
    <t>LN-00590</t>
  </si>
  <si>
    <t>LN-00761</t>
  </si>
  <si>
    <t>LN-01063</t>
  </si>
  <si>
    <t>LN-00243</t>
  </si>
  <si>
    <t>LN-01378</t>
  </si>
  <si>
    <t>LN-00621</t>
  </si>
  <si>
    <t>LN-00651</t>
  </si>
  <si>
    <t>LN-00504</t>
  </si>
  <si>
    <t>LN-00923</t>
  </si>
  <si>
    <t>LN-00160</t>
  </si>
  <si>
    <t>LN-01419</t>
  </si>
  <si>
    <t>LN-00883</t>
  </si>
  <si>
    <t>LN-00538</t>
  </si>
  <si>
    <t>LN-00241</t>
  </si>
  <si>
    <t>LN-00014</t>
  </si>
  <si>
    <t>LN-00476</t>
  </si>
  <si>
    <t>LN-01465</t>
  </si>
  <si>
    <t>LN-01440</t>
  </si>
  <si>
    <t>LN-00929</t>
  </si>
  <si>
    <t>LN-01339</t>
  </si>
  <si>
    <t>LN-01386</t>
  </si>
  <si>
    <t>LN-01345</t>
  </si>
  <si>
    <t>LN-00796</t>
  </si>
  <si>
    <t>LN-00356</t>
  </si>
  <si>
    <t>LN-01059</t>
  </si>
  <si>
    <t>LN-00335</t>
  </si>
  <si>
    <t>LN-00689</t>
  </si>
  <si>
    <t>LN-01401</t>
  </si>
  <si>
    <t>LN-00185</t>
  </si>
  <si>
    <t>LN-00824</t>
  </si>
  <si>
    <t>LN-01447</t>
  </si>
  <si>
    <t>LN-01350</t>
  </si>
  <si>
    <t>LN-01002</t>
  </si>
  <si>
    <t>LN-00188</t>
  </si>
  <si>
    <t>LN-00942</t>
  </si>
  <si>
    <t>LN-00285</t>
  </si>
  <si>
    <t>LN-01416</t>
  </si>
  <si>
    <t>LN-00900</t>
  </si>
  <si>
    <t>LN-00166</t>
  </si>
  <si>
    <t>LN-00348</t>
  </si>
  <si>
    <t>LN-00299</t>
  </si>
  <si>
    <t>LN-00536</t>
  </si>
  <si>
    <t>LN-00230</t>
  </si>
  <si>
    <t>LN-00042</t>
  </si>
  <si>
    <t>LN-00869</t>
  </si>
  <si>
    <t>LN-00749</t>
  </si>
  <si>
    <t>LN-01489</t>
  </si>
  <si>
    <t>LN-00447</t>
  </si>
  <si>
    <t>LN-00350</t>
  </si>
  <si>
    <t>LN-00046</t>
  </si>
  <si>
    <t>LN-01492</t>
  </si>
  <si>
    <t>LN-00109</t>
  </si>
  <si>
    <t>LN-00030</t>
  </si>
  <si>
    <t>LN-00182</t>
  </si>
  <si>
    <t>LN-00622</t>
  </si>
  <si>
    <t>LN-01444</t>
  </si>
  <si>
    <t>LN-00105</t>
  </si>
  <si>
    <t>LN-00061</t>
  </si>
  <si>
    <t>LN-00659</t>
  </si>
  <si>
    <t>LN-01108</t>
  </si>
  <si>
    <t>LN-00491</t>
  </si>
  <si>
    <t>LN-00316</t>
  </si>
  <si>
    <t>LN-01475</t>
  </si>
  <si>
    <t>LN-00382</t>
  </si>
  <si>
    <t>LN-00423</t>
  </si>
  <si>
    <t>LN-01497</t>
  </si>
  <si>
    <t>LN-00446</t>
  </si>
  <si>
    <t>LN-00664</t>
  </si>
  <si>
    <t>LN-01025</t>
  </si>
  <si>
    <t>LN-00780</t>
  </si>
  <si>
    <t>LN-00627</t>
  </si>
  <si>
    <t>LN-01482</t>
  </si>
  <si>
    <t>LN-01113</t>
  </si>
  <si>
    <t>LN-01485</t>
  </si>
  <si>
    <t>LN-01102</t>
  </si>
  <si>
    <t>LN-00269</t>
  </si>
  <si>
    <t>LN-00930</t>
  </si>
  <si>
    <t>LN-01148</t>
  </si>
  <si>
    <t>LN-01322</t>
  </si>
  <si>
    <t>LN-01120</t>
  </si>
  <si>
    <t>LN-00012</t>
  </si>
  <si>
    <t>LN-00115</t>
  </si>
  <si>
    <t>LN-00844</t>
  </si>
  <si>
    <t>LN-01453</t>
  </si>
  <si>
    <t>LN-01282</t>
  </si>
  <si>
    <t>LN-00353</t>
  </si>
  <si>
    <t>LN-00774</t>
  </si>
  <si>
    <t>LN-00691</t>
  </si>
  <si>
    <t>LN-00791</t>
  </si>
  <si>
    <t>LN-00532</t>
  </si>
  <si>
    <t>LN-00170</t>
  </si>
  <si>
    <t>LN-00240</t>
  </si>
  <si>
    <t>LN-01302</t>
  </si>
  <si>
    <t>LN-01185</t>
  </si>
  <si>
    <t>LN-00074</t>
  </si>
  <si>
    <t>LN-01087</t>
  </si>
  <si>
    <t>LN-00762</t>
  </si>
  <si>
    <t>LN-00741</t>
  </si>
  <si>
    <t>LN-00751</t>
  </si>
  <si>
    <t>LN-00742</t>
  </si>
  <si>
    <t>LN-00831</t>
  </si>
  <si>
    <t>LN-00048</t>
  </si>
  <si>
    <t>LN-00763</t>
  </si>
  <si>
    <t>LN-00592</t>
  </si>
  <si>
    <t>LN-00808</t>
  </si>
  <si>
    <t>LN-01084</t>
  </si>
  <si>
    <t>LN-00506</t>
  </si>
  <si>
    <t>LN-01045</t>
  </si>
  <si>
    <t>LN-01449</t>
  </si>
  <si>
    <t>LN-00653</t>
  </si>
  <si>
    <t>LN-00193</t>
  </si>
  <si>
    <t>LN-01240</t>
  </si>
  <si>
    <t>LN-00245</t>
  </si>
  <si>
    <t>LN-01388</t>
  </si>
  <si>
    <t>LN-00060</t>
  </si>
  <si>
    <t>LN-01246</t>
  </si>
  <si>
    <t>LN-00177</t>
  </si>
  <si>
    <t>LN-00450</t>
  </si>
  <si>
    <t>LN-00056</t>
  </si>
  <si>
    <t>LN-01279</t>
  </si>
  <si>
    <t>LN-01410</t>
  </si>
  <si>
    <t>LN-01222</t>
  </si>
  <si>
    <t>LN-01093</t>
  </si>
  <si>
    <t>LN-01193</t>
  </si>
  <si>
    <t>LN-01210</t>
  </si>
  <si>
    <t>LN-01060</t>
  </si>
  <si>
    <t>LN-00642</t>
  </si>
  <si>
    <t>Carl West</t>
  </si>
  <si>
    <t>Misty Anderson</t>
  </si>
  <si>
    <t>Albert Bailey</t>
  </si>
  <si>
    <t>Emily Barnes</t>
  </si>
  <si>
    <t>Troy Carrillo IV</t>
  </si>
  <si>
    <t>Gerald Mason</t>
  </si>
  <si>
    <t>George Bass</t>
  </si>
  <si>
    <t>Tyler Gillespie</t>
  </si>
  <si>
    <t>Robert Randall</t>
  </si>
  <si>
    <t>Nancy Fields</t>
  </si>
  <si>
    <t>Paul Williams</t>
  </si>
  <si>
    <t>Michael Mckee</t>
  </si>
  <si>
    <t>Ashley Stout</t>
  </si>
  <si>
    <t>Meagan Fernandez</t>
  </si>
  <si>
    <t>Kelly Gomez</t>
  </si>
  <si>
    <t>Shawn Wong DDS</t>
  </si>
  <si>
    <t>Casey Hall</t>
  </si>
  <si>
    <t>Terri Kim</t>
  </si>
  <si>
    <t>Jennifer Booker</t>
  </si>
  <si>
    <t>Jamie Savage</t>
  </si>
  <si>
    <t>Tiffany Chavez</t>
  </si>
  <si>
    <t>Randy Williams</t>
  </si>
  <si>
    <t>Michael Herrera</t>
  </si>
  <si>
    <t>Leslie Rich</t>
  </si>
  <si>
    <t>Robert Sellers MD</t>
  </si>
  <si>
    <t>Mark Guerrero</t>
  </si>
  <si>
    <t>Austin Joyce</t>
  </si>
  <si>
    <t>Sandra Johnson</t>
  </si>
  <si>
    <t>Brenda Pitts</t>
  </si>
  <si>
    <t>Christian Douglas</t>
  </si>
  <si>
    <t>Janet Johnson</t>
  </si>
  <si>
    <t>Samuel Smith</t>
  </si>
  <si>
    <t>Joseph Cortez MD</t>
  </si>
  <si>
    <t>Richard Gonzalez</t>
  </si>
  <si>
    <t>Steven Hernandez</t>
  </si>
  <si>
    <t>Scott Pham</t>
  </si>
  <si>
    <t>Matthew Salazar</t>
  </si>
  <si>
    <t>Susan Taylor</t>
  </si>
  <si>
    <t>Megan Franklin</t>
  </si>
  <si>
    <t>Timothy Jacobson</t>
  </si>
  <si>
    <t>Jessica Ramsey</t>
  </si>
  <si>
    <t>Jade Miles</t>
  </si>
  <si>
    <t>Crystal Ramos</t>
  </si>
  <si>
    <t>Amanda Smith</t>
  </si>
  <si>
    <t>Thomas Willis</t>
  </si>
  <si>
    <t>Maria Taylor</t>
  </si>
  <si>
    <t>Jasmine Villa</t>
  </si>
  <si>
    <t>Anita Frey</t>
  </si>
  <si>
    <t>Charles Young</t>
  </si>
  <si>
    <t>Michele Pennington</t>
  </si>
  <si>
    <t>Alexandra George</t>
  </si>
  <si>
    <t>Phillip Velazquez</t>
  </si>
  <si>
    <t>Mary Willis</t>
  </si>
  <si>
    <t>Jacqueline Terry</t>
  </si>
  <si>
    <t>Dr. William Mack</t>
  </si>
  <si>
    <t>Victoria Smith</t>
  </si>
  <si>
    <t>Leslie Long</t>
  </si>
  <si>
    <t>Bill Forbes</t>
  </si>
  <si>
    <t>Teresa Smith</t>
  </si>
  <si>
    <t>Brian Duffy</t>
  </si>
  <si>
    <t>Ryan Kelly</t>
  </si>
  <si>
    <t>Brandon Salazar</t>
  </si>
  <si>
    <t>Hannah Johnson</t>
  </si>
  <si>
    <t>Stephen Mckinney</t>
  </si>
  <si>
    <t>Emma Miranda</t>
  </si>
  <si>
    <t>Matthew Daniels</t>
  </si>
  <si>
    <t>Brooke Cantu</t>
  </si>
  <si>
    <t>Katherine Thompson</t>
  </si>
  <si>
    <t>John Smith</t>
  </si>
  <si>
    <t>Anthony Mcclain DVM</t>
  </si>
  <si>
    <t>Michael Adams Jr.</t>
  </si>
  <si>
    <t>Joshua Perry</t>
  </si>
  <si>
    <t>Aaron Flowers</t>
  </si>
  <si>
    <t>Michael Little</t>
  </si>
  <si>
    <t>Kaitlin Owens</t>
  </si>
  <si>
    <t>Adam Trujillo</t>
  </si>
  <si>
    <t>Erica Curry</t>
  </si>
  <si>
    <t>Michael Scott</t>
  </si>
  <si>
    <t>Ms. Nicole Hahn DDS</t>
  </si>
  <si>
    <t>Frank Gregory</t>
  </si>
  <si>
    <t>John Jackson</t>
  </si>
  <si>
    <t>Christina Carr</t>
  </si>
  <si>
    <t>Michael Rhodes</t>
  </si>
  <si>
    <t>Christine Adams</t>
  </si>
  <si>
    <t>Gregory Lynch</t>
  </si>
  <si>
    <t>Jared Giles</t>
  </si>
  <si>
    <t>Kyle Anderson</t>
  </si>
  <si>
    <t>Douglas Wells</t>
  </si>
  <si>
    <t>Alec Richardson</t>
  </si>
  <si>
    <t>Steven Peters</t>
  </si>
  <si>
    <t>Michael Mcdonald</t>
  </si>
  <si>
    <t>Jamie Lucero</t>
  </si>
  <si>
    <t>Nicole Sherman</t>
  </si>
  <si>
    <t>Jeffrey Brown</t>
  </si>
  <si>
    <t>Kristin Schmidt</t>
  </si>
  <si>
    <t>Mark Torres</t>
  </si>
  <si>
    <t>Tracy Alvarez</t>
  </si>
  <si>
    <t>Kathy Garcia</t>
  </si>
  <si>
    <t>Meagan Calderon MD</t>
  </si>
  <si>
    <t>Justin Brooks</t>
  </si>
  <si>
    <t>Kaitlyn Shaw</t>
  </si>
  <si>
    <t>Haley Johnson</t>
  </si>
  <si>
    <t>Mr. Cristian Donaldson</t>
  </si>
  <si>
    <t>Jasmin Sullivan</t>
  </si>
  <si>
    <t>Allison Miller</t>
  </si>
  <si>
    <t>Latoya Lopez</t>
  </si>
  <si>
    <t>Emily Thomas</t>
  </si>
  <si>
    <t>Nicholas Lee</t>
  </si>
  <si>
    <t>Thomas Espinoza</t>
  </si>
  <si>
    <t>Marie Lawson</t>
  </si>
  <si>
    <t>Joseph Robbins</t>
  </si>
  <si>
    <t>Pamela Butler</t>
  </si>
  <si>
    <t>Anthony Rowe</t>
  </si>
  <si>
    <t>Donna Robinson</t>
  </si>
  <si>
    <t>Molly Stewart</t>
  </si>
  <si>
    <t>Joseph Black</t>
  </si>
  <si>
    <t>George Jackson</t>
  </si>
  <si>
    <t>Michael Wood</t>
  </si>
  <si>
    <t>Katherine Moore</t>
  </si>
  <si>
    <t>Priscilla Steele</t>
  </si>
  <si>
    <t>Judy Ramirez</t>
  </si>
  <si>
    <t>Clifford Wood</t>
  </si>
  <si>
    <t>Susan Carter</t>
  </si>
  <si>
    <t>Martha Turner</t>
  </si>
  <si>
    <t>William Sweeney</t>
  </si>
  <si>
    <t>Tommy Johnson</t>
  </si>
  <si>
    <t>Kimberly Long</t>
  </si>
  <si>
    <t>Eric Gray</t>
  </si>
  <si>
    <t>Katie Johnston</t>
  </si>
  <si>
    <t>Elizabeth Yates</t>
  </si>
  <si>
    <t>Patricia Patel</t>
  </si>
  <si>
    <t>Andrew Wells</t>
  </si>
  <si>
    <t>Brittany Bowen</t>
  </si>
  <si>
    <t>Charles Brown</t>
  </si>
  <si>
    <t>David Molina</t>
  </si>
  <si>
    <t>Christopher Fisher</t>
  </si>
  <si>
    <t>Erin Gonzalez</t>
  </si>
  <si>
    <t>Marissa Thomas</t>
  </si>
  <si>
    <t>Heidi Taylor</t>
  </si>
  <si>
    <t>Alexandria Smith</t>
  </si>
  <si>
    <t>Cheryl Reilly</t>
  </si>
  <si>
    <t>Brandon Johnston</t>
  </si>
  <si>
    <t>Anna Jordan</t>
  </si>
  <si>
    <t>Richard Schroeder</t>
  </si>
  <si>
    <t>Kenneth Williams</t>
  </si>
  <si>
    <t>Andrea Barrett</t>
  </si>
  <si>
    <t>Allison White</t>
  </si>
  <si>
    <t>James Smith</t>
  </si>
  <si>
    <t>David Smith</t>
  </si>
  <si>
    <t>Micheal Humphrey</t>
  </si>
  <si>
    <t>Trevor Neal</t>
  </si>
  <si>
    <t>Tony Mann</t>
  </si>
  <si>
    <t>Sarah Wang</t>
  </si>
  <si>
    <t>Jamie Mendoza MD</t>
  </si>
  <si>
    <t>Jonathan Barrett</t>
  </si>
  <si>
    <t>Jocelyn Wilcox</t>
  </si>
  <si>
    <t>Natalie Ross</t>
  </si>
  <si>
    <t>Debbie Wade</t>
  </si>
  <si>
    <t>Nicholas Campbell</t>
  </si>
  <si>
    <t>Travis Buchanan</t>
  </si>
  <si>
    <t>Eric Nelson</t>
  </si>
  <si>
    <t>Erin Cox</t>
  </si>
  <si>
    <t>Barbara Bowers</t>
  </si>
  <si>
    <t>Luke Campbell</t>
  </si>
  <si>
    <t>Robert Owens</t>
  </si>
  <si>
    <t>Angel Barnett</t>
  </si>
  <si>
    <t>Geoffrey Evans</t>
  </si>
  <si>
    <t>George Shaw</t>
  </si>
  <si>
    <t>Amber Herring</t>
  </si>
  <si>
    <t>Patrick Hall</t>
  </si>
  <si>
    <t>Mr. Larry Lang</t>
  </si>
  <si>
    <t>Heidi Gallagher</t>
  </si>
  <si>
    <t>Elizabeth Anderson</t>
  </si>
  <si>
    <t>Ryan Murray</t>
  </si>
  <si>
    <t>David Esparza</t>
  </si>
  <si>
    <t>Lisa Bradley</t>
  </si>
  <si>
    <t>Frances Valentine</t>
  </si>
  <si>
    <t>Kenneth Johnson</t>
  </si>
  <si>
    <t>Alexis Moore</t>
  </si>
  <si>
    <t>Xavier Hogan</t>
  </si>
  <si>
    <t>Kyle Simon</t>
  </si>
  <si>
    <t>Donald Orozco</t>
  </si>
  <si>
    <t>Mary Farley</t>
  </si>
  <si>
    <t>Patrick Hawkins</t>
  </si>
  <si>
    <t>Marvin Brown</t>
  </si>
  <si>
    <t>Michael Murphy</t>
  </si>
  <si>
    <t>Vincent Brooks</t>
  </si>
  <si>
    <t>Jason Lewis</t>
  </si>
  <si>
    <t>David Oliver</t>
  </si>
  <si>
    <t>David Allen</t>
  </si>
  <si>
    <t>Cathy Robinson</t>
  </si>
  <si>
    <t>Jared Nash</t>
  </si>
  <si>
    <t>Suzanne Johnson</t>
  </si>
  <si>
    <t>Justin Pittman Jr.</t>
  </si>
  <si>
    <t>Janice Morton</t>
  </si>
  <si>
    <t>Elizabeth Lopez</t>
  </si>
  <si>
    <t>Brent Brown</t>
  </si>
  <si>
    <t>Michael Fitzgerald</t>
  </si>
  <si>
    <t>Zachary Coleman</t>
  </si>
  <si>
    <t>Thomas Garcia</t>
  </si>
  <si>
    <t>Kaitlyn Carter</t>
  </si>
  <si>
    <t>Debra Bradley</t>
  </si>
  <si>
    <t>Ronald Lopez</t>
  </si>
  <si>
    <t>Madison Cohen</t>
  </si>
  <si>
    <t>Mark Reid</t>
  </si>
  <si>
    <t>Crystal Booth</t>
  </si>
  <si>
    <t>Wayne Johnson</t>
  </si>
  <si>
    <t>Michael Valenzuela</t>
  </si>
  <si>
    <t>Heather Erickson</t>
  </si>
  <si>
    <t>Christopher Ortega</t>
  </si>
  <si>
    <t>Cynthia Deleon</t>
  </si>
  <si>
    <t>Joseph Townsend</t>
  </si>
  <si>
    <t>Steve Daniels</t>
  </si>
  <si>
    <t>Aaron Reed</t>
  </si>
  <si>
    <t>Steven Clark</t>
  </si>
  <si>
    <t>Mrs. Kristen Ross</t>
  </si>
  <si>
    <t>Monica Meadows</t>
  </si>
  <si>
    <t>Sarah Ray</t>
  </si>
  <si>
    <t>Lance Mueller</t>
  </si>
  <si>
    <t>Daniel Gonzalez</t>
  </si>
  <si>
    <t>Jessica Marquez</t>
  </si>
  <si>
    <t>Matthew Sanchez</t>
  </si>
  <si>
    <t>Jordan Castillo</t>
  </si>
  <si>
    <t>Christy Hamilton</t>
  </si>
  <si>
    <t>Sarah Welch</t>
  </si>
  <si>
    <t>Marcus Thompson</t>
  </si>
  <si>
    <t>Thomas White</t>
  </si>
  <si>
    <t>Jonathan Webb</t>
  </si>
  <si>
    <t>Troy Hurley</t>
  </si>
  <si>
    <t>Tina Fischer</t>
  </si>
  <si>
    <t>Jonathan Cross</t>
  </si>
  <si>
    <t>Ryan Jackson</t>
  </si>
  <si>
    <t>Ernest Glover</t>
  </si>
  <si>
    <t>Robert Hughes</t>
  </si>
  <si>
    <t>Mr. Shane Roth</t>
  </si>
  <si>
    <t>Emily Rodriguez</t>
  </si>
  <si>
    <t>Cheyenne Davis</t>
  </si>
  <si>
    <t>Jennifer Zuniga</t>
  </si>
  <si>
    <t>Christina Wright</t>
  </si>
  <si>
    <t>Randy Hutchinson</t>
  </si>
  <si>
    <t>Megan Phillips</t>
  </si>
  <si>
    <t>Robert Peterson</t>
  </si>
  <si>
    <t>Jessica Santiago</t>
  </si>
  <si>
    <t>Kimberly Sims</t>
  </si>
  <si>
    <t>Joshua Campbell II</t>
  </si>
  <si>
    <t>Ellen Mitchell</t>
  </si>
  <si>
    <t>Martin Mccann</t>
  </si>
  <si>
    <t>Andrea Duncan</t>
  </si>
  <si>
    <t>John George</t>
  </si>
  <si>
    <t>Jose Sanford</t>
  </si>
  <si>
    <t>Maria Rodriguez</t>
  </si>
  <si>
    <t>Alicia Williams</t>
  </si>
  <si>
    <t>Steve Goodman</t>
  </si>
  <si>
    <t>Brian Johnson</t>
  </si>
  <si>
    <t>Rodney Baird</t>
  </si>
  <si>
    <t>Jessica Glenn</t>
  </si>
  <si>
    <t>Michael Carson</t>
  </si>
  <si>
    <t>Amanda Mccann</t>
  </si>
  <si>
    <t>Paul Gould</t>
  </si>
  <si>
    <t>Michael Lawson</t>
  </si>
  <si>
    <t>Mark Thomas III</t>
  </si>
  <si>
    <t>Rhonda Freeman</t>
  </si>
  <si>
    <t>Nicole Wells</t>
  </si>
  <si>
    <t>Cynthia Miranda</t>
  </si>
  <si>
    <t>Rachel Ramirez</t>
  </si>
  <si>
    <t>Devin Thompson</t>
  </si>
  <si>
    <t>Christy Stanley</t>
  </si>
  <si>
    <t>Michele Cooper</t>
  </si>
  <si>
    <t>Jonathan Vazquez</t>
  </si>
  <si>
    <t>Gloria Johnson</t>
  </si>
  <si>
    <t>Jose Taylor</t>
  </si>
  <si>
    <t>Tammy Armstrong</t>
  </si>
  <si>
    <t>Joseph Ruiz</t>
  </si>
  <si>
    <t>Daniel Lang</t>
  </si>
  <si>
    <t>Sherry Mcgrath</t>
  </si>
  <si>
    <t>Chad Riddle</t>
  </si>
  <si>
    <t>Shelley Hendricks</t>
  </si>
  <si>
    <t>Frederick Gross</t>
  </si>
  <si>
    <t>Kimberly Rodriguez</t>
  </si>
  <si>
    <t>Christopher Thomas</t>
  </si>
  <si>
    <t>Sean Little</t>
  </si>
  <si>
    <t>Sandra Merritt MD</t>
  </si>
  <si>
    <t>Anthony Hall</t>
  </si>
  <si>
    <t>Justin Dominguez</t>
  </si>
  <si>
    <t>Robert Bishop</t>
  </si>
  <si>
    <t>Matthew Bennett</t>
  </si>
  <si>
    <t>Lisa Garcia</t>
  </si>
  <si>
    <t>Michael Baird</t>
  </si>
  <si>
    <t>Michael Sims</t>
  </si>
  <si>
    <t>Thomas Clark</t>
  </si>
  <si>
    <t>Tiffany Le</t>
  </si>
  <si>
    <t>Wayne Peterson</t>
  </si>
  <si>
    <t>Edward Andrews</t>
  </si>
  <si>
    <t>Jessica Hammond</t>
  </si>
  <si>
    <t>Jennifer Hernandez</t>
  </si>
  <si>
    <t>Antonio Jarvis</t>
  </si>
  <si>
    <t>Angela Fisher</t>
  </si>
  <si>
    <t>Maria Blair</t>
  </si>
  <si>
    <t>Kyle Martinez</t>
  </si>
  <si>
    <t>Heather Morton</t>
  </si>
  <si>
    <t>Evelyn Chapman</t>
  </si>
  <si>
    <t>Jacqueline Hart</t>
  </si>
  <si>
    <t>Jill Schaefer</t>
  </si>
  <si>
    <t>John Harrell</t>
  </si>
  <si>
    <t>Glenda Turner</t>
  </si>
  <si>
    <t>Casey King</t>
  </si>
  <si>
    <t>Benjamin Marquez</t>
  </si>
  <si>
    <t>Miranda Smith</t>
  </si>
  <si>
    <t>Brenda Rodriguez</t>
  </si>
  <si>
    <t>Ashley Walker</t>
  </si>
  <si>
    <t>Karen Jackson</t>
  </si>
  <si>
    <t>Jennifer Stanley</t>
  </si>
  <si>
    <t>Shannon Williams</t>
  </si>
  <si>
    <t>Maxwell Ryan</t>
  </si>
  <si>
    <t>Willie Brown</t>
  </si>
  <si>
    <t>Mr. Brandon Harris MD</t>
  </si>
  <si>
    <t>Chelsea Gutierrez</t>
  </si>
  <si>
    <t>Paul Simpson</t>
  </si>
  <si>
    <t>Natalie Washington MD</t>
  </si>
  <si>
    <t>Stanley Baker</t>
  </si>
  <si>
    <t>James Porter</t>
  </si>
  <si>
    <t>Shannon Vincent</t>
  </si>
  <si>
    <t>Donald Kelley</t>
  </si>
  <si>
    <t>Jason Andersen</t>
  </si>
  <si>
    <t>Megan Rodriguez</t>
  </si>
  <si>
    <t>Jennifer Massey</t>
  </si>
  <si>
    <t>Thomas Wright</t>
  </si>
  <si>
    <t>Kimberly Knapp</t>
  </si>
  <si>
    <t>Christina Shaw</t>
  </si>
  <si>
    <t>Joseph Graham</t>
  </si>
  <si>
    <t>Louis Russo</t>
  </si>
  <si>
    <t>Patrick Cooper</t>
  </si>
  <si>
    <t>Brian Hicks</t>
  </si>
  <si>
    <t>Harold Skinner</t>
  </si>
  <si>
    <t>Teresa Baker</t>
  </si>
  <si>
    <t>Amanda Elliott</t>
  </si>
  <si>
    <t>Christina Johnston</t>
  </si>
  <si>
    <t>Richard Diaz</t>
  </si>
  <si>
    <t>Samantha Haney</t>
  </si>
  <si>
    <t>John Massey</t>
  </si>
  <si>
    <t>Ashley Ramsey</t>
  </si>
  <si>
    <t>Janice Smith</t>
  </si>
  <si>
    <t>John Stanley</t>
  </si>
  <si>
    <t>Anthony Hogan</t>
  </si>
  <si>
    <t>Haley Bean</t>
  </si>
  <si>
    <t>Kaitlyn Baker</t>
  </si>
  <si>
    <t>David Roberts</t>
  </si>
  <si>
    <t>Diana Anderson</t>
  </si>
  <si>
    <t>Mark Jacobs</t>
  </si>
  <si>
    <t>Hannah Flores</t>
  </si>
  <si>
    <t>Tina Cook</t>
  </si>
  <si>
    <t>Crystal Johnson</t>
  </si>
  <si>
    <t>Matthew Christensen</t>
  </si>
  <si>
    <t>Victoria Ayala</t>
  </si>
  <si>
    <t>Erica Day</t>
  </si>
  <si>
    <t>Alan Lopez</t>
  </si>
  <si>
    <t>Seth Farrell</t>
  </si>
  <si>
    <t>Rachel Phillips</t>
  </si>
  <si>
    <t>Roberta Mitchell</t>
  </si>
  <si>
    <t>Randy Smith</t>
  </si>
  <si>
    <t>Jodi Bush</t>
  </si>
  <si>
    <t>Kevin Reynolds</t>
  </si>
  <si>
    <t>Jeanette Newton</t>
  </si>
  <si>
    <t>Meghan Cruz</t>
  </si>
  <si>
    <t>Cynthia Graham</t>
  </si>
  <si>
    <t>Ronald Jackson</t>
  </si>
  <si>
    <t>Patrick Daniels</t>
  </si>
  <si>
    <t>Noah Murray</t>
  </si>
  <si>
    <t>Suzanne Baker</t>
  </si>
  <si>
    <t>Paul Harmon</t>
  </si>
  <si>
    <t>Carol Davies</t>
  </si>
  <si>
    <t>Christopher Ray</t>
  </si>
  <si>
    <t>Jacob Frederick</t>
  </si>
  <si>
    <t>Carl Ortiz</t>
  </si>
  <si>
    <t>Monica Owens</t>
  </si>
  <si>
    <t>Jennifer Patterson</t>
  </si>
  <si>
    <t>Bruce Lewis</t>
  </si>
  <si>
    <t>Terrence Barrera</t>
  </si>
  <si>
    <t>Brian Martinez</t>
  </si>
  <si>
    <t>Deanna Roberts</t>
  </si>
  <si>
    <t>Maurice Yates</t>
  </si>
  <si>
    <t>Daniel Berg</t>
  </si>
  <si>
    <t>Kelly Anderson DVM</t>
  </si>
  <si>
    <t>Darryl Harrison</t>
  </si>
  <si>
    <t>Diane Larson</t>
  </si>
  <si>
    <t>Shannon Adams</t>
  </si>
  <si>
    <t>Shelby Alexander</t>
  </si>
  <si>
    <t>Steven Marshall</t>
  </si>
  <si>
    <t>Shelby Miller</t>
  </si>
  <si>
    <t>Jennifer Collins</t>
  </si>
  <si>
    <t>Richard Church</t>
  </si>
  <si>
    <t>Guy Ellis</t>
  </si>
  <si>
    <t>Steven Burns</t>
  </si>
  <si>
    <t>Richard Andrade</t>
  </si>
  <si>
    <t>Kimberly Nelson</t>
  </si>
  <si>
    <t>Aaron Villegas</t>
  </si>
  <si>
    <t>Hunter Lopez</t>
  </si>
  <si>
    <t>Matthew Reed</t>
  </si>
  <si>
    <t>Jeff Morrison</t>
  </si>
  <si>
    <t>Susan Melendez</t>
  </si>
  <si>
    <t>Betty Moore</t>
  </si>
  <si>
    <t>Brandon Miller</t>
  </si>
  <si>
    <t>Heather Moore</t>
  </si>
  <si>
    <t>Amber Lopez</t>
  </si>
  <si>
    <t>Jose Gomez</t>
  </si>
  <si>
    <t>Mary Welch</t>
  </si>
  <si>
    <t>Ian Taylor</t>
  </si>
  <si>
    <t>Alisha Gates</t>
  </si>
  <si>
    <t>Laurie Raymond</t>
  </si>
  <si>
    <t>Shirley Hudson</t>
  </si>
  <si>
    <t>Autumn Huynh</t>
  </si>
  <si>
    <t>Stephanie Taylor</t>
  </si>
  <si>
    <t>Crystal Kelley</t>
  </si>
  <si>
    <t>Richard Lewis</t>
  </si>
  <si>
    <t>Jacob English</t>
  </si>
  <si>
    <t>Erin Obrien DVM</t>
  </si>
  <si>
    <t>Chad Flowers</t>
  </si>
  <si>
    <t>William Galloway Jr.</t>
  </si>
  <si>
    <t>Olivia Cox</t>
  </si>
  <si>
    <t>Angela Harris</t>
  </si>
  <si>
    <t>Danielle Stewart</t>
  </si>
  <si>
    <t>Alexandra Pearson</t>
  </si>
  <si>
    <t>Sean Vargas</t>
  </si>
  <si>
    <t>Paul Moore</t>
  </si>
  <si>
    <t>Harry Mason</t>
  </si>
  <si>
    <t>Michael Gould</t>
  </si>
  <si>
    <t>Kara Silva</t>
  </si>
  <si>
    <t>Rebecca Rodgers</t>
  </si>
  <si>
    <t>Mindy Tanner</t>
  </si>
  <si>
    <t>Diane Ayala</t>
  </si>
  <si>
    <t>Stacey Young</t>
  </si>
  <si>
    <t>Sarah Booker</t>
  </si>
  <si>
    <t>Mark Guzman</t>
  </si>
  <si>
    <t>Michael Wilkerson</t>
  </si>
  <si>
    <t>Melissa Herrera</t>
  </si>
  <si>
    <t>Angela Torres</t>
  </si>
  <si>
    <t>Michael Booth</t>
  </si>
  <si>
    <t>Tiffany Bradley</t>
  </si>
  <si>
    <t>Gregory Collins</t>
  </si>
  <si>
    <t>Mario Davis</t>
  </si>
  <si>
    <t>Lisa Montoya</t>
  </si>
  <si>
    <t>Elizabeth Miller</t>
  </si>
  <si>
    <t>Louis Medina</t>
  </si>
  <si>
    <t>Bryan Ritter</t>
  </si>
  <si>
    <t>Megan Johnson</t>
  </si>
  <si>
    <t>Carla Daniels</t>
  </si>
  <si>
    <t>Nancy Fox</t>
  </si>
  <si>
    <t>Jeremiah Maldonado</t>
  </si>
  <si>
    <t>Catherine West</t>
  </si>
  <si>
    <t>Megan Jarvis</t>
  </si>
  <si>
    <t>Destiny Williams</t>
  </si>
  <si>
    <t>Kaitlyn Hubbard</t>
  </si>
  <si>
    <t>Natasha Martinez</t>
  </si>
  <si>
    <t>Frederick Hernandez</t>
  </si>
  <si>
    <t>Robert Mclean</t>
  </si>
  <si>
    <t>Deborah Gomez</t>
  </si>
  <si>
    <t>Jeffrey Lewis</t>
  </si>
  <si>
    <t>John Rhodes</t>
  </si>
  <si>
    <t>Aaron Evans</t>
  </si>
  <si>
    <t>Wendy Torres</t>
  </si>
  <si>
    <t>Eric Kim</t>
  </si>
  <si>
    <t>Mia Gonzalez</t>
  </si>
  <si>
    <t>Paula Rose</t>
  </si>
  <si>
    <t>Jeremy Lewis</t>
  </si>
  <si>
    <t>Eric Hill</t>
  </si>
  <si>
    <t>Michael Rodriguez</t>
  </si>
  <si>
    <t>Kathleen Gomez</t>
  </si>
  <si>
    <t>Tracy Griffith</t>
  </si>
  <si>
    <t>Christopher Nichols</t>
  </si>
  <si>
    <t>Christine Evans</t>
  </si>
  <si>
    <t>Annette Donovan</t>
  </si>
  <si>
    <t>Brandon Roach</t>
  </si>
  <si>
    <t>Jennifer Christian</t>
  </si>
  <si>
    <t>Luis Tran</t>
  </si>
  <si>
    <t>Nathan Hill</t>
  </si>
  <si>
    <t>Kyle Young</t>
  </si>
  <si>
    <t>Jared Montgomery</t>
  </si>
  <si>
    <t>Billy Mckee</t>
  </si>
  <si>
    <t>Jeremiah Brewer</t>
  </si>
  <si>
    <t>Janet Jones</t>
  </si>
  <si>
    <t>Cynthia Williams</t>
  </si>
  <si>
    <t>Jessica Diaz</t>
  </si>
  <si>
    <t>Keith Buckley</t>
  </si>
  <si>
    <t>Tonya Dougherty</t>
  </si>
  <si>
    <t>Michael Petersen</t>
  </si>
  <si>
    <t>Chris Cox</t>
  </si>
  <si>
    <t>Dylan Mclean</t>
  </si>
  <si>
    <t>Nicholas Nguyen</t>
  </si>
  <si>
    <t>Amanda Saunders</t>
  </si>
  <si>
    <t>Gregory Jackson</t>
  </si>
  <si>
    <t>Bradley Diaz</t>
  </si>
  <si>
    <t>Andrew Russell</t>
  </si>
  <si>
    <t>Kenneth Richards</t>
  </si>
  <si>
    <t>Denise Garcia</t>
  </si>
  <si>
    <t>Tammy Smith</t>
  </si>
  <si>
    <t>Jasmine Harris</t>
  </si>
  <si>
    <t>Deborah Pennington</t>
  </si>
  <si>
    <t>Susan Boone</t>
  </si>
  <si>
    <t>Sarah Knight</t>
  </si>
  <si>
    <t>Andre Ramsey</t>
  </si>
  <si>
    <t>Hunter Hoffman</t>
  </si>
  <si>
    <t>Christina Ramirez</t>
  </si>
  <si>
    <t>Douglas Ortiz</t>
  </si>
  <si>
    <t>Kevin Hayes</t>
  </si>
  <si>
    <t>Jeremiah Mcconnell</t>
  </si>
  <si>
    <t>Christopher Wiggins</t>
  </si>
  <si>
    <t>Tiffany Mahoney</t>
  </si>
  <si>
    <t>Miss Chloe Reilly</t>
  </si>
  <si>
    <t>Chase Campbell</t>
  </si>
  <si>
    <t>Sandra Black</t>
  </si>
  <si>
    <t>Jaime Macias</t>
  </si>
  <si>
    <t>Brittany Clark</t>
  </si>
  <si>
    <t>Meagan Lewis</t>
  </si>
  <si>
    <t>Justin Smith</t>
  </si>
  <si>
    <t>Scott Thomas</t>
  </si>
  <si>
    <t>Stephanie Lee</t>
  </si>
  <si>
    <t>Donna Walsh</t>
  </si>
  <si>
    <t>Lindsey Peterson</t>
  </si>
  <si>
    <t>Daniel Wilson</t>
  </si>
  <si>
    <t>Gregory Velasquez</t>
  </si>
  <si>
    <t>Ashley Holmes</t>
  </si>
  <si>
    <t>Nathaniel Poole</t>
  </si>
  <si>
    <t>Hunter Williams</t>
  </si>
  <si>
    <t>Morgan Cunningham</t>
  </si>
  <si>
    <t>Amy Brock</t>
  </si>
  <si>
    <t>Kevin Liu</t>
  </si>
  <si>
    <t>Andrew Howell</t>
  </si>
  <si>
    <t>Andrew Berger</t>
  </si>
  <si>
    <t>Sierra Barton</t>
  </si>
  <si>
    <t>Sarah Williams</t>
  </si>
  <si>
    <t>Christopher Caldwell</t>
  </si>
  <si>
    <t>Amy Hull</t>
  </si>
  <si>
    <t>Jason Williams</t>
  </si>
  <si>
    <t>Jeffrey Daniels</t>
  </si>
  <si>
    <t>Mr. Andrew Frank</t>
  </si>
  <si>
    <t>Dana Martin</t>
  </si>
  <si>
    <t>Ruth Gregory</t>
  </si>
  <si>
    <t>Susan Simon</t>
  </si>
  <si>
    <t>Jacob Serrano</t>
  </si>
  <si>
    <t>Javier Roth</t>
  </si>
  <si>
    <t>Christopher Hernandez</t>
  </si>
  <si>
    <t>Allison Hudson</t>
  </si>
  <si>
    <t>Carrie Hernandez</t>
  </si>
  <si>
    <t>Charles Gill</t>
  </si>
  <si>
    <t>Jimmy Taylor</t>
  </si>
  <si>
    <t>Kevin Galloway</t>
  </si>
  <si>
    <t>Elizabeth Hall</t>
  </si>
  <si>
    <t>Jeffery Wilkins</t>
  </si>
  <si>
    <t>Nathan Clark</t>
  </si>
  <si>
    <t>Cesar Davis Jr.</t>
  </si>
  <si>
    <t>Scott Richardson</t>
  </si>
  <si>
    <t>Jay Clark</t>
  </si>
  <si>
    <t>Karen Johnson</t>
  </si>
  <si>
    <t>Amy Ford</t>
  </si>
  <si>
    <t>Joy Garcia</t>
  </si>
  <si>
    <t>Jade Quinn</t>
  </si>
  <si>
    <t>Regina Smith</t>
  </si>
  <si>
    <t>Curtis Clark</t>
  </si>
  <si>
    <t>Kayla Schultz</t>
  </si>
  <si>
    <t>Joseph Stanley</t>
  </si>
  <si>
    <t>Cassandra Hernandez</t>
  </si>
  <si>
    <t>Scott Potter</t>
  </si>
  <si>
    <t>Katherine Douglas</t>
  </si>
  <si>
    <t>Mrs. Patricia Flores</t>
  </si>
  <si>
    <t>Joseph Garcia</t>
  </si>
  <si>
    <t>Elizabeth Wu</t>
  </si>
  <si>
    <t>Erik Gregory</t>
  </si>
  <si>
    <t>Scott Mcdaniel</t>
  </si>
  <si>
    <t>Shaun Cruz</t>
  </si>
  <si>
    <t>Rachel Wong</t>
  </si>
  <si>
    <t>Stacy Mathews</t>
  </si>
  <si>
    <t>Steven Sweeney</t>
  </si>
  <si>
    <t>Rachael Clark</t>
  </si>
  <si>
    <t>Chelsea Browning</t>
  </si>
  <si>
    <t>Joanna Black</t>
  </si>
  <si>
    <t>Kyle Wilson</t>
  </si>
  <si>
    <t>Sara Davis</t>
  </si>
  <si>
    <t>Sharon Shepherd</t>
  </si>
  <si>
    <t>Regina Mejia</t>
  </si>
  <si>
    <t>Jennifer Harrington</t>
  </si>
  <si>
    <t>Lisa Cameron</t>
  </si>
  <si>
    <t>Emily Ponce</t>
  </si>
  <si>
    <t>Steven Chandler</t>
  </si>
  <si>
    <t>Steve Shah</t>
  </si>
  <si>
    <t>Adrian Burke</t>
  </si>
  <si>
    <t>Megan Garcia</t>
  </si>
  <si>
    <t>Matthew Stafford</t>
  </si>
  <si>
    <t>James Evans</t>
  </si>
  <si>
    <t>Antonio Johnson</t>
  </si>
  <si>
    <t>Kathryn White</t>
  </si>
  <si>
    <t>April Shaw</t>
  </si>
  <si>
    <t>Micheal Nguyen</t>
  </si>
  <si>
    <t>Katherine Grimes</t>
  </si>
  <si>
    <t>Jamie Jones</t>
  </si>
  <si>
    <t>Rebecca Willis</t>
  </si>
  <si>
    <t>Lauren Steele</t>
  </si>
  <si>
    <t>Jonathon Wells</t>
  </si>
  <si>
    <t>Christopher Munoz</t>
  </si>
  <si>
    <t>Scott Smith</t>
  </si>
  <si>
    <t>Courtney Dunn</t>
  </si>
  <si>
    <t>Michael King</t>
  </si>
  <si>
    <t>Steven Williams</t>
  </si>
  <si>
    <t>Kimberly Kaiser</t>
  </si>
  <si>
    <t>Bradley Davis</t>
  </si>
  <si>
    <t>Brandon Mitchell</t>
  </si>
  <si>
    <t>Leslie Oconnell</t>
  </si>
  <si>
    <t>Jose Young</t>
  </si>
  <si>
    <t>Dr. Mitchell Rogers</t>
  </si>
  <si>
    <t>Brandon Henry</t>
  </si>
  <si>
    <t>Charles Harrell</t>
  </si>
  <si>
    <t>Melissa Gallagher</t>
  </si>
  <si>
    <t>Mrs. Shannon Vazquez</t>
  </si>
  <si>
    <t>Timothy Sanchez</t>
  </si>
  <si>
    <t>Sandra Nichols</t>
  </si>
  <si>
    <t>Jennifer Miller</t>
  </si>
  <si>
    <t>Monica Chan</t>
  </si>
  <si>
    <t>David Obrien</t>
  </si>
  <si>
    <t>Caitlin Dean</t>
  </si>
  <si>
    <t>Brandon Randolph</t>
  </si>
  <si>
    <t>Gavin Farrell</t>
  </si>
  <si>
    <t>Amanda Reynolds</t>
  </si>
  <si>
    <t>Desiree Hodges</t>
  </si>
  <si>
    <t>John Gardner</t>
  </si>
  <si>
    <t>Emily Cherry</t>
  </si>
  <si>
    <t>Mark Young</t>
  </si>
  <si>
    <t>Mike White</t>
  </si>
  <si>
    <t>Karen Bond</t>
  </si>
  <si>
    <t>Pedro Williams</t>
  </si>
  <si>
    <t>Tim Wade</t>
  </si>
  <si>
    <t>Bruce Cervantes</t>
  </si>
  <si>
    <t>Alexandria Hill</t>
  </si>
  <si>
    <t>Jo Norman</t>
  </si>
  <si>
    <t>Diamond Morales</t>
  </si>
  <si>
    <t>Robert Greer</t>
  </si>
  <si>
    <t>Dominic Soto</t>
  </si>
  <si>
    <t>Christopher Hale</t>
  </si>
  <si>
    <t>Marcus Oneill</t>
  </si>
  <si>
    <t>Tonya Smith</t>
  </si>
  <si>
    <t>Jodi Morgan</t>
  </si>
  <si>
    <t>Pamela Rodriguez</t>
  </si>
  <si>
    <t>Joshua Simmons</t>
  </si>
  <si>
    <t>Rhonda Brown</t>
  </si>
  <si>
    <t>Jordan Andrews III</t>
  </si>
  <si>
    <t>Patricia Brown</t>
  </si>
  <si>
    <t>Tiffany Benitez</t>
  </si>
  <si>
    <t>Holly Brown</t>
  </si>
  <si>
    <t>Daniel Lopez</t>
  </si>
  <si>
    <t>Aaron Robinson</t>
  </si>
  <si>
    <t>Angela Green</t>
  </si>
  <si>
    <t>Jesse Hardy</t>
  </si>
  <si>
    <t>Joseph Bernard</t>
  </si>
  <si>
    <t>Elizabeth Smith</t>
  </si>
  <si>
    <t>Leslie Hoffman</t>
  </si>
  <si>
    <t>Julia Mcdonald</t>
  </si>
  <si>
    <t>Kevin Booker</t>
  </si>
  <si>
    <t>Lisa Floyd</t>
  </si>
  <si>
    <t>Jodi Ware</t>
  </si>
  <si>
    <t>Tyler Johnson</t>
  </si>
  <si>
    <t>Gerald Pope</t>
  </si>
  <si>
    <t>Priscilla Kline</t>
  </si>
  <si>
    <t>James Austin</t>
  </si>
  <si>
    <t>Kimberly Galvan</t>
  </si>
  <si>
    <t>Joseph Nelson</t>
  </si>
  <si>
    <t>Grace Wagner</t>
  </si>
  <si>
    <t>Jesus Ruiz</t>
  </si>
  <si>
    <t>Kelly Moran</t>
  </si>
  <si>
    <t>Jessica Walter</t>
  </si>
  <si>
    <t>Kayla Hanson</t>
  </si>
  <si>
    <t>Alisha Morrow</t>
  </si>
  <si>
    <t>Stephanie Jackson</t>
  </si>
  <si>
    <t>Patrick Brown</t>
  </si>
  <si>
    <t>Derrick Brown</t>
  </si>
  <si>
    <t>Robert Garza</t>
  </si>
  <si>
    <t>Danielle Anderson</t>
  </si>
  <si>
    <t>Robert Hopkins</t>
  </si>
  <si>
    <t>Tonya Marsh</t>
  </si>
  <si>
    <t>Rhonda Jones</t>
  </si>
  <si>
    <t>Stephen Sandoval</t>
  </si>
  <si>
    <t>Gloria Jacobson</t>
  </si>
  <si>
    <t>Jesse Clark</t>
  </si>
  <si>
    <t>Nathaniel Warren</t>
  </si>
  <si>
    <t>Jennifer Tucker</t>
  </si>
  <si>
    <t>Alexis Perkins</t>
  </si>
  <si>
    <t>Christopher Solomon</t>
  </si>
  <si>
    <t>Patricia Taylor</t>
  </si>
  <si>
    <t>Kerry Martin</t>
  </si>
  <si>
    <t>Patrick Morton</t>
  </si>
  <si>
    <t>Robert Mccall</t>
  </si>
  <si>
    <t>Eric Aguirre II</t>
  </si>
  <si>
    <t>Brian Smith</t>
  </si>
  <si>
    <t>Justin Meyer</t>
  </si>
  <si>
    <t>Misty Moore</t>
  </si>
  <si>
    <t>Gabrielle Lopez</t>
  </si>
  <si>
    <t>Brooke Nguyen</t>
  </si>
  <si>
    <t>Diana Bell</t>
  </si>
  <si>
    <t>Timothy Daniels</t>
  </si>
  <si>
    <t>Angel Mcintosh</t>
  </si>
  <si>
    <t>Molly Sharp</t>
  </si>
  <si>
    <t>Lori Richardson</t>
  </si>
  <si>
    <t>Morgan Garcia</t>
  </si>
  <si>
    <t>Brian Morris</t>
  </si>
  <si>
    <t>Ashley Cook DDS</t>
  </si>
  <si>
    <t>Stephanie Garcia</t>
  </si>
  <si>
    <t>Adam Goodwin</t>
  </si>
  <si>
    <t>Frank Williams</t>
  </si>
  <si>
    <t>Leah Cook</t>
  </si>
  <si>
    <t>James Parks</t>
  </si>
  <si>
    <t>Carl Castro</t>
  </si>
  <si>
    <t>Brittany Russell</t>
  </si>
  <si>
    <t>Steven Edwards</t>
  </si>
  <si>
    <t>Shannon Wilson</t>
  </si>
  <si>
    <t>Larry Sharp</t>
  </si>
  <si>
    <t>Kayla Duncan</t>
  </si>
  <si>
    <t>Rebecca Bartlett</t>
  </si>
  <si>
    <t>Mark Campbell</t>
  </si>
  <si>
    <t>Kyle Snow</t>
  </si>
  <si>
    <t>Andrew Wright</t>
  </si>
  <si>
    <t>Robert Morris</t>
  </si>
  <si>
    <t>Stephen Charles</t>
  </si>
  <si>
    <t>Ariel Tucker</t>
  </si>
  <si>
    <t>Kristine Davis</t>
  </si>
  <si>
    <t>Michael Nichols</t>
  </si>
  <si>
    <t>Ashley Bell</t>
  </si>
  <si>
    <t>Valerie Becker</t>
  </si>
  <si>
    <t>Willie Wright</t>
  </si>
  <si>
    <t>Joseph Collins</t>
  </si>
  <si>
    <t>Linda Douglas</t>
  </si>
  <si>
    <t>James Le</t>
  </si>
  <si>
    <t>Eric Simpson</t>
  </si>
  <si>
    <t>Jessica Huff</t>
  </si>
  <si>
    <t>Michelle Underwood</t>
  </si>
  <si>
    <t>Angelica Williams DDS</t>
  </si>
  <si>
    <t>Ana Matthews</t>
  </si>
  <si>
    <t>Loretta Farrell</t>
  </si>
  <si>
    <t>Benjamin Ochoa</t>
  </si>
  <si>
    <t>Troy Duffy</t>
  </si>
  <si>
    <t>Michael Fleming</t>
  </si>
  <si>
    <t>Elizabeth Hooper</t>
  </si>
  <si>
    <t>Joseph Smith</t>
  </si>
  <si>
    <t>Richard Owens</t>
  </si>
  <si>
    <t>Michael Smith</t>
  </si>
  <si>
    <t>Rhonda Padilla</t>
  </si>
  <si>
    <t>Mark Solomon</t>
  </si>
  <si>
    <t>Jessica Carroll</t>
  </si>
  <si>
    <t>Angela Wolfe</t>
  </si>
  <si>
    <t>Jennifer Johnson</t>
  </si>
  <si>
    <t>Janet Cain</t>
  </si>
  <si>
    <t>Timothy Pineda</t>
  </si>
  <si>
    <t>Cheryl Blake DDS</t>
  </si>
  <si>
    <t>Peter Dean</t>
  </si>
  <si>
    <t>Chelsea Jones</t>
  </si>
  <si>
    <t>Teresa Johnson</t>
  </si>
  <si>
    <t>Ryan Roberts</t>
  </si>
  <si>
    <t>Robert Reyes</t>
  </si>
  <si>
    <t>Taylor Tran</t>
  </si>
  <si>
    <t>Jeffrey Harrison</t>
  </si>
  <si>
    <t>David Gonzalez</t>
  </si>
  <si>
    <t>Sandra Adams</t>
  </si>
  <si>
    <t>Jason Martin</t>
  </si>
  <si>
    <t>Chris Roberson</t>
  </si>
  <si>
    <t>Joseph Perkins</t>
  </si>
  <si>
    <t>Tiffany Taylor</t>
  </si>
  <si>
    <t>Thomas Mcdaniel</t>
  </si>
  <si>
    <t>Mandy Rodriguez</t>
  </si>
  <si>
    <t>Shannon Avila</t>
  </si>
  <si>
    <t>Krista Pena</t>
  </si>
  <si>
    <t>Cody Foster</t>
  </si>
  <si>
    <t>Angel Hall</t>
  </si>
  <si>
    <t>Kyle Travis</t>
  </si>
  <si>
    <t>Matthew Alexander</t>
  </si>
  <si>
    <t>Deanna Leonard</t>
  </si>
  <si>
    <t>David Montoya</t>
  </si>
  <si>
    <t>Jennifer Hill</t>
  </si>
  <si>
    <t>Bryan Fernandez</t>
  </si>
  <si>
    <t>Stacy Perkins</t>
  </si>
  <si>
    <t>Daniel Henson</t>
  </si>
  <si>
    <t>Brett Thompson</t>
  </si>
  <si>
    <t>Ryan Harper</t>
  </si>
  <si>
    <t>Rhonda Johnson</t>
  </si>
  <si>
    <t>Jaime Gonzalez</t>
  </si>
  <si>
    <t>Michael Washington</t>
  </si>
  <si>
    <t>Shelia Fields</t>
  </si>
  <si>
    <t>Jessica Romero</t>
  </si>
  <si>
    <t>Zachary Lee</t>
  </si>
  <si>
    <t>Sheila Schneider</t>
  </si>
  <si>
    <t>Gary Rowe</t>
  </si>
  <si>
    <t>Christina Scott</t>
  </si>
  <si>
    <t>Sydney Fletcher</t>
  </si>
  <si>
    <t>Monique Roberts</t>
  </si>
  <si>
    <t>Rachel Mcknight MD</t>
  </si>
  <si>
    <t>Brian Reed</t>
  </si>
  <si>
    <t>Brittany Taylor</t>
  </si>
  <si>
    <t>Christopher Ramirez</t>
  </si>
  <si>
    <t>Joseph Parker</t>
  </si>
  <si>
    <t>John Vang</t>
  </si>
  <si>
    <t>Robert Jones</t>
  </si>
  <si>
    <t>Caroline Sampson</t>
  </si>
  <si>
    <t>Ashley Fisher</t>
  </si>
  <si>
    <t>Alan Ward DDS</t>
  </si>
  <si>
    <t>Austin Lane</t>
  </si>
  <si>
    <t>Travis Davis</t>
  </si>
  <si>
    <t>Mark Garcia</t>
  </si>
  <si>
    <t>Samantha Singleton</t>
  </si>
  <si>
    <t>Daniel Sawyer</t>
  </si>
  <si>
    <t>Holly Saunders</t>
  </si>
  <si>
    <t>Courtney Gonzalez</t>
  </si>
  <si>
    <t>Amber Sutton</t>
  </si>
  <si>
    <t>Maria Carlson</t>
  </si>
  <si>
    <t>Tyrone Friedman</t>
  </si>
  <si>
    <t>Zachary Mosley</t>
  </si>
  <si>
    <t>Jennifer Ware</t>
  </si>
  <si>
    <t>Edgar Salazar</t>
  </si>
  <si>
    <t>Jodi Cole</t>
  </si>
  <si>
    <t>Tracie Burgess</t>
  </si>
  <si>
    <t>Carol Krueger</t>
  </si>
  <si>
    <t>Andrew Morrison</t>
  </si>
  <si>
    <t>Emily Ruiz</t>
  </si>
  <si>
    <t>Dawn Barnes</t>
  </si>
  <si>
    <t>Wanda Mendez</t>
  </si>
  <si>
    <t>Lisa Campos</t>
  </si>
  <si>
    <t>Brittney Hamilton</t>
  </si>
  <si>
    <t>Alyssa Benjamin</t>
  </si>
  <si>
    <t>Kelly Stephenson</t>
  </si>
  <si>
    <t>Victoria Byrd</t>
  </si>
  <si>
    <t>Patrick Martin</t>
  </si>
  <si>
    <t>Nancy Brown</t>
  </si>
  <si>
    <t>Angela Jensen</t>
  </si>
  <si>
    <t>Barbara Mccarthy</t>
  </si>
  <si>
    <t>Angela Blevins</t>
  </si>
  <si>
    <t>Sandra Harris</t>
  </si>
  <si>
    <t>Christopher Huffman</t>
  </si>
  <si>
    <t>Ms. Ashley Hernandez PhD</t>
  </si>
  <si>
    <t>Randall Duncan</t>
  </si>
  <si>
    <t>Christopher Perry</t>
  </si>
  <si>
    <t>David Aguirre</t>
  </si>
  <si>
    <t>Jared Fernandez</t>
  </si>
  <si>
    <t>Susan Vang</t>
  </si>
  <si>
    <t>Joseph Haynes</t>
  </si>
  <si>
    <t>Edward Ray</t>
  </si>
  <si>
    <t>Christopher George</t>
  </si>
  <si>
    <t>Barbara Mitchell</t>
  </si>
  <si>
    <t>Jill Olson</t>
  </si>
  <si>
    <t>Brian Adkins</t>
  </si>
  <si>
    <t>Christina Mckinney</t>
  </si>
  <si>
    <t>Tony Moreno</t>
  </si>
  <si>
    <t>Mrs. Cynthia Conway</t>
  </si>
  <si>
    <t>Jerry Smith</t>
  </si>
  <si>
    <t>April Ortiz</t>
  </si>
  <si>
    <t>Harold Harmon</t>
  </si>
  <si>
    <t>Martin Taylor</t>
  </si>
  <si>
    <t>Tara Benjamin MD</t>
  </si>
  <si>
    <t>Isabella Collier</t>
  </si>
  <si>
    <t>Rebecca Padilla</t>
  </si>
  <si>
    <t>Barbara Fernandez</t>
  </si>
  <si>
    <t>Angela Jimenez</t>
  </si>
  <si>
    <t>Joanna Harper</t>
  </si>
  <si>
    <t>Taylor Jones</t>
  </si>
  <si>
    <t>Amy Clark DDS</t>
  </si>
  <si>
    <t>Brad Foster</t>
  </si>
  <si>
    <t>Christina Jackson</t>
  </si>
  <si>
    <t>Brianna Hudson</t>
  </si>
  <si>
    <t>Rhonda Parker</t>
  </si>
  <si>
    <t>Julie Cruz</t>
  </si>
  <si>
    <t>Annette Schneider</t>
  </si>
  <si>
    <t>Philip Banks</t>
  </si>
  <si>
    <t>Tyler Cabrera</t>
  </si>
  <si>
    <t>Gina Scott</t>
  </si>
  <si>
    <t>Caitlin Robertson</t>
  </si>
  <si>
    <t>Yvette Bradley</t>
  </si>
  <si>
    <t>Daniel Murphy</t>
  </si>
  <si>
    <t>Renee Garcia</t>
  </si>
  <si>
    <t>Jack Williams</t>
  </si>
  <si>
    <t>Philip Simpson</t>
  </si>
  <si>
    <t>Amy Montes</t>
  </si>
  <si>
    <t>Gina Nielsen</t>
  </si>
  <si>
    <t>Joseph Perez</t>
  </si>
  <si>
    <t>Carolyn Williams</t>
  </si>
  <si>
    <t>Bailey Bartlett</t>
  </si>
  <si>
    <t>Michael Gonzales</t>
  </si>
  <si>
    <t>Robert Phillips</t>
  </si>
  <si>
    <t>Mary Brown</t>
  </si>
  <si>
    <t>Laura Bell</t>
  </si>
  <si>
    <t>Kristin Coleman</t>
  </si>
  <si>
    <t>Ryan Hayes</t>
  </si>
  <si>
    <t>Tom Vasquez</t>
  </si>
  <si>
    <t>Joseph Sanders</t>
  </si>
  <si>
    <t>Andrea Nelson</t>
  </si>
  <si>
    <t>Jordan Sandoval</t>
  </si>
  <si>
    <t>Louis Watkins</t>
  </si>
  <si>
    <t>Jodi Scott</t>
  </si>
  <si>
    <t>Jason Brown</t>
  </si>
  <si>
    <t>Edward Chavez</t>
  </si>
  <si>
    <t>Roberta Rodriguez</t>
  </si>
  <si>
    <t>Harry Lynch</t>
  </si>
  <si>
    <t>Michael Hernandez</t>
  </si>
  <si>
    <t>Bobby Phelps</t>
  </si>
  <si>
    <t>Dr. Eric Wong</t>
  </si>
  <si>
    <t>Samantha Crawford</t>
  </si>
  <si>
    <t>Catherine Miles</t>
  </si>
  <si>
    <t>Cynthia Murphy</t>
  </si>
  <si>
    <t>Virginia Snyder</t>
  </si>
  <si>
    <t>David Stevens</t>
  </si>
  <si>
    <t>Robert Horton</t>
  </si>
  <si>
    <t>Natalie Allison</t>
  </si>
  <si>
    <t>Susan Evans</t>
  </si>
  <si>
    <t>Joseph Cooper</t>
  </si>
  <si>
    <t>Brenda Holt</t>
  </si>
  <si>
    <t>Angela Robbins MD</t>
  </si>
  <si>
    <t>Steven Dudley</t>
  </si>
  <si>
    <t>Michael Gardner</t>
  </si>
  <si>
    <t>Keith Hernandez</t>
  </si>
  <si>
    <t>Catherine Hicks</t>
  </si>
  <si>
    <t>Allison Boyer</t>
  </si>
  <si>
    <t>Michael Salazar</t>
  </si>
  <si>
    <t>Walter Clark</t>
  </si>
  <si>
    <t>Dennis Hall</t>
  </si>
  <si>
    <t>Robert Gillespie</t>
  </si>
  <si>
    <t>Lauren Davis</t>
  </si>
  <si>
    <t>Amanda Rogers</t>
  </si>
  <si>
    <t>David Smith DVM</t>
  </si>
  <si>
    <t>Nathaniel Morales</t>
  </si>
  <si>
    <t>Janice Robinson</t>
  </si>
  <si>
    <t>Cheryl Li</t>
  </si>
  <si>
    <t>Robert Nguyen</t>
  </si>
  <si>
    <t>Brittany Mcdonald</t>
  </si>
  <si>
    <t>Joshua Brown</t>
  </si>
  <si>
    <t>Lawrence Kim</t>
  </si>
  <si>
    <t>Joseph Chandler</t>
  </si>
  <si>
    <t>Melissa Campbell</t>
  </si>
  <si>
    <t>Phillip Snyder</t>
  </si>
  <si>
    <t>Sydney Smith</t>
  </si>
  <si>
    <t>Darlene Holmes</t>
  </si>
  <si>
    <t>Kimberly Castro</t>
  </si>
  <si>
    <t>Brandon Tran</t>
  </si>
  <si>
    <t>Stacy Kirby</t>
  </si>
  <si>
    <t>Donna Doyle</t>
  </si>
  <si>
    <t>David Hernandez</t>
  </si>
  <si>
    <t>Courtney Hernandez</t>
  </si>
  <si>
    <t>Jennifer Harris</t>
  </si>
  <si>
    <t>Kenneth Stuart</t>
  </si>
  <si>
    <t>Linda Maldonado</t>
  </si>
  <si>
    <t>Kellie Johnson</t>
  </si>
  <si>
    <t>Tom Conway</t>
  </si>
  <si>
    <t>Michele Green</t>
  </si>
  <si>
    <t>Tommy Mann</t>
  </si>
  <si>
    <t>Randy Morgan</t>
  </si>
  <si>
    <t>Grace Woodward</t>
  </si>
  <si>
    <t>Scott Edwards</t>
  </si>
  <si>
    <t>April Shepherd</t>
  </si>
  <si>
    <t>Erica Wood</t>
  </si>
  <si>
    <t>Susan Smith</t>
  </si>
  <si>
    <t>Robert Baker</t>
  </si>
  <si>
    <t>John Chandler</t>
  </si>
  <si>
    <t>Jerry Kaufman</t>
  </si>
  <si>
    <t>Brandon Boyd</t>
  </si>
  <si>
    <t>Patricia Martinez</t>
  </si>
  <si>
    <t>Douglas Perez</t>
  </si>
  <si>
    <t>Katherine Wagner</t>
  </si>
  <si>
    <t>Olivia Wu</t>
  </si>
  <si>
    <t>Philip Floyd</t>
  </si>
  <si>
    <t>Julie Flowers</t>
  </si>
  <si>
    <t>Edwin Boyd</t>
  </si>
  <si>
    <t>Wendy Wilson MD</t>
  </si>
  <si>
    <t>Jose Hanna</t>
  </si>
  <si>
    <t>Eric Christian</t>
  </si>
  <si>
    <t>Bryan Aguilar</t>
  </si>
  <si>
    <t>Marcus Wilson</t>
  </si>
  <si>
    <t>Deborah Walker</t>
  </si>
  <si>
    <t>John White DDS</t>
  </si>
  <si>
    <t>Chad Haynes</t>
  </si>
  <si>
    <t>Cindy Torres</t>
  </si>
  <si>
    <t>Kimberly Parker</t>
  </si>
  <si>
    <t>Cody Lopez</t>
  </si>
  <si>
    <t>Anna Cross</t>
  </si>
  <si>
    <t>Katherine Branch</t>
  </si>
  <si>
    <t>Justin Bryan</t>
  </si>
  <si>
    <t>Mark Johnson DDS</t>
  </si>
  <si>
    <t>Patrick Gross</t>
  </si>
  <si>
    <t>Gabriel White</t>
  </si>
  <si>
    <t>Stephen Wilson</t>
  </si>
  <si>
    <t>Anthony Vargas</t>
  </si>
  <si>
    <t>Miss Colleen Arnold</t>
  </si>
  <si>
    <t>Matthew Jones</t>
  </si>
  <si>
    <t>Cheyenne Henderson</t>
  </si>
  <si>
    <t>Toni Mosley</t>
  </si>
  <si>
    <t>Paul Reynolds</t>
  </si>
  <si>
    <t>Chris Sweeney</t>
  </si>
  <si>
    <t>Benjamin Bishop</t>
  </si>
  <si>
    <t>Johnathan Miles</t>
  </si>
  <si>
    <t>Nathan Phelps</t>
  </si>
  <si>
    <t>Amanda Costa</t>
  </si>
  <si>
    <t>Sabrina Cooper</t>
  </si>
  <si>
    <t>Elizabeth Stewart</t>
  </si>
  <si>
    <t>Laura Hebert</t>
  </si>
  <si>
    <t>Madison Coffey</t>
  </si>
  <si>
    <t>Sean Dudley</t>
  </si>
  <si>
    <t>Amanda Gonzales</t>
  </si>
  <si>
    <t>Sue Walls</t>
  </si>
  <si>
    <t>Ashley White</t>
  </si>
  <si>
    <t>William Watson</t>
  </si>
  <si>
    <t>Kenneth Greene</t>
  </si>
  <si>
    <t>Mark Richardson</t>
  </si>
  <si>
    <t>Corey Barrett</t>
  </si>
  <si>
    <t>Tammy Curtis</t>
  </si>
  <si>
    <t>Gina Collins</t>
  </si>
  <si>
    <t>Dakota Hardy</t>
  </si>
  <si>
    <t>Reginald Davis</t>
  </si>
  <si>
    <t>Jessica Scott</t>
  </si>
  <si>
    <t>Michelle Garcia</t>
  </si>
  <si>
    <t>Diane Edwards</t>
  </si>
  <si>
    <t>Michael Pratt</t>
  </si>
  <si>
    <t>Sarah Allen</t>
  </si>
  <si>
    <t>Melanie Reed</t>
  </si>
  <si>
    <t>Austin Hernandez</t>
  </si>
  <si>
    <t>Gregory Brown</t>
  </si>
  <si>
    <t>Sharon Mccarty</t>
  </si>
  <si>
    <t>Clarence Cisneros</t>
  </si>
  <si>
    <t>Cassandra Moore</t>
  </si>
  <si>
    <t>David Blake</t>
  </si>
  <si>
    <t>Debra Pierce</t>
  </si>
  <si>
    <t>Joseph Martinez</t>
  </si>
  <si>
    <t>Kimberly Jefferson</t>
  </si>
  <si>
    <t>Thomas Torres</t>
  </si>
  <si>
    <t>Travis Trevino</t>
  </si>
  <si>
    <t>Cole Gutierrez</t>
  </si>
  <si>
    <t>Brianna Blackwell</t>
  </si>
  <si>
    <t>Colleen Brady</t>
  </si>
  <si>
    <t>Gregory Cummings</t>
  </si>
  <si>
    <t>Kristin Cook</t>
  </si>
  <si>
    <t>Mary Garcia</t>
  </si>
  <si>
    <t>Monica Wagner</t>
  </si>
  <si>
    <t>Taylor Kelly</t>
  </si>
  <si>
    <t>John White</t>
  </si>
  <si>
    <t>Daniel Williams</t>
  </si>
  <si>
    <t>John Lopez Jr.</t>
  </si>
  <si>
    <t>Richard Lester</t>
  </si>
  <si>
    <t>Alan Bradshaw</t>
  </si>
  <si>
    <t>Amanda Wilkins</t>
  </si>
  <si>
    <t>Thomas Moore MD</t>
  </si>
  <si>
    <t>Kathleen Curtis</t>
  </si>
  <si>
    <t>Jay Flores</t>
  </si>
  <si>
    <t>Tony Madden</t>
  </si>
  <si>
    <t>Brandon Smith</t>
  </si>
  <si>
    <t>Connie Leach</t>
  </si>
  <si>
    <t>James Garcia</t>
  </si>
  <si>
    <t>Raymond Powell</t>
  </si>
  <si>
    <t>Ian Farley</t>
  </si>
  <si>
    <t>Leonard Potter</t>
  </si>
  <si>
    <t>Joanne Sullivan</t>
  </si>
  <si>
    <t>William Cortez</t>
  </si>
  <si>
    <t>Tara Perez</t>
  </si>
  <si>
    <t>Parker Delacruz</t>
  </si>
  <si>
    <t>Mark Montoya</t>
  </si>
  <si>
    <t>Lisa Smith</t>
  </si>
  <si>
    <t>Cynthia Jackson</t>
  </si>
  <si>
    <t>Andrew Hughes</t>
  </si>
  <si>
    <t>Christine Hanson</t>
  </si>
  <si>
    <t>Allison Stephens</t>
  </si>
  <si>
    <t>Mary Dillon</t>
  </si>
  <si>
    <t>Scott Patton</t>
  </si>
  <si>
    <t>James Hunt</t>
  </si>
  <si>
    <t>Ethan Davis</t>
  </si>
  <si>
    <t>Nicholas Brown</t>
  </si>
  <si>
    <t>John Peterson</t>
  </si>
  <si>
    <t>James Sanders</t>
  </si>
  <si>
    <t>Zachary Hunt</t>
  </si>
  <si>
    <t>Laura Torres</t>
  </si>
  <si>
    <t>Brett Anderson</t>
  </si>
  <si>
    <t>Stephanie Brown</t>
  </si>
  <si>
    <t>John Wagner</t>
  </si>
  <si>
    <t>Emma Smith</t>
  </si>
  <si>
    <t>Mark Taylor</t>
  </si>
  <si>
    <t>Jonathan Flores</t>
  </si>
  <si>
    <t>Samuel Greer</t>
  </si>
  <si>
    <t>Stephen Payne</t>
  </si>
  <si>
    <t>Rebecca Maxwell</t>
  </si>
  <si>
    <t>Eric Perez</t>
  </si>
  <si>
    <t>April Gonzalez</t>
  </si>
  <si>
    <t>Jaclyn Martin</t>
  </si>
  <si>
    <t>Kenneth Brady</t>
  </si>
  <si>
    <t>Megan Valencia</t>
  </si>
  <si>
    <t>Matthew Watson</t>
  </si>
  <si>
    <t>Jennifer Marshall</t>
  </si>
  <si>
    <t>Tommy Anderson</t>
  </si>
  <si>
    <t>Robert Welch</t>
  </si>
  <si>
    <t>Scott Woodward</t>
  </si>
  <si>
    <t>Christina Clark</t>
  </si>
  <si>
    <t>Joseph Byrd</t>
  </si>
  <si>
    <t>Angelica Contreras</t>
  </si>
  <si>
    <t>Raymond Smith</t>
  </si>
  <si>
    <t>Jessica Thompson</t>
  </si>
  <si>
    <t>Patricia Farrell</t>
  </si>
  <si>
    <t>Jordan Roberts</t>
  </si>
  <si>
    <t>Victor Baker</t>
  </si>
  <si>
    <t>Michael Campbell</t>
  </si>
  <si>
    <t>Kristopher Pugh</t>
  </si>
  <si>
    <t>Candace Carr</t>
  </si>
  <si>
    <t>Andrew Brown</t>
  </si>
  <si>
    <t>Gabriella Smith</t>
  </si>
  <si>
    <t>Michael Winters</t>
  </si>
  <si>
    <t>Kevin Mathews</t>
  </si>
  <si>
    <t>Dylan Hudson</t>
  </si>
  <si>
    <t>Austin Hill</t>
  </si>
  <si>
    <t>Dennis Lee</t>
  </si>
  <si>
    <t>Elizabeth Haynes</t>
  </si>
  <si>
    <t>Samantha Alvarado</t>
  </si>
  <si>
    <t>Charles Daniels</t>
  </si>
  <si>
    <t>Gabriel Holland</t>
  </si>
  <si>
    <t>Kelly Morrow</t>
  </si>
  <si>
    <t>Carrie Chandler</t>
  </si>
  <si>
    <t>Nicholas Burgess</t>
  </si>
  <si>
    <t>Lindsey Jones</t>
  </si>
  <si>
    <t>Michael Bowman</t>
  </si>
  <si>
    <t>Debbie Bernard</t>
  </si>
  <si>
    <t>Stephen Hansen</t>
  </si>
  <si>
    <t>Cindy Smith</t>
  </si>
  <si>
    <t>Heather Saunders</t>
  </si>
  <si>
    <t>Joshua Watkins</t>
  </si>
  <si>
    <t>Angelica Mendez</t>
  </si>
  <si>
    <t>Charlene Martinez</t>
  </si>
  <si>
    <t>Mark Turner</t>
  </si>
  <si>
    <t>Amy Martin</t>
  </si>
  <si>
    <t>Bradley Mitchell</t>
  </si>
  <si>
    <t>Rachel Rice</t>
  </si>
  <si>
    <t>Randy West</t>
  </si>
  <si>
    <t>Nicole Stewart</t>
  </si>
  <si>
    <t>Joyce Marsh</t>
  </si>
  <si>
    <t>Tina Watson</t>
  </si>
  <si>
    <t>Courtney Henderson</t>
  </si>
  <si>
    <t>Melissa Shea</t>
  </si>
  <si>
    <t>Daisy Mcbride</t>
  </si>
  <si>
    <t>Roberto Smith</t>
  </si>
  <si>
    <t>Martha Carlson</t>
  </si>
  <si>
    <t>Tonya Bell</t>
  </si>
  <si>
    <t>Christina Branch</t>
  </si>
  <si>
    <t>Lisa Taylor</t>
  </si>
  <si>
    <t>Dr. Timothy Lopez</t>
  </si>
  <si>
    <t>Mark Kelly</t>
  </si>
  <si>
    <t>Glenn Gonzalez</t>
  </si>
  <si>
    <t>Brittany Barber</t>
  </si>
  <si>
    <t>Brittany Dodson</t>
  </si>
  <si>
    <t>Karen King</t>
  </si>
  <si>
    <t>Joshua Young</t>
  </si>
  <si>
    <t>Elizabeth West</t>
  </si>
  <si>
    <t>Jeanne Campbell</t>
  </si>
  <si>
    <t>Adam Pena</t>
  </si>
  <si>
    <t>Mrs. Brandi Glover MD</t>
  </si>
  <si>
    <t>Paul Ross</t>
  </si>
  <si>
    <t>Gary Andrews</t>
  </si>
  <si>
    <t>Ronald Garcia</t>
  </si>
  <si>
    <t>Morgan Thomas</t>
  </si>
  <si>
    <t>Frank Bass</t>
  </si>
  <si>
    <t>Jeffrey Kelley</t>
  </si>
  <si>
    <t>Chad Whitaker</t>
  </si>
  <si>
    <t>Karina Hardy</t>
  </si>
  <si>
    <t>Steven Anderson</t>
  </si>
  <si>
    <t>Dennis Burke</t>
  </si>
  <si>
    <t>Angela Davis</t>
  </si>
  <si>
    <t>Andrea Huffman</t>
  </si>
  <si>
    <t>Sarah Smith</t>
  </si>
  <si>
    <t>Julia Pena</t>
  </si>
  <si>
    <t>Margaret Kelly</t>
  </si>
  <si>
    <t>Carlos Robinson</t>
  </si>
  <si>
    <t>Scott Rosales</t>
  </si>
  <si>
    <t>Randall Edwards</t>
  </si>
  <si>
    <t>William Schwartz</t>
  </si>
  <si>
    <t>Dana Anderson</t>
  </si>
  <si>
    <t>Erica Martin</t>
  </si>
  <si>
    <t>Heather Conner</t>
  </si>
  <si>
    <t>Nina Ellison</t>
  </si>
  <si>
    <t>Brittney Jackson</t>
  </si>
  <si>
    <t>Mark Mcintyre</t>
  </si>
  <si>
    <t>Michael Madden</t>
  </si>
  <si>
    <t>Alexander Sullivan</t>
  </si>
  <si>
    <t>Brad Acosta</t>
  </si>
  <si>
    <t>Paul Patel</t>
  </si>
  <si>
    <t>Hector Coleman</t>
  </si>
  <si>
    <t>Christopher Duncan</t>
  </si>
  <si>
    <t>Joshua Snyder</t>
  </si>
  <si>
    <t>Lauren Hansen</t>
  </si>
  <si>
    <t>Jacob Maxwell</t>
  </si>
  <si>
    <t>Martin Mccall</t>
  </si>
  <si>
    <t>Chad Tucker</t>
  </si>
  <si>
    <t>Tammy Castro</t>
  </si>
  <si>
    <t>Brian Holt</t>
  </si>
  <si>
    <t>Thomas Mcintosh</t>
  </si>
  <si>
    <t>Pamela Bryant</t>
  </si>
  <si>
    <t>Haley Campbell</t>
  </si>
  <si>
    <t>Steven Michael</t>
  </si>
  <si>
    <t>Cynthia Ryan</t>
  </si>
  <si>
    <t>Jorge Cardenas</t>
  </si>
  <si>
    <t>Charles Mcdonald</t>
  </si>
  <si>
    <t>Joseph Calderon Jr.</t>
  </si>
  <si>
    <t>Scott Powell</t>
  </si>
  <si>
    <t>Austin Burke</t>
  </si>
  <si>
    <t>Michelle Mcgrath</t>
  </si>
  <si>
    <t>Christopher Farley</t>
  </si>
  <si>
    <t>Joseph Wolfe</t>
  </si>
  <si>
    <t>April Paul</t>
  </si>
  <si>
    <t>Keith Joseph</t>
  </si>
  <si>
    <t>Miranda Wood</t>
  </si>
  <si>
    <t>Nicole Miller</t>
  </si>
  <si>
    <t>Terri Frederick</t>
  </si>
  <si>
    <t>Randy Edwards</t>
  </si>
  <si>
    <t>Richard Kline</t>
  </si>
  <si>
    <t>Stacie Olson</t>
  </si>
  <si>
    <t>Andrea Green</t>
  </si>
  <si>
    <t>Heather Hunter</t>
  </si>
  <si>
    <t>Michael Hill</t>
  </si>
  <si>
    <t>Denise Cannon</t>
  </si>
  <si>
    <t>Sarah Edwards</t>
  </si>
  <si>
    <t>Melissa Davenport</t>
  </si>
  <si>
    <t>Ricardo Anthony</t>
  </si>
  <si>
    <t>Cathy Schultz</t>
  </si>
  <si>
    <t>David Morgan</t>
  </si>
  <si>
    <t>Cathy Cooley</t>
  </si>
  <si>
    <t>Daniel Khan</t>
  </si>
  <si>
    <t>Jonathan Galloway</t>
  </si>
  <si>
    <t>David Ray</t>
  </si>
  <si>
    <t>Shawn Williams</t>
  </si>
  <si>
    <t>Lisa Pierce</t>
  </si>
  <si>
    <t>Krystal Hudson</t>
  </si>
  <si>
    <t>Lee Hopkins</t>
  </si>
  <si>
    <t>Amanda Johnson</t>
  </si>
  <si>
    <t>Johnathan Pace</t>
  </si>
  <si>
    <t>Alicia Robinson</t>
  </si>
  <si>
    <t>Kevin Parker</t>
  </si>
  <si>
    <t>Joyce Bennett</t>
  </si>
  <si>
    <t>Jacob Walsh</t>
  </si>
  <si>
    <t>David Taylor</t>
  </si>
  <si>
    <t>Edward Garcia</t>
  </si>
  <si>
    <t>Jonathan Walls</t>
  </si>
  <si>
    <t>Todd Reed</t>
  </si>
  <si>
    <t>Lee Lewis</t>
  </si>
  <si>
    <t>Brent Bailey</t>
  </si>
  <si>
    <t>Bill Lloyd</t>
  </si>
  <si>
    <t>Elizabeth Olsen</t>
  </si>
  <si>
    <t>Kristine Jordan</t>
  </si>
  <si>
    <t>Belinda Williams</t>
  </si>
  <si>
    <t>Rebecca Long</t>
  </si>
  <si>
    <t>Lori Singh</t>
  </si>
  <si>
    <t>Travis Martin</t>
  </si>
  <si>
    <t>Sean Caldwell</t>
  </si>
  <si>
    <t>Angie Branch</t>
  </si>
  <si>
    <t>Chelsea Briggs</t>
  </si>
  <si>
    <t>Patrick Parker</t>
  </si>
  <si>
    <t>Melissa Figueroa</t>
  </si>
  <si>
    <t>Nicole Lewis PhD</t>
  </si>
  <si>
    <t>Raymond Powers</t>
  </si>
  <si>
    <t>Laura Morton</t>
  </si>
  <si>
    <t>Molly Wiley</t>
  </si>
  <si>
    <t>Stanley Pittman</t>
  </si>
  <si>
    <t>Jake Barnes DDS</t>
  </si>
  <si>
    <t>Connie Richardson</t>
  </si>
  <si>
    <t>Kimberly Bautista</t>
  </si>
  <si>
    <t>Brittney Wilson</t>
  </si>
  <si>
    <t>Lisa Johnson</t>
  </si>
  <si>
    <t>Julian Woods</t>
  </si>
  <si>
    <t>Curtis Pennington</t>
  </si>
  <si>
    <t>Jason Hall Jr.</t>
  </si>
  <si>
    <t>Meghan Hunt</t>
  </si>
  <si>
    <t>Robert Maxwell</t>
  </si>
  <si>
    <t>Patrick Spencer</t>
  </si>
  <si>
    <t>Michelle Francis</t>
  </si>
  <si>
    <t>Michelle Scott</t>
  </si>
  <si>
    <t>Susan Duran</t>
  </si>
  <si>
    <t>Donna Smith</t>
  </si>
  <si>
    <t>Dr. Tami Davis</t>
  </si>
  <si>
    <t>Mary Jones</t>
  </si>
  <si>
    <t>Caleb Burns</t>
  </si>
  <si>
    <t>Dawn Clark</t>
  </si>
  <si>
    <t>Laura Irwin</t>
  </si>
  <si>
    <t>Tyrone Perez</t>
  </si>
  <si>
    <t>Richard George</t>
  </si>
  <si>
    <t>Jesse Sims</t>
  </si>
  <si>
    <t>Lisa Green</t>
  </si>
  <si>
    <t>Dawn Gibson</t>
  </si>
  <si>
    <t>Raymond Briggs</t>
  </si>
  <si>
    <t>Abigail Munoz</t>
  </si>
  <si>
    <t>Marcus Reilly</t>
  </si>
  <si>
    <t>Stephanie Barnes</t>
  </si>
  <si>
    <t>Robert Scott</t>
  </si>
  <si>
    <t>Jacqueline Garcia</t>
  </si>
  <si>
    <t>Ashley Frank</t>
  </si>
  <si>
    <t>Mark Perry</t>
  </si>
  <si>
    <t>Jackson Sandoval DDS</t>
  </si>
  <si>
    <t>Keith Ellis</t>
  </si>
  <si>
    <t>Tracey Brewer</t>
  </si>
  <si>
    <t>Thomas Smith</t>
  </si>
  <si>
    <t>Barry Castillo</t>
  </si>
  <si>
    <t>Patrick Cruz</t>
  </si>
  <si>
    <t>Jocelyn Luna</t>
  </si>
  <si>
    <t>Sarah Conley</t>
  </si>
  <si>
    <t>Teresa Cannon</t>
  </si>
  <si>
    <t>Ronnie Ellis</t>
  </si>
  <si>
    <t>Julia Richard</t>
  </si>
  <si>
    <t>Joseph Anderson</t>
  </si>
  <si>
    <t>Cody Wood</t>
  </si>
  <si>
    <t>Micheal Bradley</t>
  </si>
  <si>
    <t>Shirley Cross</t>
  </si>
  <si>
    <t>Chelsea Chang</t>
  </si>
  <si>
    <t>Charles Crawford</t>
  </si>
  <si>
    <t>Cassandra Gibbs DVM</t>
  </si>
  <si>
    <t>Christopher Coleman</t>
  </si>
  <si>
    <t>Jerome Carney</t>
  </si>
  <si>
    <t>Danielle Espinoza</t>
  </si>
  <si>
    <t>Wendy Gomez</t>
  </si>
  <si>
    <t>Nicole Lynn</t>
  </si>
  <si>
    <t>Nicole Watson</t>
  </si>
  <si>
    <t>Anthony Humphrey</t>
  </si>
  <si>
    <t>Sarah Ramos</t>
  </si>
  <si>
    <t>Sarah Cohen</t>
  </si>
  <si>
    <t>Xavier Santana</t>
  </si>
  <si>
    <t>Robert Walter</t>
  </si>
  <si>
    <t>William Stevens</t>
  </si>
  <si>
    <t>Brandy Anderson</t>
  </si>
  <si>
    <t>Joseph Forbes</t>
  </si>
  <si>
    <t>Shelby Powell</t>
  </si>
  <si>
    <t>Jose Gonzales</t>
  </si>
  <si>
    <t>Stacy Howard</t>
  </si>
  <si>
    <t>Lisa Hamilton</t>
  </si>
  <si>
    <t>Benjamin Bell</t>
  </si>
  <si>
    <t>Michael Jackson</t>
  </si>
  <si>
    <t>James Jacobs</t>
  </si>
  <si>
    <t>Tammy Jones</t>
  </si>
  <si>
    <t>Donald Reynolds</t>
  </si>
  <si>
    <t>Mike Andrews</t>
  </si>
  <si>
    <t>David Bryant</t>
  </si>
  <si>
    <t>Beth Brown</t>
  </si>
  <si>
    <t>Heidi Hernandez</t>
  </si>
  <si>
    <t>Kerry Sanford</t>
  </si>
  <si>
    <t>Sara Flowers</t>
  </si>
  <si>
    <t>Megan Serrano</t>
  </si>
  <si>
    <t>Jessica Rhodes</t>
  </si>
  <si>
    <t>Hannah Jensen</t>
  </si>
  <si>
    <t>Matthew Knight</t>
  </si>
  <si>
    <t>Benjamin Thompson</t>
  </si>
  <si>
    <t>Brooke Oneal</t>
  </si>
  <si>
    <t>Jared Walker</t>
  </si>
  <si>
    <t>Nathan Harris</t>
  </si>
  <si>
    <t>Christopher Thompson</t>
  </si>
  <si>
    <t>Warren Warner</t>
  </si>
  <si>
    <t>Joseph Gonzalez</t>
  </si>
  <si>
    <t>Matthew Adams</t>
  </si>
  <si>
    <t>Matthew Rice</t>
  </si>
  <si>
    <t>Gabrielle Greer</t>
  </si>
  <si>
    <t>Tracy Thomas</t>
  </si>
  <si>
    <t>Kevin Morris</t>
  </si>
  <si>
    <t>Jennifer Wilson</t>
  </si>
  <si>
    <t>Brenda Guerrero</t>
  </si>
  <si>
    <t>Sarah Parker</t>
  </si>
  <si>
    <t>Kyle Jennings</t>
  </si>
  <si>
    <t>Destiny Sanders</t>
  </si>
  <si>
    <t>Amy Taylor</t>
  </si>
  <si>
    <t>Kevin Smith</t>
  </si>
  <si>
    <t>Kathryn Simmons</t>
  </si>
  <si>
    <t>Jacob Chan</t>
  </si>
  <si>
    <t>Alfred Ruiz</t>
  </si>
  <si>
    <t>Kevin Perry</t>
  </si>
  <si>
    <t>Mary Miller</t>
  </si>
  <si>
    <t>Amanda Beltran</t>
  </si>
  <si>
    <t>Kristen Chaney</t>
  </si>
  <si>
    <t>Rachel Miller</t>
  </si>
  <si>
    <t>Denise Parker</t>
  </si>
  <si>
    <t>Juan Stone</t>
  </si>
  <si>
    <t>Frank Roberts</t>
  </si>
  <si>
    <t>Vanessa Knapp</t>
  </si>
  <si>
    <t>Joseph Short PhD</t>
  </si>
  <si>
    <t>Tonya Robinson</t>
  </si>
  <si>
    <t>Tiffany Martin</t>
  </si>
  <si>
    <t>Courtney Scott</t>
  </si>
  <si>
    <t>Molly Hayes</t>
  </si>
  <si>
    <t>Joseph Sandoval</t>
  </si>
  <si>
    <t>Elizabeth Shepard</t>
  </si>
  <si>
    <t>Michael Richards</t>
  </si>
  <si>
    <t>Stacy Rodriguez</t>
  </si>
  <si>
    <t>Rachael Burns</t>
  </si>
  <si>
    <t>Wendy Cole</t>
  </si>
  <si>
    <t>Christopher Dean</t>
  </si>
  <si>
    <t>Amy Hall</t>
  </si>
  <si>
    <t>Samuel Howard</t>
  </si>
  <si>
    <t>Anna Mckay</t>
  </si>
  <si>
    <t>Elizabeth Williams</t>
  </si>
  <si>
    <t>Deanna Lopez</t>
  </si>
  <si>
    <t>Holly Gibbs</t>
  </si>
  <si>
    <t>Lori Woods</t>
  </si>
  <si>
    <t>Brandon Steele</t>
  </si>
  <si>
    <t>Dr. Phyllis Wilkerson MD</t>
  </si>
  <si>
    <t>Allen Cunningham</t>
  </si>
  <si>
    <t>Fernando Hill</t>
  </si>
  <si>
    <t>Kristie Roman</t>
  </si>
  <si>
    <t>Erica Moore</t>
  </si>
  <si>
    <t>Joel Hardy</t>
  </si>
  <si>
    <t>Stephanie Cooke</t>
  </si>
  <si>
    <t>Debbie Dunn</t>
  </si>
  <si>
    <t>Anna Lindsey</t>
  </si>
  <si>
    <t>Sherry Lowe</t>
  </si>
  <si>
    <t>Gregory Garcia</t>
  </si>
  <si>
    <t>Dr. Troy Arnold MD</t>
  </si>
  <si>
    <t>William Evans</t>
  </si>
  <si>
    <t>Sabrina Bailey</t>
  </si>
  <si>
    <t>Jacob Houston</t>
  </si>
  <si>
    <t>Paige Warren</t>
  </si>
  <si>
    <t>Joshua Wright</t>
  </si>
  <si>
    <t>Emily Hernandez</t>
  </si>
  <si>
    <t>Philip Mccoy</t>
  </si>
  <si>
    <t>Katherine Chen</t>
  </si>
  <si>
    <t>Richard White</t>
  </si>
  <si>
    <t>Jill Harris</t>
  </si>
  <si>
    <t>April Woods</t>
  </si>
  <si>
    <t>Sandra Barajas</t>
  </si>
  <si>
    <t>Warren Bradshaw</t>
  </si>
  <si>
    <t>Timothy Robinson</t>
  </si>
  <si>
    <t>Joshua Norman</t>
  </si>
  <si>
    <t>Raymond Frye</t>
  </si>
  <si>
    <t>Robert Petersen</t>
  </si>
  <si>
    <t>Jose Thompson</t>
  </si>
  <si>
    <t>Cheryl Gray</t>
  </si>
  <si>
    <t>Brent Morrison</t>
  </si>
  <si>
    <t>Michael Hunt</t>
  </si>
  <si>
    <t>Anthony Reed</t>
  </si>
  <si>
    <t>Steven Johnston</t>
  </si>
  <si>
    <t>Amanda Rich DVM</t>
  </si>
  <si>
    <t>Raymond Snyder</t>
  </si>
  <si>
    <t>Tiffany Johnson</t>
  </si>
  <si>
    <t>Marcus Newton</t>
  </si>
  <si>
    <t>Larry Mullins</t>
  </si>
  <si>
    <t>Danielle Roberson</t>
  </si>
  <si>
    <t>James Johnson</t>
  </si>
  <si>
    <t>Benjamin Bailey</t>
  </si>
  <si>
    <t>Matthew Taylor</t>
  </si>
  <si>
    <t>Stephen Sparks</t>
  </si>
  <si>
    <t>Laura Baker</t>
  </si>
  <si>
    <t>Gary Williams</t>
  </si>
  <si>
    <t>Kayla Randolph</t>
  </si>
  <si>
    <t>Kristi Francis</t>
  </si>
  <si>
    <t>Ashley Mckinney</t>
  </si>
  <si>
    <t>Robin Mckay</t>
  </si>
  <si>
    <t>Angela Porter</t>
  </si>
  <si>
    <t>Amy Tran</t>
  </si>
  <si>
    <t>Bryan Frazier</t>
  </si>
  <si>
    <t>Richard Barnett</t>
  </si>
  <si>
    <t>George Mueller</t>
  </si>
  <si>
    <t>Tara Hernandez</t>
  </si>
  <si>
    <t>Joseph Ponce</t>
  </si>
  <si>
    <t>Mrs. Rebecca Moore</t>
  </si>
  <si>
    <t>Mary Adams</t>
  </si>
  <si>
    <t>Tracy Mills</t>
  </si>
  <si>
    <t>Pamela Mueller</t>
  </si>
  <si>
    <t>Bill Miller</t>
  </si>
  <si>
    <t>Wesley Rosales</t>
  </si>
  <si>
    <t>Regina Ortiz</t>
  </si>
  <si>
    <t>Dawn Williams</t>
  </si>
  <si>
    <t>Carlos Hinton</t>
  </si>
  <si>
    <t>Jesse Brennan</t>
  </si>
  <si>
    <t>Joseph Dunn</t>
  </si>
  <si>
    <t>Gabriela Blake</t>
  </si>
  <si>
    <t>Vicki Morales</t>
  </si>
  <si>
    <t>Kim Mitchell</t>
  </si>
  <si>
    <t>Steven Thomas</t>
  </si>
  <si>
    <t>Martin Williams</t>
  </si>
  <si>
    <t>Stephen Whitehead</t>
  </si>
  <si>
    <t>Craig Mclean</t>
  </si>
  <si>
    <t>Danielle Fowler</t>
  </si>
  <si>
    <t>Heather Phillips</t>
  </si>
  <si>
    <t>Mark Williams</t>
  </si>
  <si>
    <t>Tyler Stokes</t>
  </si>
  <si>
    <t>Dylan Flowers</t>
  </si>
  <si>
    <t>Ryan Turner</t>
  </si>
  <si>
    <t>Nicholas Suarez</t>
  </si>
  <si>
    <t>Brandy Hinton</t>
  </si>
  <si>
    <t>Anita Shannon</t>
  </si>
  <si>
    <t>Haley Hill</t>
  </si>
  <si>
    <t>Lauren Norris</t>
  </si>
  <si>
    <t>Christopher Foster</t>
  </si>
  <si>
    <t>Roger Hill</t>
  </si>
  <si>
    <t>William Williams</t>
  </si>
  <si>
    <t>Mary Smith</t>
  </si>
  <si>
    <t>Kimberly Webb</t>
  </si>
  <si>
    <t>Ernest Jackson</t>
  </si>
  <si>
    <t>Guy Pena</t>
  </si>
  <si>
    <t>Mr. Michael Thomas</t>
  </si>
  <si>
    <t>Jennifer Romero</t>
  </si>
  <si>
    <t>Male</t>
  </si>
  <si>
    <t>FEMALE</t>
  </si>
  <si>
    <t>Female</t>
  </si>
  <si>
    <t>male</t>
  </si>
  <si>
    <t>F</t>
  </si>
  <si>
    <t>MALE</t>
  </si>
  <si>
    <t>female</t>
  </si>
  <si>
    <t>M</t>
  </si>
  <si>
    <t>Nakuru</t>
  </si>
  <si>
    <t>Kisumu</t>
  </si>
  <si>
    <t>Machakos</t>
  </si>
  <si>
    <t>Thika</t>
  </si>
  <si>
    <t>Kakamega</t>
  </si>
  <si>
    <t>Nyeri</t>
  </si>
  <si>
    <t>Nairobi</t>
  </si>
  <si>
    <t>Mombasa</t>
  </si>
  <si>
    <t>Eldoret</t>
  </si>
  <si>
    <t>Meru</t>
  </si>
  <si>
    <t xml:space="preserve"> Thika </t>
  </si>
  <si>
    <t xml:space="preserve"> Nakuru </t>
  </si>
  <si>
    <t xml:space="preserve"> Kisumu </t>
  </si>
  <si>
    <t xml:space="preserve"> Mombasa </t>
  </si>
  <si>
    <t xml:space="preserve"> Meru </t>
  </si>
  <si>
    <t xml:space="preserve"> Nairobi </t>
  </si>
  <si>
    <t xml:space="preserve"> Kakamega </t>
  </si>
  <si>
    <t xml:space="preserve"> Nyeri </t>
  </si>
  <si>
    <t xml:space="preserve"> Eldoret </t>
  </si>
  <si>
    <t xml:space="preserve"> Machakos </t>
  </si>
  <si>
    <t>Business Owner</t>
  </si>
  <si>
    <t>Employed</t>
  </si>
  <si>
    <t>Self-Employed</t>
  </si>
  <si>
    <t>Unemployed</t>
  </si>
  <si>
    <t>12.63%</t>
  </si>
  <si>
    <t>19.54%</t>
  </si>
  <si>
    <t>8.83%</t>
  </si>
  <si>
    <t>8.79%</t>
  </si>
  <si>
    <t>10.39%</t>
  </si>
  <si>
    <t>19.31%</t>
  </si>
  <si>
    <t>15.35%</t>
  </si>
  <si>
    <t>12.36%</t>
  </si>
  <si>
    <t>17.0%</t>
  </si>
  <si>
    <t>27.09%</t>
  </si>
  <si>
    <t>14.31%</t>
  </si>
  <si>
    <t>14.56%</t>
  </si>
  <si>
    <t>18.94%</t>
  </si>
  <si>
    <t>17.54%</t>
  </si>
  <si>
    <t>25.47%</t>
  </si>
  <si>
    <t>11.25%</t>
  </si>
  <si>
    <t>11.23%</t>
  </si>
  <si>
    <t>16.17%</t>
  </si>
  <si>
    <t>11.84%</t>
  </si>
  <si>
    <t>10.11%</t>
  </si>
  <si>
    <t>16.61%</t>
  </si>
  <si>
    <t>20.97%</t>
  </si>
  <si>
    <t>21.17%</t>
  </si>
  <si>
    <t>9.94%</t>
  </si>
  <si>
    <t>Medical</t>
  </si>
  <si>
    <t>Personal</t>
  </si>
  <si>
    <t>Home Improvement</t>
  </si>
  <si>
    <t>Business</t>
  </si>
  <si>
    <t>Agriculture</t>
  </si>
  <si>
    <t>Education</t>
  </si>
  <si>
    <t>Late (31-60 days)</t>
  </si>
  <si>
    <t>Fully Paid</t>
  </si>
  <si>
    <t>Current</t>
  </si>
  <si>
    <t>Charged Off</t>
  </si>
  <si>
    <t>Late (61-90 days)</t>
  </si>
  <si>
    <t>Default</t>
  </si>
  <si>
    <t>fully paid</t>
  </si>
  <si>
    <t>current</t>
  </si>
  <si>
    <t>defaulted</t>
  </si>
  <si>
    <t>charged off</t>
  </si>
  <si>
    <t>DEFAULT</t>
  </si>
  <si>
    <t>CURRENT</t>
  </si>
  <si>
    <t>2020-12-04</t>
  </si>
  <si>
    <t>2022-05-08</t>
  </si>
  <si>
    <t>2023-11-05</t>
  </si>
  <si>
    <t>2021-01-25</t>
  </si>
  <si>
    <t>31 Jul 2022</t>
  </si>
  <si>
    <t>2022-02-18</t>
  </si>
  <si>
    <t>2021-04-20</t>
  </si>
  <si>
    <t>2020-11-19</t>
  </si>
  <si>
    <t>2020-02-26</t>
  </si>
  <si>
    <t>2022-02-22</t>
  </si>
  <si>
    <t>2021-07-26</t>
  </si>
  <si>
    <t>2023-07-24</t>
  </si>
  <si>
    <t>2020-05-04</t>
  </si>
  <si>
    <t>2022-05-16</t>
  </si>
  <si>
    <t>2023-12-17</t>
  </si>
  <si>
    <t>2022-10-31</t>
  </si>
  <si>
    <t>2021-03-09</t>
  </si>
  <si>
    <t>2020-02-29</t>
  </si>
  <si>
    <t>2020-05-10</t>
  </si>
  <si>
    <t>2020-07-29</t>
  </si>
  <si>
    <t>2020-10-22</t>
  </si>
  <si>
    <t>2022-11-06</t>
  </si>
  <si>
    <t>2022-03-19</t>
  </si>
  <si>
    <t>2021-10-08</t>
  </si>
  <si>
    <t>2020-05-20</t>
  </si>
  <si>
    <t>2021-12-20</t>
  </si>
  <si>
    <t>2020-06-14</t>
  </si>
  <si>
    <t>2022-03-26</t>
  </si>
  <si>
    <t>2023-11-27</t>
  </si>
  <si>
    <t>2023-11-06</t>
  </si>
  <si>
    <t>2020-04-13</t>
  </si>
  <si>
    <t>11-14-2023</t>
  </si>
  <si>
    <t>2023-10-03</t>
  </si>
  <si>
    <t>2020-03-22</t>
  </si>
  <si>
    <t>2021-04-05</t>
  </si>
  <si>
    <t>2023-05-09</t>
  </si>
  <si>
    <t>2022-08-30</t>
  </si>
  <si>
    <t>2022-01-17</t>
  </si>
  <si>
    <t>2022-09-02</t>
  </si>
  <si>
    <t>2022-02-17</t>
  </si>
  <si>
    <t>2022-05-17</t>
  </si>
  <si>
    <t>2023-06-20</t>
  </si>
  <si>
    <t>2023-05-01</t>
  </si>
  <si>
    <t>2022-02-25</t>
  </si>
  <si>
    <t>2023-09-02</t>
  </si>
  <si>
    <t>2023-07-07</t>
  </si>
  <si>
    <t>2021-05-26</t>
  </si>
  <si>
    <t>2022-11-17</t>
  </si>
  <si>
    <t>2022-07-18</t>
  </si>
  <si>
    <t>2022-08-19</t>
  </si>
  <si>
    <t>2023-03-10</t>
  </si>
  <si>
    <t>2022-04-13</t>
  </si>
  <si>
    <t>2022-04-21</t>
  </si>
  <si>
    <t>2022-06-23</t>
  </si>
  <si>
    <t>2021-05-13</t>
  </si>
  <si>
    <t>2020-12-26</t>
  </si>
  <si>
    <t>2020-03-31</t>
  </si>
  <si>
    <t>2021-01-23</t>
  </si>
  <si>
    <t>2021-01-14</t>
  </si>
  <si>
    <t>2022-02-11</t>
  </si>
  <si>
    <t>2023-01-07</t>
  </si>
  <si>
    <t>2023-05-21</t>
  </si>
  <si>
    <t>2021-04-23</t>
  </si>
  <si>
    <t>2021-07-24</t>
  </si>
  <si>
    <t>2022-01-19</t>
  </si>
  <si>
    <t>2021-05-04</t>
  </si>
  <si>
    <t>2023-02-01</t>
  </si>
  <si>
    <t>2023-02-04</t>
  </si>
  <si>
    <t>2021-12-22</t>
  </si>
  <si>
    <t>2022-01-24</t>
  </si>
  <si>
    <t>2023-05-26</t>
  </si>
  <si>
    <t>2023-10-05</t>
  </si>
  <si>
    <t>2022-04-04</t>
  </si>
  <si>
    <t>2022-11-21</t>
  </si>
  <si>
    <t>2022-05-01</t>
  </si>
  <si>
    <t>2022-09-19</t>
  </si>
  <si>
    <t>2023-08-19</t>
  </si>
  <si>
    <t>2023-08-25</t>
  </si>
  <si>
    <t>2023-01-11</t>
  </si>
  <si>
    <t>2022-03-17</t>
  </si>
  <si>
    <t>2021-01-07</t>
  </si>
  <si>
    <t>2021-09-09</t>
  </si>
  <si>
    <t>2023-01-09</t>
  </si>
  <si>
    <t>2022-01-03</t>
  </si>
  <si>
    <t>2022-08-26</t>
  </si>
  <si>
    <t>2020-04-12</t>
  </si>
  <si>
    <t>2021-11-02</t>
  </si>
  <si>
    <t>2021-11-27</t>
  </si>
  <si>
    <t>2020-06-07</t>
  </si>
  <si>
    <t>2023-06-02</t>
  </si>
  <si>
    <t>08-05-2021</t>
  </si>
  <si>
    <t>2020-03-19</t>
  </si>
  <si>
    <t>2023-09-17</t>
  </si>
  <si>
    <t>2023-01-05</t>
  </si>
  <si>
    <t>2022-05-28</t>
  </si>
  <si>
    <t>2020-05-11</t>
  </si>
  <si>
    <t>2020-12-23</t>
  </si>
  <si>
    <t>2021-09-30</t>
  </si>
  <si>
    <t>2020-09-15</t>
  </si>
  <si>
    <t>2020-07-17</t>
  </si>
  <si>
    <t>2022-04-26</t>
  </si>
  <si>
    <t>2021-06-27</t>
  </si>
  <si>
    <t>2021-07-21</t>
  </si>
  <si>
    <t>2020-10-04</t>
  </si>
  <si>
    <t>2021-10-04</t>
  </si>
  <si>
    <t>2020-11-22</t>
  </si>
  <si>
    <t>2021-03-07</t>
  </si>
  <si>
    <t>05 Nov 2022</t>
  </si>
  <si>
    <t>2023-07-25</t>
  </si>
  <si>
    <t>2022-07-21</t>
  </si>
  <si>
    <t>2020-07-27</t>
  </si>
  <si>
    <t>2020-02-12</t>
  </si>
  <si>
    <t>2020-06-23</t>
  </si>
  <si>
    <t>2023-06-01</t>
  </si>
  <si>
    <t>2020-07-03</t>
  </si>
  <si>
    <t>2021-08-21</t>
  </si>
  <si>
    <t>2020-08-09</t>
  </si>
  <si>
    <t>2020-06-10</t>
  </si>
  <si>
    <t>2022-09-27</t>
  </si>
  <si>
    <t>2020-10-18</t>
  </si>
  <si>
    <t>23/08/2023</t>
  </si>
  <si>
    <t>2020-11-12</t>
  </si>
  <si>
    <t>2023-01-24</t>
  </si>
  <si>
    <t>2020-09-04</t>
  </si>
  <si>
    <t>2023-04-02</t>
  </si>
  <si>
    <t>2021-11-22</t>
  </si>
  <si>
    <t>2023-09-29</t>
  </si>
  <si>
    <t>2021-10-30</t>
  </si>
  <si>
    <t>2020-02-13</t>
  </si>
  <si>
    <t>2021-03-18</t>
  </si>
  <si>
    <t>2022-09-03</t>
  </si>
  <si>
    <t>2021-10-11</t>
  </si>
  <si>
    <t>2022-11-13</t>
  </si>
  <si>
    <t>2020-05-23</t>
  </si>
  <si>
    <t>2020-12-09</t>
  </si>
  <si>
    <t>2022-11-19</t>
  </si>
  <si>
    <t>2020-03-02</t>
  </si>
  <si>
    <t>2022-03-28</t>
  </si>
  <si>
    <t>2021-09-21</t>
  </si>
  <si>
    <t>2022-11-27</t>
  </si>
  <si>
    <t>2022-06-18</t>
  </si>
  <si>
    <t>2021-04-29</t>
  </si>
  <si>
    <t>2022-12-16</t>
  </si>
  <si>
    <t>2021-10-31</t>
  </si>
  <si>
    <t>07-18-2022</t>
  </si>
  <si>
    <t>2020-10-02</t>
  </si>
  <si>
    <t>2021-09-14</t>
  </si>
  <si>
    <t>2021-05-08</t>
  </si>
  <si>
    <t>2021-02-15</t>
  </si>
  <si>
    <t>2023-08-16</t>
  </si>
  <si>
    <t>2023-02-15</t>
  </si>
  <si>
    <t>2020-02-22</t>
  </si>
  <si>
    <t>2023-04-15</t>
  </si>
  <si>
    <t>2022-10-07</t>
  </si>
  <si>
    <t>August 20, 2022</t>
  </si>
  <si>
    <t>2023-04-20</t>
  </si>
  <si>
    <t>2021-04-30</t>
  </si>
  <si>
    <t>2020-06-02</t>
  </si>
  <si>
    <t>2023-08-01</t>
  </si>
  <si>
    <t>2020-05-22</t>
  </si>
  <si>
    <t>2023-04-27</t>
  </si>
  <si>
    <t>2020-12-03</t>
  </si>
  <si>
    <t>2023-10-19</t>
  </si>
  <si>
    <t>2021-11-03</t>
  </si>
  <si>
    <t>2022-01-05</t>
  </si>
  <si>
    <t>2021-03-24</t>
  </si>
  <si>
    <t>2020-08-04</t>
  </si>
  <si>
    <t>2023-04-22</t>
  </si>
  <si>
    <t>2021-05-25</t>
  </si>
  <si>
    <t>2021-09-11</t>
  </si>
  <si>
    <t>2022-07-08</t>
  </si>
  <si>
    <t>2020-01-20</t>
  </si>
  <si>
    <t>2021-04-26</t>
  </si>
  <si>
    <t>2023-01-06</t>
  </si>
  <si>
    <t>2021-05-20</t>
  </si>
  <si>
    <t>2021-04-13</t>
  </si>
  <si>
    <t>2023-11-22</t>
  </si>
  <si>
    <t>2023-04-11</t>
  </si>
  <si>
    <t>2020-08-23</t>
  </si>
  <si>
    <t>2023-03-26</t>
  </si>
  <si>
    <t>2020-02-28</t>
  </si>
  <si>
    <t>2021-09-19</t>
  </si>
  <si>
    <t>2021-08-25</t>
  </si>
  <si>
    <t>2021-03-08</t>
  </si>
  <si>
    <t>2022-08-12</t>
  </si>
  <si>
    <t>2020-10-12</t>
  </si>
  <si>
    <t>2023-07-04</t>
  </si>
  <si>
    <t>2022-04-08</t>
  </si>
  <si>
    <t>2022-12-19</t>
  </si>
  <si>
    <t>2022-08-08</t>
  </si>
  <si>
    <t>2023-11-29</t>
  </si>
  <si>
    <t>11-17-2020</t>
  </si>
  <si>
    <t>2021-11-19</t>
  </si>
  <si>
    <t>2022-06-12</t>
  </si>
  <si>
    <t>2022-05-14</t>
  </si>
  <si>
    <t>2020-10-10</t>
  </si>
  <si>
    <t>2021-07-31</t>
  </si>
  <si>
    <t>2022-08-02</t>
  </si>
  <si>
    <t>2020-11-14</t>
  </si>
  <si>
    <t>2023-10-28</t>
  </si>
  <si>
    <t>2022-05-12</t>
  </si>
  <si>
    <t>2022-06-27</t>
  </si>
  <si>
    <t>2023-12-11</t>
  </si>
  <si>
    <t>2020-04-03</t>
  </si>
  <si>
    <t>2020-12-24</t>
  </si>
  <si>
    <t>2023-11-13</t>
  </si>
  <si>
    <t>2021-10-19</t>
  </si>
  <si>
    <t>2023-07-16</t>
  </si>
  <si>
    <t>2021-08-24</t>
  </si>
  <si>
    <t>2023-09-21</t>
  </si>
  <si>
    <t>2021-06-28</t>
  </si>
  <si>
    <t>2021-06-25</t>
  </si>
  <si>
    <t>2023-05-05</t>
  </si>
  <si>
    <t>2023-04-17</t>
  </si>
  <si>
    <t>2020-06-22</t>
  </si>
  <si>
    <t>2022-01-28</t>
  </si>
  <si>
    <t>2021-08-09</t>
  </si>
  <si>
    <t>2021-05-29</t>
  </si>
  <si>
    <t>2020-04-30</t>
  </si>
  <si>
    <t>2022-06-10</t>
  </si>
  <si>
    <t>2020-08-20</t>
  </si>
  <si>
    <t>2020-04-29</t>
  </si>
  <si>
    <t>2020-09-18</t>
  </si>
  <si>
    <t>2021-06-13</t>
  </si>
  <si>
    <t>2023-12-06</t>
  </si>
  <si>
    <t>2023-08-23</t>
  </si>
  <si>
    <t>2021-06-14</t>
  </si>
  <si>
    <t>2021-06-16</t>
  </si>
  <si>
    <t>2023-09-27</t>
  </si>
  <si>
    <t>2022-09-17</t>
  </si>
  <si>
    <t>2022-10-09</t>
  </si>
  <si>
    <t>2020-11-04</t>
  </si>
  <si>
    <t>2022-02-19</t>
  </si>
  <si>
    <t>2022-07-20</t>
  </si>
  <si>
    <t>2023-07-29</t>
  </si>
  <si>
    <t>2022-10-04</t>
  </si>
  <si>
    <t>2020-02-21</t>
  </si>
  <si>
    <t>17 Sep 2021</t>
  </si>
  <si>
    <t>2022-05-30</t>
  </si>
  <si>
    <t>2022-04-28</t>
  </si>
  <si>
    <t>2023-04-04</t>
  </si>
  <si>
    <t>2022-04-30</t>
  </si>
  <si>
    <t>2021-01-27</t>
  </si>
  <si>
    <t>2020-10-19</t>
  </si>
  <si>
    <t>2022-08-20</t>
  </si>
  <si>
    <t>2023-01-31</t>
  </si>
  <si>
    <t>2021-01-30</t>
  </si>
  <si>
    <t>2023-10-07</t>
  </si>
  <si>
    <t>2022-09-21</t>
  </si>
  <si>
    <t>23/05/2021</t>
  </si>
  <si>
    <t>2022-04-02</t>
  </si>
  <si>
    <t>2021-04-16</t>
  </si>
  <si>
    <t>2023-01-04</t>
  </si>
  <si>
    <t>2020-11-06</t>
  </si>
  <si>
    <t>2023-01-03</t>
  </si>
  <si>
    <t>2021-03-25</t>
  </si>
  <si>
    <t>2020-03-08</t>
  </si>
  <si>
    <t>2022-08-09</t>
  </si>
  <si>
    <t>2022-03-07</t>
  </si>
  <si>
    <t>2020-07-28</t>
  </si>
  <si>
    <t>2021-09-29</t>
  </si>
  <si>
    <t>2022-11-02</t>
  </si>
  <si>
    <t>2022-01-29</t>
  </si>
  <si>
    <t>2023-04-12</t>
  </si>
  <si>
    <t>2022-05-27</t>
  </si>
  <si>
    <t>2023-09-10</t>
  </si>
  <si>
    <t>2020-12-25</t>
  </si>
  <si>
    <t>2023-02-07</t>
  </si>
  <si>
    <t>2023-03-25</t>
  </si>
  <si>
    <t>May 15, 2022</t>
  </si>
  <si>
    <t>2022-07-14</t>
  </si>
  <si>
    <t>2022-03-31</t>
  </si>
  <si>
    <t>2022-11-26</t>
  </si>
  <si>
    <t>2022-07-10</t>
  </si>
  <si>
    <t>2022-05-10</t>
  </si>
  <si>
    <t>2023-05-03</t>
  </si>
  <si>
    <t>2023-05-02</t>
  </si>
  <si>
    <t>2021-05-21</t>
  </si>
  <si>
    <t>2020-09-12</t>
  </si>
  <si>
    <t>2020-08-06</t>
  </si>
  <si>
    <t>2022-12-26</t>
  </si>
  <si>
    <t>2022-07-24</t>
  </si>
  <si>
    <t>2023-01-20</t>
  </si>
  <si>
    <t>2021-10-09</t>
  </si>
  <si>
    <t>2023-09-11</t>
  </si>
  <si>
    <t>2021-02-02</t>
  </si>
  <si>
    <t>2022-01-25</t>
  </si>
  <si>
    <t>08/11/2021</t>
  </si>
  <si>
    <t>2021-05-03</t>
  </si>
  <si>
    <t>2022-10-11</t>
  </si>
  <si>
    <t>August 14, 2022</t>
  </si>
  <si>
    <t>2020-02-20</t>
  </si>
  <si>
    <t>2021-06-18</t>
  </si>
  <si>
    <t>2021-06-30</t>
  </si>
  <si>
    <t>2020-09-02</t>
  </si>
  <si>
    <t>2020-07-10</t>
  </si>
  <si>
    <t>2020-02-14</t>
  </si>
  <si>
    <t>2023-12-19</t>
  </si>
  <si>
    <t>2023-01-22</t>
  </si>
  <si>
    <t>2020-06-15</t>
  </si>
  <si>
    <t>April 11, 2021</t>
  </si>
  <si>
    <t>2021-10-24</t>
  </si>
  <si>
    <t>2022-06-16</t>
  </si>
  <si>
    <t>2022-01-10</t>
  </si>
  <si>
    <t>2023-06-25</t>
  </si>
  <si>
    <t>2022-12-29</t>
  </si>
  <si>
    <t>2023-01-21</t>
  </si>
  <si>
    <t>2022-03-23</t>
  </si>
  <si>
    <t>2021-01-24</t>
  </si>
  <si>
    <t>2023-07-13</t>
  </si>
  <si>
    <t>2021-04-21</t>
  </si>
  <si>
    <t>2021-10-25</t>
  </si>
  <si>
    <t>2022-05-11</t>
  </si>
  <si>
    <t>2021-05-07</t>
  </si>
  <si>
    <t>2022-06-24</t>
  </si>
  <si>
    <t>2023-02-16</t>
  </si>
  <si>
    <t>2023-01-16</t>
  </si>
  <si>
    <t>2020-01-13</t>
  </si>
  <si>
    <t>2023-03-01</t>
  </si>
  <si>
    <t>2021-08-13</t>
  </si>
  <si>
    <t>2023-02-14</t>
  </si>
  <si>
    <t>2022-04-12</t>
  </si>
  <si>
    <t>2022-05-02</t>
  </si>
  <si>
    <t>2021-03-10</t>
  </si>
  <si>
    <t>2021-05-28</t>
  </si>
  <si>
    <t>2022-12-06</t>
  </si>
  <si>
    <t>2020-06-26</t>
  </si>
  <si>
    <t>2023-08-13</t>
  </si>
  <si>
    <t>2020-11-23</t>
  </si>
  <si>
    <t>2021-08-19</t>
  </si>
  <si>
    <t>2022-07-25</t>
  </si>
  <si>
    <t>2021-10-26</t>
  </si>
  <si>
    <t>2020-05-28</t>
  </si>
  <si>
    <t>2023-02-23</t>
  </si>
  <si>
    <t>2021-11-23</t>
  </si>
  <si>
    <t>2021-05-27</t>
  </si>
  <si>
    <t>2022-06-06</t>
  </si>
  <si>
    <t>2021-06-20</t>
  </si>
  <si>
    <t>2021-04-07</t>
  </si>
  <si>
    <t>2020-01-29</t>
  </si>
  <si>
    <t>2023-08-07</t>
  </si>
  <si>
    <t>2023-09-22</t>
  </si>
  <si>
    <t>2020-08-05</t>
  </si>
  <si>
    <t>2023-09-20</t>
  </si>
  <si>
    <t>2023-09-16</t>
  </si>
  <si>
    <t>2021-04-28</t>
  </si>
  <si>
    <t>2022-12-13</t>
  </si>
  <si>
    <t>2022-08-31</t>
  </si>
  <si>
    <t>2021-05-09</t>
  </si>
  <si>
    <t>2021-03-14</t>
  </si>
  <si>
    <t>07-23-2021</t>
  </si>
  <si>
    <t>2023-06-03</t>
  </si>
  <si>
    <t>2023-03-23</t>
  </si>
  <si>
    <t>2022-02-20</t>
  </si>
  <si>
    <t>2020-03-16</t>
  </si>
  <si>
    <t>2021-04-01</t>
  </si>
  <si>
    <t>2021-12-15</t>
  </si>
  <si>
    <t>2020-01-17</t>
  </si>
  <si>
    <t>2020-08-26</t>
  </si>
  <si>
    <t>2022-03-08</t>
  </si>
  <si>
    <t>2022-06-02</t>
  </si>
  <si>
    <t>2020-05-03</t>
  </si>
  <si>
    <t>2023-04-19</t>
  </si>
  <si>
    <t>2020-05-07</t>
  </si>
  <si>
    <t>2021-09-17</t>
  </si>
  <si>
    <t>2020-08-11</t>
  </si>
  <si>
    <t>11-25-2023</t>
  </si>
  <si>
    <t>2020-01-24</t>
  </si>
  <si>
    <t>2021-08-23</t>
  </si>
  <si>
    <t>2021-07-10</t>
  </si>
  <si>
    <t>2020-05-21</t>
  </si>
  <si>
    <t>2023-03-15</t>
  </si>
  <si>
    <t>2021-10-27</t>
  </si>
  <si>
    <t>2023-06-29</t>
  </si>
  <si>
    <t>20 Jul 2022</t>
  </si>
  <si>
    <t>2021-08-02</t>
  </si>
  <si>
    <t>2022-07-06</t>
  </si>
  <si>
    <t>2020-09-28</t>
  </si>
  <si>
    <t>2022-02-15</t>
  </si>
  <si>
    <t>2023-01-13</t>
  </si>
  <si>
    <t>2021-09-06</t>
  </si>
  <si>
    <t>2023-12-22</t>
  </si>
  <si>
    <t>2022-09-18</t>
  </si>
  <si>
    <t>2021-04-14</t>
  </si>
  <si>
    <t>2020-02-24</t>
  </si>
  <si>
    <t>2021-02-11</t>
  </si>
  <si>
    <t>2021-07-11</t>
  </si>
  <si>
    <t>2022-06-11</t>
  </si>
  <si>
    <t>2023-05-07</t>
  </si>
  <si>
    <t>2023-03-02</t>
  </si>
  <si>
    <t>2020-05-18</t>
  </si>
  <si>
    <t>2020-12-05</t>
  </si>
  <si>
    <t>2021-11-28</t>
  </si>
  <si>
    <t>2022-11-05</t>
  </si>
  <si>
    <t>2023-11-02</t>
  </si>
  <si>
    <t>2023-06-13</t>
  </si>
  <si>
    <t>2023-04-06</t>
  </si>
  <si>
    <t>2023-10-15</t>
  </si>
  <si>
    <t>2020-09-26</t>
  </si>
  <si>
    <t>2020-11-16</t>
  </si>
  <si>
    <t>2021-04-11</t>
  </si>
  <si>
    <t>2023-04-01</t>
  </si>
  <si>
    <t>2022-07-27</t>
  </si>
  <si>
    <t>2023-03-13</t>
  </si>
  <si>
    <t>2023-08-28</t>
  </si>
  <si>
    <t>2023-12-03</t>
  </si>
  <si>
    <t>2020-03-29</t>
  </si>
  <si>
    <t>2023-10-04</t>
  </si>
  <si>
    <t>2021-12-26</t>
  </si>
  <si>
    <t>2020-08-12</t>
  </si>
  <si>
    <t>2023-06-05</t>
  </si>
  <si>
    <t>2022-01-30</t>
  </si>
  <si>
    <t>2020-11-01</t>
  </si>
  <si>
    <t>2020-04-19</t>
  </si>
  <si>
    <t>2022-09-22</t>
  </si>
  <si>
    <t>2021-02-20</t>
  </si>
  <si>
    <t>2023-07-09</t>
  </si>
  <si>
    <t>2020-11-07</t>
  </si>
  <si>
    <t>2021-07-23</t>
  </si>
  <si>
    <t>2021-07-17</t>
  </si>
  <si>
    <t>2021-03-20</t>
  </si>
  <si>
    <t>2023-10-23</t>
  </si>
  <si>
    <t>2023-02-09</t>
  </si>
  <si>
    <t>2022-07-28</t>
  </si>
  <si>
    <t>2023-10-17</t>
  </si>
  <si>
    <t>2023-10-08</t>
  </si>
  <si>
    <t>2021-06-08</t>
  </si>
  <si>
    <t>2021-07-03</t>
  </si>
  <si>
    <t>2023-11-15</t>
  </si>
  <si>
    <t>2021-12-28</t>
  </si>
  <si>
    <t>2021-04-19</t>
  </si>
  <si>
    <t>02-15-2022</t>
  </si>
  <si>
    <t>2022-10-02</t>
  </si>
  <si>
    <t>August 28, 2021</t>
  </si>
  <si>
    <t>2023-06-28</t>
  </si>
  <si>
    <t>2022-12-10</t>
  </si>
  <si>
    <t>2022-07-12</t>
  </si>
  <si>
    <t>2021-10-16</t>
  </si>
  <si>
    <t>2021-06-26</t>
  </si>
  <si>
    <t>2023-12-08</t>
  </si>
  <si>
    <t>2020-06-24</t>
  </si>
  <si>
    <t>2021-03-23</t>
  </si>
  <si>
    <t>2021-05-06</t>
  </si>
  <si>
    <t>2023-05-06</t>
  </si>
  <si>
    <t>2023-07-20</t>
  </si>
  <si>
    <t>2022-09-07</t>
  </si>
  <si>
    <t>2020-10-20</t>
  </si>
  <si>
    <t>21 Oct 2021</t>
  </si>
  <si>
    <t>2022-11-30</t>
  </si>
  <si>
    <t>2022-12-27</t>
  </si>
  <si>
    <t>2020-01-07</t>
  </si>
  <si>
    <t>2022-03-21</t>
  </si>
  <si>
    <t>2023-05-25</t>
  </si>
  <si>
    <t>2020-07-09</t>
  </si>
  <si>
    <t>2022-01-11</t>
  </si>
  <si>
    <t>2021-12-25</t>
  </si>
  <si>
    <t>2023-02-22</t>
  </si>
  <si>
    <t>2021-03-31</t>
  </si>
  <si>
    <t>2021-08-10</t>
  </si>
  <si>
    <t>2023-06-22</t>
  </si>
  <si>
    <t>2020-03-23</t>
  </si>
  <si>
    <t>2021-04-02</t>
  </si>
  <si>
    <t>2021-09-07</t>
  </si>
  <si>
    <t>2020-01-08</t>
  </si>
  <si>
    <t>2023-02-27</t>
  </si>
  <si>
    <t>2021-05-24</t>
  </si>
  <si>
    <t>2020-03-06</t>
  </si>
  <si>
    <t>2021-02-22</t>
  </si>
  <si>
    <t>2022-10-26</t>
  </si>
  <si>
    <t>23/04/2022</t>
  </si>
  <si>
    <t>2023-10-31</t>
  </si>
  <si>
    <t>2022-02-23</t>
  </si>
  <si>
    <t>2023-11-08</t>
  </si>
  <si>
    <t>2021-05-16</t>
  </si>
  <si>
    <t>2020-12-21</t>
  </si>
  <si>
    <t>2021-12-08</t>
  </si>
  <si>
    <t>2022-07-29</t>
  </si>
  <si>
    <t>2023-06-30</t>
  </si>
  <si>
    <t>2022-03-09</t>
  </si>
  <si>
    <t>23/12/2022</t>
  </si>
  <si>
    <t>2022-11-28</t>
  </si>
  <si>
    <t>2021-11-24</t>
  </si>
  <si>
    <t>2020-03-20</t>
  </si>
  <si>
    <t>2021-07-13</t>
  </si>
  <si>
    <t>2020-06-16</t>
  </si>
  <si>
    <t>2021-07-05</t>
  </si>
  <si>
    <t>2023-11-16</t>
  </si>
  <si>
    <t>2020-09-16</t>
  </si>
  <si>
    <t>2021-04-25</t>
  </si>
  <si>
    <t>2023-03-11</t>
  </si>
  <si>
    <t>2022-04-14</t>
  </si>
  <si>
    <t>2022-09-13</t>
  </si>
  <si>
    <t>2023-10-13</t>
  </si>
  <si>
    <t>2022-10-16</t>
  </si>
  <si>
    <t>24/07/2020</t>
  </si>
  <si>
    <t>2020-04-28</t>
  </si>
  <si>
    <t>2022-04-29</t>
  </si>
  <si>
    <t>2020-09-01</t>
  </si>
  <si>
    <t>2023-10-09</t>
  </si>
  <si>
    <t>2020-11-09</t>
  </si>
  <si>
    <t>2021-08-27</t>
  </si>
  <si>
    <t>2020-07-06</t>
  </si>
  <si>
    <t>2022-02-03</t>
  </si>
  <si>
    <t>2021-10-06</t>
  </si>
  <si>
    <t>2022-08-10</t>
  </si>
  <si>
    <t>2021-08-08</t>
  </si>
  <si>
    <t>2022-11-08</t>
  </si>
  <si>
    <t>2021-03-27</t>
  </si>
  <si>
    <t>2020-01-15</t>
  </si>
  <si>
    <t>2020-07-08</t>
  </si>
  <si>
    <t>2022-02-14</t>
  </si>
  <si>
    <t>2023-04-13</t>
  </si>
  <si>
    <t>2021-09-27</t>
  </si>
  <si>
    <t>11-19-2021</t>
  </si>
  <si>
    <t>2020-01-01</t>
  </si>
  <si>
    <t>2020-09-14</t>
  </si>
  <si>
    <t>2021-12-12</t>
  </si>
  <si>
    <t>2022-08-21</t>
  </si>
  <si>
    <t>2021-11-06</t>
  </si>
  <si>
    <t>2020-07-25</t>
  </si>
  <si>
    <t>2023-05-28</t>
  </si>
  <si>
    <t>2021-05-15</t>
  </si>
  <si>
    <t>2020-07-20</t>
  </si>
  <si>
    <t>2020-08-25</t>
  </si>
  <si>
    <t>2023-10-25</t>
  </si>
  <si>
    <t>2020-12-13</t>
  </si>
  <si>
    <t>2022-07-13</t>
  </si>
  <si>
    <t>2020-01-03</t>
  </si>
  <si>
    <t>2020-02-18</t>
  </si>
  <si>
    <t>2021-12-13</t>
  </si>
  <si>
    <t>2020-03-05</t>
  </si>
  <si>
    <t>2020-05-26</t>
  </si>
  <si>
    <t>2021-08-11</t>
  </si>
  <si>
    <t>2020-03-21</t>
  </si>
  <si>
    <t>2022-04-23</t>
  </si>
  <si>
    <t>2020-03-09</t>
  </si>
  <si>
    <t>2020-04-24</t>
  </si>
  <si>
    <t>2020-05-02</t>
  </si>
  <si>
    <t>2020-10-29</t>
  </si>
  <si>
    <t>2022-04-16</t>
  </si>
  <si>
    <t>2021-04-04</t>
  </si>
  <si>
    <t>2022-06-01</t>
  </si>
  <si>
    <t>2020-02-01</t>
  </si>
  <si>
    <t>2023-01-02</t>
  </si>
  <si>
    <t>2023-06-14</t>
  </si>
  <si>
    <t>2021-12-21</t>
  </si>
  <si>
    <t>2020-03-14</t>
  </si>
  <si>
    <t>2020-12-22</t>
  </si>
  <si>
    <t>2022-07-30</t>
  </si>
  <si>
    <t>2022-07-17</t>
  </si>
  <si>
    <t>2023-03-05</t>
  </si>
  <si>
    <t>2021-08-28</t>
  </si>
  <si>
    <t>2023-03-27</t>
  </si>
  <si>
    <t>2023-08-27</t>
  </si>
  <si>
    <t>2020-05-25</t>
  </si>
  <si>
    <t>10/06/2021</t>
  </si>
  <si>
    <t>2022-08-23</t>
  </si>
  <si>
    <t>2023-09-13</t>
  </si>
  <si>
    <t>2023-06-26</t>
  </si>
  <si>
    <t>2020-10-14</t>
  </si>
  <si>
    <t>2022-09-15</t>
  </si>
  <si>
    <t>2020-02-02</t>
  </si>
  <si>
    <t>2020-10-23</t>
  </si>
  <si>
    <t>2021-03-13</t>
  </si>
  <si>
    <t>2020-07-05</t>
  </si>
  <si>
    <t>2022-08-04</t>
  </si>
  <si>
    <t>2023-05-04</t>
  </si>
  <si>
    <t>2023-12-16</t>
  </si>
  <si>
    <t>2022-10-05</t>
  </si>
  <si>
    <t>2022-06-20</t>
  </si>
  <si>
    <t>2020-09-27</t>
  </si>
  <si>
    <t>2021-12-27</t>
  </si>
  <si>
    <t>2020-06-20</t>
  </si>
  <si>
    <t>2020-11-26</t>
  </si>
  <si>
    <t>2023-05-11</t>
  </si>
  <si>
    <t>2021-08-12</t>
  </si>
  <si>
    <t>2020-05-15</t>
  </si>
  <si>
    <t>2022-08-03</t>
  </si>
  <si>
    <t>2023-08-03</t>
  </si>
  <si>
    <t>2023-07-08</t>
  </si>
  <si>
    <t>December 28, 2023</t>
  </si>
  <si>
    <t>2021-05-14</t>
  </si>
  <si>
    <t>2022-05-09</t>
  </si>
  <si>
    <t>2022-03-06</t>
  </si>
  <si>
    <t>2020-01-31</t>
  </si>
  <si>
    <t>2023-12-20</t>
  </si>
  <si>
    <t>2023-08-02</t>
  </si>
  <si>
    <t>2021-10-21</t>
  </si>
  <si>
    <t>29 Feb 2020</t>
  </si>
  <si>
    <t>07-24-2022</t>
  </si>
  <si>
    <t>2023-02-12</t>
  </si>
  <si>
    <t>2020-06-13</t>
  </si>
  <si>
    <t>2020-06-03</t>
  </si>
  <si>
    <t>2021-05-17</t>
  </si>
  <si>
    <t>2021-03-05</t>
  </si>
  <si>
    <t>July 08, 2020</t>
  </si>
  <si>
    <t>2020-12-31</t>
  </si>
  <si>
    <t>2020-08-21</t>
  </si>
  <si>
    <t>2022-01-15</t>
  </si>
  <si>
    <t>2023-07-14</t>
  </si>
  <si>
    <t>2023-06-15</t>
  </si>
  <si>
    <t>2021-09-10</t>
  </si>
  <si>
    <t>2020-08-24</t>
  </si>
  <si>
    <t>2022-08-05</t>
  </si>
  <si>
    <t>2022-03-29</t>
  </si>
  <si>
    <t>2021-03-01</t>
  </si>
  <si>
    <t>2020-02-25</t>
  </si>
  <si>
    <t>2021-07-16</t>
  </si>
  <si>
    <t>2021-07-02</t>
  </si>
  <si>
    <t>2022-04-15</t>
  </si>
  <si>
    <t>2020-08-30</t>
  </si>
  <si>
    <t>2023-04-10</t>
  </si>
  <si>
    <t>2021-11-08</t>
  </si>
  <si>
    <t>2022-09-16</t>
  </si>
  <si>
    <t>2021-01-06</t>
  </si>
  <si>
    <t>17/01/2023</t>
  </si>
  <si>
    <t>2023-02-02</t>
  </si>
  <si>
    <t>2023-07-30</t>
  </si>
  <si>
    <t>2021-03-12</t>
  </si>
  <si>
    <t>2020-10-30</t>
  </si>
  <si>
    <t>2022-10-30</t>
  </si>
  <si>
    <t>2020-04-10</t>
  </si>
  <si>
    <t>2023-07-10</t>
  </si>
  <si>
    <t>2023-03-24</t>
  </si>
  <si>
    <t>2023-11-21</t>
  </si>
  <si>
    <t>2022-10-28</t>
  </si>
  <si>
    <t>2021-02-09</t>
  </si>
  <si>
    <t>2021-10-22</t>
  </si>
  <si>
    <t>2023-09-04</t>
  </si>
  <si>
    <t>2023-12-07</t>
  </si>
  <si>
    <t>2020-04-14</t>
  </si>
  <si>
    <t>2021-07-25</t>
  </si>
  <si>
    <t>2022-02-07</t>
  </si>
  <si>
    <t>2022-11-12</t>
  </si>
  <si>
    <t>2021-06-06</t>
  </si>
  <si>
    <t>2022-07-11</t>
  </si>
  <si>
    <t>2021-02-27</t>
  </si>
  <si>
    <t>2023-03-17</t>
  </si>
  <si>
    <t>2020-08-07</t>
  </si>
  <si>
    <t>2021-09-04</t>
  </si>
  <si>
    <t>2023-05-27</t>
  </si>
  <si>
    <t>2023-11-07</t>
  </si>
  <si>
    <t>2020-01-06</t>
  </si>
  <si>
    <t>05/02/2020</t>
  </si>
  <si>
    <t>2023-06-23</t>
  </si>
  <si>
    <t>2020-07-23</t>
  </si>
  <si>
    <t>2023-08-31</t>
  </si>
  <si>
    <t>2021-02-12</t>
  </si>
  <si>
    <t>2022-10-22</t>
  </si>
  <si>
    <t>2021-07-06</t>
  </si>
  <si>
    <t>2020-09-19</t>
  </si>
  <si>
    <t>2022-01-13</t>
  </si>
  <si>
    <t>2023-11-11</t>
  </si>
  <si>
    <t>2021-11-14</t>
  </si>
  <si>
    <t>12-23-2022</t>
  </si>
  <si>
    <t>2020-05-09</t>
  </si>
  <si>
    <t>2022-01-04</t>
  </si>
  <si>
    <t>2023-03-31</t>
  </si>
  <si>
    <t>2022-09-30</t>
  </si>
  <si>
    <t>2021-02-07</t>
  </si>
  <si>
    <t>2022-09-26</t>
  </si>
  <si>
    <t>2022-04-24</t>
  </si>
  <si>
    <t>2021-01-02</t>
  </si>
  <si>
    <t>2023-11-12</t>
  </si>
  <si>
    <t>2023-10-20</t>
  </si>
  <si>
    <t>2021-05-23</t>
  </si>
  <si>
    <t>2022-06-19</t>
  </si>
  <si>
    <t>23/07/2020</t>
  </si>
  <si>
    <t>2023-11-30</t>
  </si>
  <si>
    <t>2023-07-23</t>
  </si>
  <si>
    <t>2021-07-07</t>
  </si>
  <si>
    <t>2022-01-22</t>
  </si>
  <si>
    <t>2023-04-07</t>
  </si>
  <si>
    <t>2023-07-31</t>
  </si>
  <si>
    <t>2023-12-24</t>
  </si>
  <si>
    <t>2023-11-28</t>
  </si>
  <si>
    <t>2023-05-12</t>
  </si>
  <si>
    <t>2022-07-03</t>
  </si>
  <si>
    <t>2022-11-09</t>
  </si>
  <si>
    <t>2021-04-10</t>
  </si>
  <si>
    <t>01-02-2021</t>
  </si>
  <si>
    <t>2022-12-23</t>
  </si>
  <si>
    <t>2022-01-26</t>
  </si>
  <si>
    <t>2021-11-17</t>
  </si>
  <si>
    <t>2021-01-29</t>
  </si>
  <si>
    <t>2023-02-08</t>
  </si>
  <si>
    <t>2021-11-11</t>
  </si>
  <si>
    <t>December 13, 2023</t>
  </si>
  <si>
    <t>2021-07-20</t>
  </si>
  <si>
    <t>2023-12-15</t>
  </si>
  <si>
    <t>2023-08-10</t>
  </si>
  <si>
    <t>2021-09-25</t>
  </si>
  <si>
    <t>2023-08-05</t>
  </si>
  <si>
    <t>2020-10-25</t>
  </si>
  <si>
    <t>2023-08-22</t>
  </si>
  <si>
    <t>2021-03-29</t>
  </si>
  <si>
    <t>2021-01-19</t>
  </si>
  <si>
    <t>2022-05-20</t>
  </si>
  <si>
    <t>2020-07-18</t>
  </si>
  <si>
    <t>2021-09-15</t>
  </si>
  <si>
    <t>2023-07-21</t>
  </si>
  <si>
    <t>2020-09-17</t>
  </si>
  <si>
    <t>2023-12-21</t>
  </si>
  <si>
    <t>2020-03-17</t>
  </si>
  <si>
    <t>2021-05-12</t>
  </si>
  <si>
    <t>2020-06-27</t>
  </si>
  <si>
    <t>2020-03-30</t>
  </si>
  <si>
    <t>2021-11-01</t>
  </si>
  <si>
    <t>2023-06-08</t>
  </si>
  <si>
    <t>2020-11-08</t>
  </si>
  <si>
    <t>2021-10-13</t>
  </si>
  <si>
    <t>2021-09-08</t>
  </si>
  <si>
    <t>2023-01-12</t>
  </si>
  <si>
    <t>2022-05-13</t>
  </si>
  <si>
    <t>2023-02-03</t>
  </si>
  <si>
    <t>2021-03-06</t>
  </si>
  <si>
    <t>2022-05-18</t>
  </si>
  <si>
    <t>2022-08-17</t>
  </si>
  <si>
    <t>2021-09-28</t>
  </si>
  <si>
    <t>2023-01-08</t>
  </si>
  <si>
    <t>30/09/2021</t>
  </si>
  <si>
    <t>2020-08-22</t>
  </si>
  <si>
    <t>2022-10-19</t>
  </si>
  <si>
    <t>2022-09-25</t>
  </si>
  <si>
    <t>2023-07-28</t>
  </si>
  <si>
    <t>2021-12-05</t>
  </si>
  <si>
    <t>December 28, 2020</t>
  </si>
  <si>
    <t>2023-02-11</t>
  </si>
  <si>
    <t>2020-04-06</t>
  </si>
  <si>
    <t>2020-09-05</t>
  </si>
  <si>
    <t>2023-12-12</t>
  </si>
  <si>
    <t>2020-08-13</t>
  </si>
  <si>
    <t>2023-10-22</t>
  </si>
  <si>
    <t>2022-10-24</t>
  </si>
  <si>
    <t>2021-08-14</t>
  </si>
  <si>
    <t>2022-11-01</t>
  </si>
  <si>
    <t>2020-08-16</t>
  </si>
  <si>
    <t>2021-08-31</t>
  </si>
  <si>
    <t>2021-03-16</t>
  </si>
  <si>
    <t>2020-02-09</t>
  </si>
  <si>
    <t>2021-07-08</t>
  </si>
  <si>
    <t>2022-11-25</t>
  </si>
  <si>
    <t>2022-04-07</t>
  </si>
  <si>
    <t>2023-08-15</t>
  </si>
  <si>
    <t>2021-08-07</t>
  </si>
  <si>
    <t>2021-05-31</t>
  </si>
  <si>
    <t>2023-02-05</t>
  </si>
  <si>
    <t>2020-09-07</t>
  </si>
  <si>
    <t>2023-09-23</t>
  </si>
  <si>
    <t>2023-09-14</t>
  </si>
  <si>
    <t>19 Jul 2021</t>
  </si>
  <si>
    <t>2021-01-15</t>
  </si>
  <si>
    <t>2021-03-11</t>
  </si>
  <si>
    <t>2022-08-25</t>
  </si>
  <si>
    <t>2023-11-14</t>
  </si>
  <si>
    <t>2021-01-03</t>
  </si>
  <si>
    <t>2021-01-12</t>
  </si>
  <si>
    <t>2023-11-26</t>
  </si>
  <si>
    <t>2023-08-09</t>
  </si>
  <si>
    <t>2021-08-04</t>
  </si>
  <si>
    <t>2021-06-04</t>
  </si>
  <si>
    <t>2021-06-23</t>
  </si>
  <si>
    <t>2020-04-20</t>
  </si>
  <si>
    <t>2020-01-05</t>
  </si>
  <si>
    <t>2020-05-31</t>
  </si>
  <si>
    <t>2020-04-15</t>
  </si>
  <si>
    <t>04 Feb 2022</t>
  </si>
  <si>
    <t>2023-01-17</t>
  </si>
  <si>
    <t>May 10, 2020</t>
  </si>
  <si>
    <t>2020-06-29</t>
  </si>
  <si>
    <t>2023-02-20</t>
  </si>
  <si>
    <t>2020-04-27</t>
  </si>
  <si>
    <t>2022-03-24</t>
  </si>
  <si>
    <t>2021-05-02</t>
  </si>
  <si>
    <t>2023-10-01</t>
  </si>
  <si>
    <t>2021-07-19</t>
  </si>
  <si>
    <t>2020-09-25</t>
  </si>
  <si>
    <t>2022-08-15</t>
  </si>
  <si>
    <t>2021-12-07</t>
  </si>
  <si>
    <t>2021-07-12</t>
  </si>
  <si>
    <t>2021-11-25</t>
  </si>
  <si>
    <t>2020-05-29</t>
  </si>
  <si>
    <t>2020-03-25</t>
  </si>
  <si>
    <t>2021-05-22</t>
  </si>
  <si>
    <t>2023-12-10</t>
  </si>
  <si>
    <t>2023-03-21</t>
  </si>
  <si>
    <t>2020-03-07</t>
  </si>
  <si>
    <t>2020-11-13</t>
  </si>
  <si>
    <t>2022-02-06</t>
  </si>
  <si>
    <t>2022-06-08</t>
  </si>
  <si>
    <t>2021-09-05</t>
  </si>
  <si>
    <t>2023-07-22</t>
  </si>
  <si>
    <t>2020-02-10</t>
  </si>
  <si>
    <t>2021-04-22</t>
  </si>
  <si>
    <t>2020-04-26</t>
  </si>
  <si>
    <t>2023-10-12</t>
  </si>
  <si>
    <t>2023-08-20</t>
  </si>
  <si>
    <t>2020-04-16</t>
  </si>
  <si>
    <t>2021-11-09</t>
  </si>
  <si>
    <t>2020-11-18</t>
  </si>
  <si>
    <t>2023-12-31</t>
  </si>
  <si>
    <t>2022-02-27</t>
  </si>
  <si>
    <t>2021-03-19</t>
  </si>
  <si>
    <t>June 11, 2022</t>
  </si>
  <si>
    <t>2023-06-18</t>
  </si>
  <si>
    <t>2023-07-27</t>
  </si>
  <si>
    <t>2020-05-30</t>
  </si>
  <si>
    <t>2023-04-09</t>
  </si>
  <si>
    <t>2021-09-03</t>
  </si>
  <si>
    <t>2022-05-23</t>
  </si>
  <si>
    <t>2020-11-21</t>
  </si>
  <si>
    <t>2020-12-16</t>
  </si>
  <si>
    <t>2021-07-15</t>
  </si>
  <si>
    <t>2023-03-07</t>
  </si>
  <si>
    <t>2022-12-22</t>
  </si>
  <si>
    <t>2022-04-11</t>
  </si>
  <si>
    <t>2020-02-11</t>
  </si>
  <si>
    <t>2021-08-20</t>
  </si>
  <si>
    <t>2023-01-29</t>
  </si>
  <si>
    <t>2023-11-09</t>
  </si>
  <si>
    <t>2021-09-24</t>
  </si>
  <si>
    <t>25/05/2022</t>
  </si>
  <si>
    <t>2022-06-03</t>
  </si>
  <si>
    <t>2023-01-15</t>
  </si>
  <si>
    <t>2022-06-25</t>
  </si>
  <si>
    <t>2023-12-04</t>
  </si>
  <si>
    <t>2022-05-15</t>
  </si>
  <si>
    <t>2020-11-29</t>
  </si>
  <si>
    <t>2023-09-15</t>
  </si>
  <si>
    <t>2022-01-12</t>
  </si>
  <si>
    <t>2023-09-19</t>
  </si>
  <si>
    <t>2023-09-05</t>
  </si>
  <si>
    <t>2023-06-06</t>
  </si>
  <si>
    <t>2020-04-21</t>
  </si>
  <si>
    <t>2021-03-22</t>
  </si>
  <si>
    <t>2021-05-19</t>
  </si>
  <si>
    <t>2023-12-18</t>
  </si>
  <si>
    <t>2023-01-30</t>
  </si>
  <si>
    <t>2020-01-12</t>
  </si>
  <si>
    <t>2021-06-24</t>
  </si>
  <si>
    <t>2023-10-26</t>
  </si>
  <si>
    <t>2023-11-19</t>
  </si>
  <si>
    <t>2023-01-23</t>
  </si>
  <si>
    <t>2023-10-14</t>
  </si>
  <si>
    <t>2022-12-03</t>
  </si>
  <si>
    <t>30/08/2021</t>
  </si>
  <si>
    <t>2023-05-14</t>
  </si>
  <si>
    <t>2022-12-28</t>
  </si>
  <si>
    <t>2022-02-16</t>
  </si>
  <si>
    <t>2020-01-26</t>
  </si>
  <si>
    <t>2023-09-18</t>
  </si>
  <si>
    <t>2022-08-27</t>
  </si>
  <si>
    <t>2021-12-17</t>
  </si>
  <si>
    <t>2021-01-10</t>
  </si>
  <si>
    <t>2022-04-06</t>
  </si>
  <si>
    <t>2020-11-20</t>
  </si>
  <si>
    <t>2022-03-25</t>
  </si>
  <si>
    <t>17 Apr 2023</t>
  </si>
  <si>
    <t>2020-09-10</t>
  </si>
  <si>
    <t>07 Dec 2023</t>
  </si>
  <si>
    <t>2023-01-27</t>
  </si>
  <si>
    <t>2020-12-06</t>
  </si>
  <si>
    <t>2021-02-10</t>
  </si>
  <si>
    <t>2020-09-23</t>
  </si>
  <si>
    <t>2022-10-21</t>
  </si>
  <si>
    <t>2020-01-02</t>
  </si>
  <si>
    <t>2023-04-23</t>
  </si>
  <si>
    <t>2023-04-28</t>
  </si>
  <si>
    <t>2023-11-17</t>
  </si>
  <si>
    <t>2023-09-08</t>
  </si>
  <si>
    <t>2021-10-10</t>
  </si>
  <si>
    <t>2023-09-12</t>
  </si>
  <si>
    <t>2020-08-17</t>
  </si>
  <si>
    <t>2022-07-07</t>
  </si>
  <si>
    <t>2022-01-02</t>
  </si>
  <si>
    <t>2022-03-10</t>
  </si>
  <si>
    <t>2020-06-12</t>
  </si>
  <si>
    <t>17 May 2023</t>
  </si>
  <si>
    <t>2020-07-21</t>
  </si>
  <si>
    <t>2020-05-13</t>
  </si>
  <si>
    <t>2021-02-24</t>
  </si>
  <si>
    <t>2020-11-11</t>
  </si>
  <si>
    <t>2023-09-03</t>
  </si>
  <si>
    <t>2023-05-31</t>
  </si>
  <si>
    <t>2020-07-12</t>
  </si>
  <si>
    <t>2020-07-22</t>
  </si>
  <si>
    <t>2022-05-21</t>
  </si>
  <si>
    <t>December 26, 2020</t>
  </si>
  <si>
    <t>2023-09-01</t>
  </si>
  <si>
    <t>2021-12-03</t>
  </si>
  <si>
    <t>2021-11-29</t>
  </si>
  <si>
    <t>2022-02-24</t>
  </si>
  <si>
    <t>January 10, 2023</t>
  </si>
  <si>
    <t>2020-10-15</t>
  </si>
  <si>
    <t>2022-08-16</t>
  </si>
  <si>
    <t>2020-10-31</t>
  </si>
  <si>
    <t>2020-09-30</t>
  </si>
  <si>
    <t>04-24-2023</t>
  </si>
  <si>
    <t>2020-11-28</t>
  </si>
  <si>
    <t>2022-03-27</t>
  </si>
  <si>
    <t>2020-11-30</t>
  </si>
  <si>
    <t>2023-08-06</t>
  </si>
  <si>
    <t>2023-07-11</t>
  </si>
  <si>
    <t>2023-05-23</t>
  </si>
  <si>
    <t>2020-09-11</t>
  </si>
  <si>
    <t>30/09/2023</t>
  </si>
  <si>
    <t>2020-07-24</t>
  </si>
  <si>
    <t>2023-11-03</t>
  </si>
  <si>
    <t>2022-09-12</t>
  </si>
  <si>
    <t>2023-08-24</t>
  </si>
  <si>
    <t>2022-01-09</t>
  </si>
  <si>
    <t>2020-04-02</t>
  </si>
  <si>
    <t>2020-07-31</t>
  </si>
  <si>
    <t>2021-11-07</t>
  </si>
  <si>
    <t>2021-07-01</t>
  </si>
  <si>
    <t>2022-11-24</t>
  </si>
  <si>
    <t>2021-01-26</t>
  </si>
  <si>
    <t>2020-07-04</t>
  </si>
  <si>
    <t>11-24-2021</t>
  </si>
  <si>
    <t>2020-10-07</t>
  </si>
  <si>
    <t>25 Oct 2022</t>
  </si>
  <si>
    <t>2023-10-02</t>
  </si>
  <si>
    <t>2021-08-15</t>
  </si>
  <si>
    <t>2023-11-10</t>
  </si>
  <si>
    <t>2020-01-04</t>
  </si>
  <si>
    <t>2023-08-14</t>
  </si>
  <si>
    <t>2022-03-01</t>
  </si>
  <si>
    <t>2022-09-23</t>
  </si>
  <si>
    <t>2020-01-14</t>
  </si>
  <si>
    <t>2023-03-12</t>
  </si>
  <si>
    <t>2020-07-19</t>
  </si>
  <si>
    <t>2023-04-18</t>
  </si>
  <si>
    <t>2022-06-15</t>
  </si>
  <si>
    <t>2020-04-04</t>
  </si>
  <si>
    <t>2020-10-06</t>
  </si>
  <si>
    <t>2021-08-29</t>
  </si>
  <si>
    <t>2023-10-11</t>
  </si>
  <si>
    <t>2020-03-26</t>
  </si>
  <si>
    <t>2021-11-20</t>
  </si>
  <si>
    <t>2022-10-17</t>
  </si>
  <si>
    <t>2021-06-05</t>
  </si>
  <si>
    <t>2022-06-21</t>
  </si>
  <si>
    <t>2021-06-22</t>
  </si>
  <si>
    <t>2022-09-29</t>
  </si>
  <si>
    <t>21 Jan 2021</t>
  </si>
  <si>
    <t>July 05, 2023</t>
  </si>
  <si>
    <t>2020-11-25</t>
  </si>
  <si>
    <t>2020-10-28</t>
  </si>
  <si>
    <t>2020-08-02</t>
  </si>
  <si>
    <t>2022-06-09</t>
  </si>
  <si>
    <t>2022-06-29</t>
  </si>
  <si>
    <t>2021-04-17</t>
  </si>
  <si>
    <t>2022-11-04</t>
  </si>
  <si>
    <t>2022-11-18</t>
  </si>
  <si>
    <t>2021-06-01</t>
  </si>
  <si>
    <t>2020-12-02</t>
  </si>
  <si>
    <t>2021-10-05</t>
  </si>
  <si>
    <t>2020-05-19</t>
  </si>
  <si>
    <t>2023-05-20</t>
  </si>
  <si>
    <t>13/10/2023</t>
  </si>
  <si>
    <t>2021-05-05</t>
  </si>
  <si>
    <t>2023-02-26</t>
  </si>
  <si>
    <t>06-26-2022</t>
  </si>
  <si>
    <t>2021-02-01</t>
  </si>
  <si>
    <t>2022-04-01</t>
  </si>
  <si>
    <t>2022-01-16</t>
  </si>
  <si>
    <t>2023-03-03</t>
  </si>
  <si>
    <t>2023-04-21</t>
  </si>
  <si>
    <t>2022-07-23</t>
  </si>
  <si>
    <t>2022-07-02</t>
  </si>
  <si>
    <t>2021-01-28</t>
  </si>
  <si>
    <t>2021-04-18</t>
  </si>
  <si>
    <t>2021-03-21</t>
  </si>
  <si>
    <t>2020-04-17</t>
  </si>
  <si>
    <t>2021-08-06</t>
  </si>
  <si>
    <t>2020-09-24</t>
  </si>
  <si>
    <t>2020-03-04</t>
  </si>
  <si>
    <t>2021-09-23</t>
  </si>
  <si>
    <t>2022-10-08</t>
  </si>
  <si>
    <t>2023-02-18</t>
  </si>
  <si>
    <t>07 Jul 2022</t>
  </si>
  <si>
    <t>2023-04-30</t>
  </si>
  <si>
    <t>01 Dec 2023</t>
  </si>
  <si>
    <t>2022-09-05</t>
  </si>
  <si>
    <t>2020-08-28</t>
  </si>
  <si>
    <t>2023-04-24</t>
  </si>
  <si>
    <t>2020-01-21</t>
  </si>
  <si>
    <t>2022-02-26</t>
  </si>
  <si>
    <t>2020-06-04</t>
  </si>
  <si>
    <t>2022-10-14</t>
  </si>
  <si>
    <t>2021-11-10</t>
  </si>
  <si>
    <t>06-25-2021</t>
  </si>
  <si>
    <t>2020-12-01</t>
  </si>
  <si>
    <t>2022-12-04</t>
  </si>
  <si>
    <t>2020-08-10</t>
  </si>
  <si>
    <t>2021-02-28</t>
  </si>
  <si>
    <t>2021-11-18</t>
  </si>
  <si>
    <t>2020-10-13</t>
  </si>
  <si>
    <t>2023-03-28</t>
  </si>
  <si>
    <t>2020-12-14</t>
  </si>
  <si>
    <t>2022-06-07</t>
  </si>
  <si>
    <t>2022-04-19</t>
  </si>
  <si>
    <t>2021-11-13</t>
  </si>
  <si>
    <t>July 21, 2021</t>
  </si>
  <si>
    <t>Data Quality Issues</t>
  </si>
  <si>
    <t>Blank Loan_IDs</t>
  </si>
  <si>
    <t>Abnormal Ages(&lt;18, &gt;100)</t>
  </si>
  <si>
    <t>Negative Annual Incomes</t>
  </si>
  <si>
    <t>Number of Records</t>
  </si>
  <si>
    <t>Action Taken When Cleaning</t>
  </si>
  <si>
    <t>Reason</t>
  </si>
  <si>
    <t>Inconsistent Casings(Gender)</t>
  </si>
  <si>
    <t>Blank Gender</t>
  </si>
  <si>
    <t>F, FEMALE, Female, M, Male</t>
  </si>
  <si>
    <t>Blank Employment Status</t>
  </si>
  <si>
    <t>Blank Annual Income</t>
  </si>
  <si>
    <t>Blank Loan Purpose</t>
  </si>
  <si>
    <t>Blank Credit Score</t>
  </si>
  <si>
    <t>Mixed Date Formats</t>
  </si>
  <si>
    <t>YYYY-MM-DD</t>
  </si>
  <si>
    <t>MM-DD-YYYY</t>
  </si>
  <si>
    <t>DD MON YYYY</t>
  </si>
  <si>
    <t>Helper_Column</t>
  </si>
  <si>
    <t>Delete all 10 rows</t>
  </si>
  <si>
    <t>LOAN ID is the primary key. Without it, records can't be ID'd, linked, or tracked</t>
  </si>
  <si>
    <t>Median Age</t>
  </si>
  <si>
    <t>Med Age</t>
  </si>
  <si>
    <t>New_Age</t>
  </si>
  <si>
    <t>Replaced with median age(44)</t>
  </si>
  <si>
    <t>Median is resistant to that distortion and gives you the "typical" borrower age</t>
  </si>
  <si>
    <t>New_Annual_Income</t>
  </si>
  <si>
    <t>Income cannot be negative. Treated it as an error.</t>
  </si>
  <si>
    <t>New_Gender</t>
  </si>
  <si>
    <t>Standardised casing to Male/Female</t>
  </si>
  <si>
    <t>Helps when it comes to gender analysis</t>
  </si>
  <si>
    <t>Added Other to gender - maybe didn't want to disclose gender</t>
  </si>
  <si>
    <t>New_Date</t>
  </si>
  <si>
    <t>Formated column as a date, chose YYYY-MM-DD</t>
  </si>
  <si>
    <t>Compatible with most databases</t>
  </si>
  <si>
    <t>New_Employment_Status</t>
  </si>
  <si>
    <t>Added Unknown to blank ones</t>
  </si>
  <si>
    <t>Employment status/income directly affects creditworthiness assessment and wrong imputation would distort analysis</t>
  </si>
  <si>
    <t>New_Loan_Purpose</t>
  </si>
  <si>
    <t>Med Cred</t>
  </si>
  <si>
    <t>New_Credit_Score</t>
  </si>
  <si>
    <t>Replaced with calculated median annual income</t>
  </si>
  <si>
    <t>Replaced with unknown</t>
  </si>
  <si>
    <t>Replaced with calculated median credit score</t>
  </si>
  <si>
    <t>Replaced with median annual income</t>
  </si>
  <si>
    <t>Med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</si>
</sst>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6"/>
      <color theme="9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7"/>
  <sheetViews>
    <sheetView tabSelected="1" workbookViewId="0">
      <selection activeCell="U2" sqref="U2"/>
    </sheetView>
  </sheetViews>
  <sheetFormatPr defaultRowHeight="14.5" x14ac:dyDescent="0.35"/>
  <cols>
    <col min="1" max="1" width="12.7265625" customWidth="1"/>
    <col min="2" max="2" width="13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0" x14ac:dyDescent="0.35">
      <c r="A2" t="s">
        <v>17</v>
      </c>
      <c r="B2" t="s">
        <v>1507</v>
      </c>
      <c r="C2">
        <v>3</v>
      </c>
      <c r="D2" t="s">
        <v>2990</v>
      </c>
      <c r="E2" t="s">
        <v>2998</v>
      </c>
      <c r="F2" t="s">
        <v>3018</v>
      </c>
      <c r="G2">
        <v>7</v>
      </c>
      <c r="H2">
        <v>1777690</v>
      </c>
      <c r="I2">
        <v>49336</v>
      </c>
      <c r="J2">
        <v>11.45</v>
      </c>
      <c r="K2">
        <v>48</v>
      </c>
      <c r="L2" t="s">
        <v>3046</v>
      </c>
      <c r="M2">
        <v>417</v>
      </c>
      <c r="N2">
        <v>4</v>
      </c>
      <c r="O2" t="s">
        <v>3052</v>
      </c>
      <c r="P2" t="s">
        <v>3064</v>
      </c>
      <c r="Q2">
        <v>2.7799999999999998E-2</v>
      </c>
      <c r="T2" t="s">
        <v>4089</v>
      </c>
    </row>
    <row r="3" spans="1:20" x14ac:dyDescent="0.35">
      <c r="A3" t="s">
        <v>18</v>
      </c>
      <c r="B3" t="s">
        <v>1508</v>
      </c>
      <c r="C3">
        <v>42</v>
      </c>
      <c r="D3" t="s">
        <v>2990</v>
      </c>
      <c r="E3" t="s">
        <v>2999</v>
      </c>
      <c r="F3" t="s">
        <v>3019</v>
      </c>
      <c r="G3">
        <v>11</v>
      </c>
      <c r="H3">
        <v>1608080</v>
      </c>
      <c r="I3">
        <v>639064</v>
      </c>
      <c r="J3">
        <v>12.18</v>
      </c>
      <c r="K3">
        <v>12</v>
      </c>
      <c r="L3" t="s">
        <v>3047</v>
      </c>
      <c r="M3">
        <v>303</v>
      </c>
      <c r="N3">
        <v>0</v>
      </c>
      <c r="O3" t="s">
        <v>3053</v>
      </c>
      <c r="P3" t="s">
        <v>3065</v>
      </c>
      <c r="Q3">
        <v>0.39739999999999998</v>
      </c>
    </row>
    <row r="4" spans="1:20" x14ac:dyDescent="0.35">
      <c r="A4" t="s">
        <v>19</v>
      </c>
      <c r="B4" t="s">
        <v>1509</v>
      </c>
      <c r="C4">
        <v>59</v>
      </c>
      <c r="D4" t="s">
        <v>2991</v>
      </c>
      <c r="E4" t="s">
        <v>3000</v>
      </c>
      <c r="G4">
        <v>26</v>
      </c>
      <c r="H4">
        <v>1342189</v>
      </c>
      <c r="I4">
        <v>694174</v>
      </c>
      <c r="J4">
        <v>25.16</v>
      </c>
      <c r="K4">
        <v>36</v>
      </c>
      <c r="L4" t="s">
        <v>3046</v>
      </c>
      <c r="M4">
        <v>676</v>
      </c>
      <c r="N4">
        <v>1</v>
      </c>
      <c r="O4" t="s">
        <v>3053</v>
      </c>
      <c r="P4" t="s">
        <v>3066</v>
      </c>
      <c r="Q4">
        <v>0.51719999999999999</v>
      </c>
    </row>
    <row r="5" spans="1:20" x14ac:dyDescent="0.35">
      <c r="A5" t="s">
        <v>20</v>
      </c>
      <c r="B5" t="s">
        <v>1510</v>
      </c>
      <c r="C5">
        <v>21</v>
      </c>
      <c r="D5" t="s">
        <v>2992</v>
      </c>
      <c r="E5" t="s">
        <v>2999</v>
      </c>
      <c r="F5" t="s">
        <v>3020</v>
      </c>
      <c r="G5">
        <v>15</v>
      </c>
      <c r="H5">
        <v>645982</v>
      </c>
      <c r="I5">
        <v>104811</v>
      </c>
      <c r="J5">
        <v>22.48</v>
      </c>
      <c r="K5">
        <v>24</v>
      </c>
      <c r="M5">
        <v>591</v>
      </c>
      <c r="N5">
        <v>6</v>
      </c>
      <c r="O5" t="s">
        <v>3052</v>
      </c>
      <c r="P5" t="s">
        <v>3067</v>
      </c>
      <c r="Q5">
        <v>0.1623</v>
      </c>
    </row>
    <row r="6" spans="1:20" x14ac:dyDescent="0.35">
      <c r="A6" t="s">
        <v>21</v>
      </c>
      <c r="B6" t="s">
        <v>1511</v>
      </c>
      <c r="C6">
        <v>21</v>
      </c>
      <c r="D6" t="s">
        <v>2992</v>
      </c>
      <c r="E6" t="s">
        <v>3001</v>
      </c>
      <c r="F6" t="s">
        <v>3020</v>
      </c>
      <c r="G6">
        <v>11</v>
      </c>
      <c r="H6">
        <v>-1386861</v>
      </c>
      <c r="I6">
        <v>667096</v>
      </c>
      <c r="J6">
        <v>19.510000000000002</v>
      </c>
      <c r="K6">
        <v>12</v>
      </c>
      <c r="L6" t="s">
        <v>3048</v>
      </c>
      <c r="M6">
        <v>786</v>
      </c>
      <c r="N6">
        <v>0</v>
      </c>
      <c r="O6" t="s">
        <v>3054</v>
      </c>
      <c r="P6" t="s">
        <v>3068</v>
      </c>
      <c r="Q6">
        <v>0.48099999999999998</v>
      </c>
    </row>
    <row r="7" spans="1:20" x14ac:dyDescent="0.35">
      <c r="A7" t="s">
        <v>22</v>
      </c>
      <c r="B7" t="s">
        <v>1512</v>
      </c>
      <c r="C7">
        <v>38</v>
      </c>
      <c r="D7" t="s">
        <v>2992</v>
      </c>
      <c r="E7" t="s">
        <v>3002</v>
      </c>
      <c r="F7" t="s">
        <v>3018</v>
      </c>
      <c r="G7">
        <v>28</v>
      </c>
      <c r="H7">
        <v>2036231</v>
      </c>
      <c r="I7">
        <v>567219</v>
      </c>
      <c r="J7">
        <v>16.03</v>
      </c>
      <c r="K7">
        <v>60</v>
      </c>
      <c r="L7" t="s">
        <v>3046</v>
      </c>
      <c r="M7">
        <v>820</v>
      </c>
      <c r="N7">
        <v>2</v>
      </c>
      <c r="O7" t="s">
        <v>3053</v>
      </c>
      <c r="P7" t="s">
        <v>3069</v>
      </c>
      <c r="Q7">
        <v>0.27860000000000001</v>
      </c>
    </row>
    <row r="8" spans="1:20" x14ac:dyDescent="0.35">
      <c r="A8" t="s">
        <v>23</v>
      </c>
      <c r="B8" t="s">
        <v>1513</v>
      </c>
      <c r="C8">
        <v>41</v>
      </c>
      <c r="D8" t="s">
        <v>2990</v>
      </c>
      <c r="E8" t="s">
        <v>2998</v>
      </c>
      <c r="F8" t="s">
        <v>3019</v>
      </c>
      <c r="G8">
        <v>27</v>
      </c>
      <c r="H8">
        <v>1266787</v>
      </c>
      <c r="I8">
        <v>614302</v>
      </c>
      <c r="J8">
        <v>14.85</v>
      </c>
      <c r="K8">
        <v>36</v>
      </c>
      <c r="L8" t="s">
        <v>3049</v>
      </c>
      <c r="M8">
        <v>441</v>
      </c>
      <c r="N8">
        <v>3</v>
      </c>
      <c r="O8" t="s">
        <v>3054</v>
      </c>
      <c r="P8" t="s">
        <v>3070</v>
      </c>
      <c r="Q8">
        <v>0.4849</v>
      </c>
    </row>
    <row r="9" spans="1:20" x14ac:dyDescent="0.35">
      <c r="A9" t="s">
        <v>24</v>
      </c>
      <c r="B9" t="s">
        <v>1514</v>
      </c>
      <c r="C9">
        <v>8</v>
      </c>
      <c r="D9" t="s">
        <v>2992</v>
      </c>
      <c r="E9" t="s">
        <v>3000</v>
      </c>
      <c r="F9" t="s">
        <v>3020</v>
      </c>
      <c r="G9">
        <v>4</v>
      </c>
      <c r="H9">
        <v>2061175</v>
      </c>
      <c r="I9">
        <v>153172</v>
      </c>
      <c r="J9">
        <v>14.84</v>
      </c>
      <c r="K9">
        <v>24</v>
      </c>
      <c r="L9" t="s">
        <v>3046</v>
      </c>
      <c r="M9">
        <v>402</v>
      </c>
      <c r="N9">
        <v>5</v>
      </c>
      <c r="O9" t="s">
        <v>3054</v>
      </c>
      <c r="P9" t="s">
        <v>3071</v>
      </c>
      <c r="Q9">
        <v>7.4300000000000005E-2</v>
      </c>
    </row>
    <row r="10" spans="1:20" x14ac:dyDescent="0.35">
      <c r="A10" t="s">
        <v>25</v>
      </c>
      <c r="B10" t="s">
        <v>1515</v>
      </c>
      <c r="C10">
        <v>54</v>
      </c>
      <c r="D10" t="s">
        <v>2990</v>
      </c>
      <c r="E10" t="s">
        <v>3001</v>
      </c>
      <c r="F10" t="s">
        <v>3020</v>
      </c>
      <c r="G10">
        <v>27</v>
      </c>
      <c r="H10">
        <v>874892</v>
      </c>
      <c r="I10">
        <v>733087</v>
      </c>
      <c r="J10">
        <v>17.309999999999999</v>
      </c>
      <c r="K10">
        <v>60</v>
      </c>
      <c r="L10" t="s">
        <v>3046</v>
      </c>
      <c r="M10">
        <v>766</v>
      </c>
      <c r="N10">
        <v>7</v>
      </c>
      <c r="O10" t="s">
        <v>3055</v>
      </c>
      <c r="P10" t="s">
        <v>3072</v>
      </c>
      <c r="Q10">
        <v>0.83789999999999998</v>
      </c>
    </row>
    <row r="11" spans="1:20" x14ac:dyDescent="0.35">
      <c r="A11" t="s">
        <v>26</v>
      </c>
      <c r="B11" t="s">
        <v>1516</v>
      </c>
      <c r="C11">
        <v>49</v>
      </c>
      <c r="D11" t="s">
        <v>2990</v>
      </c>
      <c r="E11" t="s">
        <v>3002</v>
      </c>
      <c r="F11" t="s">
        <v>3021</v>
      </c>
      <c r="G11">
        <v>16</v>
      </c>
      <c r="H11">
        <v>827341</v>
      </c>
      <c r="I11">
        <v>798754</v>
      </c>
      <c r="J11">
        <v>26.96</v>
      </c>
      <c r="K11">
        <v>24</v>
      </c>
      <c r="L11" t="s">
        <v>3050</v>
      </c>
      <c r="M11">
        <v>840</v>
      </c>
      <c r="N11">
        <v>3</v>
      </c>
      <c r="O11" t="s">
        <v>3053</v>
      </c>
      <c r="P11" t="s">
        <v>3073</v>
      </c>
      <c r="Q11">
        <v>0.96540000000000004</v>
      </c>
    </row>
    <row r="12" spans="1:20" x14ac:dyDescent="0.35">
      <c r="A12" t="s">
        <v>27</v>
      </c>
      <c r="B12" t="s">
        <v>1517</v>
      </c>
      <c r="C12">
        <v>55</v>
      </c>
      <c r="D12" t="s">
        <v>2990</v>
      </c>
      <c r="E12" t="s">
        <v>3003</v>
      </c>
      <c r="F12" t="s">
        <v>3018</v>
      </c>
      <c r="G12">
        <v>24</v>
      </c>
      <c r="H12">
        <v>1596953</v>
      </c>
      <c r="I12">
        <v>523323</v>
      </c>
      <c r="J12">
        <v>16.61</v>
      </c>
      <c r="K12">
        <v>48</v>
      </c>
      <c r="L12" t="s">
        <v>3046</v>
      </c>
      <c r="M12">
        <v>644</v>
      </c>
      <c r="N12">
        <v>5</v>
      </c>
      <c r="O12" t="s">
        <v>3052</v>
      </c>
      <c r="P12" t="s">
        <v>3074</v>
      </c>
      <c r="Q12">
        <v>0.32769999999999999</v>
      </c>
    </row>
    <row r="13" spans="1:20" x14ac:dyDescent="0.35">
      <c r="A13" t="s">
        <v>28</v>
      </c>
      <c r="B13" t="s">
        <v>1518</v>
      </c>
      <c r="C13">
        <v>21</v>
      </c>
      <c r="D13" t="s">
        <v>2990</v>
      </c>
      <c r="E13" t="s">
        <v>2999</v>
      </c>
      <c r="F13" t="s">
        <v>3021</v>
      </c>
      <c r="G13">
        <v>11</v>
      </c>
      <c r="H13">
        <v>1141568</v>
      </c>
      <c r="I13">
        <v>118538</v>
      </c>
      <c r="J13">
        <v>12.74</v>
      </c>
      <c r="K13">
        <v>60</v>
      </c>
      <c r="M13">
        <v>306</v>
      </c>
      <c r="N13">
        <v>1</v>
      </c>
      <c r="O13" t="s">
        <v>3053</v>
      </c>
      <c r="P13" t="s">
        <v>3075</v>
      </c>
      <c r="Q13">
        <v>0.1038</v>
      </c>
    </row>
    <row r="14" spans="1:20" x14ac:dyDescent="0.35">
      <c r="A14" t="s">
        <v>29</v>
      </c>
      <c r="B14" t="s">
        <v>1519</v>
      </c>
      <c r="C14">
        <v>48</v>
      </c>
      <c r="D14" t="s">
        <v>2990</v>
      </c>
      <c r="E14" t="s">
        <v>3004</v>
      </c>
      <c r="F14" t="s">
        <v>3019</v>
      </c>
      <c r="G14">
        <v>23</v>
      </c>
      <c r="H14">
        <v>2043462</v>
      </c>
      <c r="I14">
        <v>546169</v>
      </c>
      <c r="J14">
        <v>8.9</v>
      </c>
      <c r="K14">
        <v>60</v>
      </c>
      <c r="L14" t="s">
        <v>3048</v>
      </c>
      <c r="M14">
        <v>785</v>
      </c>
      <c r="N14">
        <v>3</v>
      </c>
      <c r="O14" t="s">
        <v>3056</v>
      </c>
      <c r="P14" t="s">
        <v>3076</v>
      </c>
      <c r="Q14">
        <v>0.26729999999999998</v>
      </c>
    </row>
    <row r="15" spans="1:20" x14ac:dyDescent="0.35">
      <c r="A15" t="s">
        <v>30</v>
      </c>
      <c r="B15" t="s">
        <v>1520</v>
      </c>
      <c r="C15">
        <v>47</v>
      </c>
      <c r="D15" t="s">
        <v>2990</v>
      </c>
      <c r="E15" t="s">
        <v>3005</v>
      </c>
      <c r="F15" t="s">
        <v>3020</v>
      </c>
      <c r="G15">
        <v>20</v>
      </c>
      <c r="H15">
        <v>1387068</v>
      </c>
      <c r="I15">
        <v>128042</v>
      </c>
      <c r="J15">
        <v>24.88</v>
      </c>
      <c r="K15">
        <v>60</v>
      </c>
      <c r="L15" t="s">
        <v>3047</v>
      </c>
      <c r="M15">
        <v>813</v>
      </c>
      <c r="N15">
        <v>7</v>
      </c>
      <c r="O15" t="s">
        <v>3057</v>
      </c>
      <c r="P15" t="s">
        <v>3077</v>
      </c>
      <c r="Q15">
        <v>9.2299999999999993E-2</v>
      </c>
    </row>
    <row r="16" spans="1:20" x14ac:dyDescent="0.35">
      <c r="A16" t="s">
        <v>31</v>
      </c>
      <c r="B16" t="s">
        <v>1521</v>
      </c>
      <c r="C16">
        <v>53</v>
      </c>
      <c r="D16" t="s">
        <v>2992</v>
      </c>
      <c r="E16" t="s">
        <v>3003</v>
      </c>
      <c r="F16" t="s">
        <v>3019</v>
      </c>
      <c r="G16">
        <v>2</v>
      </c>
      <c r="H16">
        <v>1865996</v>
      </c>
      <c r="I16">
        <v>626226</v>
      </c>
      <c r="J16">
        <v>16.010000000000002</v>
      </c>
      <c r="K16">
        <v>36</v>
      </c>
      <c r="L16" t="s">
        <v>3048</v>
      </c>
      <c r="M16">
        <v>609</v>
      </c>
      <c r="N16">
        <v>2</v>
      </c>
      <c r="O16" t="s">
        <v>3055</v>
      </c>
      <c r="P16" t="s">
        <v>3078</v>
      </c>
      <c r="Q16">
        <v>0.33560000000000001</v>
      </c>
    </row>
    <row r="17" spans="1:17" x14ac:dyDescent="0.35">
      <c r="A17" t="s">
        <v>32</v>
      </c>
      <c r="B17" t="s">
        <v>1522</v>
      </c>
      <c r="C17">
        <v>44</v>
      </c>
      <c r="D17" t="s">
        <v>2990</v>
      </c>
      <c r="E17" t="s">
        <v>3001</v>
      </c>
      <c r="F17" t="s">
        <v>3020</v>
      </c>
      <c r="G17">
        <v>15</v>
      </c>
      <c r="H17">
        <v>2165209</v>
      </c>
      <c r="I17">
        <v>687505</v>
      </c>
      <c r="J17">
        <v>9.74</v>
      </c>
      <c r="K17">
        <v>24</v>
      </c>
      <c r="L17" t="s">
        <v>3046</v>
      </c>
      <c r="M17">
        <v>436</v>
      </c>
      <c r="N17">
        <v>3</v>
      </c>
      <c r="O17" t="s">
        <v>3052</v>
      </c>
      <c r="P17" t="s">
        <v>3079</v>
      </c>
      <c r="Q17">
        <v>0.3175</v>
      </c>
    </row>
    <row r="18" spans="1:17" x14ac:dyDescent="0.35">
      <c r="A18" t="s">
        <v>33</v>
      </c>
      <c r="B18" t="s">
        <v>1523</v>
      </c>
      <c r="C18">
        <v>59</v>
      </c>
      <c r="D18" t="s">
        <v>2992</v>
      </c>
      <c r="E18" t="s">
        <v>3006</v>
      </c>
      <c r="F18" t="s">
        <v>3021</v>
      </c>
      <c r="G18">
        <v>21</v>
      </c>
      <c r="H18">
        <v>809085</v>
      </c>
      <c r="I18">
        <v>50949</v>
      </c>
      <c r="J18">
        <v>18.329999999999998</v>
      </c>
      <c r="K18">
        <v>24</v>
      </c>
      <c r="L18" t="s">
        <v>3046</v>
      </c>
      <c r="M18">
        <v>302</v>
      </c>
      <c r="N18">
        <v>0</v>
      </c>
      <c r="O18" t="s">
        <v>3053</v>
      </c>
      <c r="P18" t="s">
        <v>3080</v>
      </c>
      <c r="Q18">
        <v>6.3E-2</v>
      </c>
    </row>
    <row r="19" spans="1:17" x14ac:dyDescent="0.35">
      <c r="A19" t="s">
        <v>34</v>
      </c>
      <c r="B19" t="s">
        <v>1524</v>
      </c>
      <c r="C19">
        <v>44</v>
      </c>
      <c r="D19" t="s">
        <v>2992</v>
      </c>
      <c r="E19" t="s">
        <v>3000</v>
      </c>
      <c r="F19" t="s">
        <v>3018</v>
      </c>
      <c r="G19">
        <v>19</v>
      </c>
      <c r="H19">
        <v>1823312</v>
      </c>
      <c r="I19">
        <v>221202</v>
      </c>
      <c r="J19">
        <v>11.35</v>
      </c>
      <c r="K19">
        <v>36</v>
      </c>
      <c r="L19" t="s">
        <v>3051</v>
      </c>
      <c r="M19">
        <v>488</v>
      </c>
      <c r="N19">
        <v>3</v>
      </c>
      <c r="O19" t="s">
        <v>3056</v>
      </c>
      <c r="P19" t="s">
        <v>3081</v>
      </c>
      <c r="Q19">
        <v>0.12130000000000001</v>
      </c>
    </row>
    <row r="20" spans="1:17" x14ac:dyDescent="0.35">
      <c r="A20" t="s">
        <v>35</v>
      </c>
      <c r="B20" t="s">
        <v>1525</v>
      </c>
      <c r="C20">
        <v>24</v>
      </c>
      <c r="D20" t="s">
        <v>2992</v>
      </c>
      <c r="E20" t="s">
        <v>3001</v>
      </c>
      <c r="F20" t="s">
        <v>3021</v>
      </c>
      <c r="G20">
        <v>9</v>
      </c>
      <c r="H20">
        <v>259083</v>
      </c>
      <c r="I20">
        <v>329521</v>
      </c>
      <c r="J20">
        <v>23.08</v>
      </c>
      <c r="K20">
        <v>24</v>
      </c>
      <c r="L20" t="s">
        <v>3050</v>
      </c>
      <c r="M20">
        <v>680</v>
      </c>
      <c r="N20">
        <v>7</v>
      </c>
      <c r="O20" t="s">
        <v>3054</v>
      </c>
      <c r="P20" t="s">
        <v>3082</v>
      </c>
      <c r="Q20">
        <v>1.2719</v>
      </c>
    </row>
    <row r="21" spans="1:17" x14ac:dyDescent="0.35">
      <c r="A21" t="s">
        <v>36</v>
      </c>
      <c r="B21" t="s">
        <v>1526</v>
      </c>
      <c r="C21">
        <v>54</v>
      </c>
      <c r="D21" t="s">
        <v>2990</v>
      </c>
      <c r="E21" t="s">
        <v>2998</v>
      </c>
      <c r="F21" t="s">
        <v>3021</v>
      </c>
      <c r="G21">
        <v>16</v>
      </c>
      <c r="H21">
        <v>741672</v>
      </c>
      <c r="I21">
        <v>245391</v>
      </c>
      <c r="J21">
        <v>26.69</v>
      </c>
      <c r="K21">
        <v>48</v>
      </c>
      <c r="L21" t="s">
        <v>3046</v>
      </c>
      <c r="M21">
        <v>552</v>
      </c>
      <c r="N21">
        <v>1</v>
      </c>
      <c r="O21" t="s">
        <v>3053</v>
      </c>
      <c r="P21" t="s">
        <v>3083</v>
      </c>
      <c r="Q21">
        <v>0.33090000000000003</v>
      </c>
    </row>
    <row r="22" spans="1:17" x14ac:dyDescent="0.35">
      <c r="A22" t="s">
        <v>37</v>
      </c>
      <c r="B22" t="s">
        <v>1527</v>
      </c>
      <c r="C22">
        <v>36</v>
      </c>
      <c r="D22" t="s">
        <v>2990</v>
      </c>
      <c r="E22" t="s">
        <v>3007</v>
      </c>
      <c r="F22" t="s">
        <v>3021</v>
      </c>
      <c r="G22">
        <v>18</v>
      </c>
      <c r="H22">
        <v>1730184</v>
      </c>
      <c r="I22">
        <v>176255</v>
      </c>
      <c r="J22">
        <v>17.86</v>
      </c>
      <c r="K22">
        <v>48</v>
      </c>
      <c r="L22" t="s">
        <v>3049</v>
      </c>
      <c r="M22">
        <v>422</v>
      </c>
      <c r="N22">
        <v>4</v>
      </c>
      <c r="O22" t="s">
        <v>3055</v>
      </c>
      <c r="P22" t="s">
        <v>3084</v>
      </c>
      <c r="Q22">
        <v>0.1019</v>
      </c>
    </row>
    <row r="23" spans="1:17" x14ac:dyDescent="0.35">
      <c r="A23" t="s">
        <v>38</v>
      </c>
      <c r="B23" t="s">
        <v>1528</v>
      </c>
      <c r="C23">
        <v>51</v>
      </c>
      <c r="D23" t="s">
        <v>2990</v>
      </c>
      <c r="E23" t="s">
        <v>2998</v>
      </c>
      <c r="F23" t="s">
        <v>3018</v>
      </c>
      <c r="G23">
        <v>1</v>
      </c>
      <c r="H23">
        <v>2228891</v>
      </c>
      <c r="I23">
        <v>733987</v>
      </c>
      <c r="J23">
        <v>20.07</v>
      </c>
      <c r="K23">
        <v>60</v>
      </c>
      <c r="L23" t="s">
        <v>3050</v>
      </c>
      <c r="M23">
        <v>365</v>
      </c>
      <c r="N23">
        <v>4</v>
      </c>
      <c r="O23" t="s">
        <v>3053</v>
      </c>
      <c r="P23" t="s">
        <v>3085</v>
      </c>
      <c r="Q23">
        <v>0.32929999999999998</v>
      </c>
    </row>
    <row r="24" spans="1:17" x14ac:dyDescent="0.35">
      <c r="A24" t="s">
        <v>39</v>
      </c>
      <c r="B24" t="s">
        <v>1529</v>
      </c>
      <c r="C24">
        <v>45</v>
      </c>
      <c r="D24" t="s">
        <v>2992</v>
      </c>
      <c r="E24" t="s">
        <v>3006</v>
      </c>
      <c r="F24" t="s">
        <v>3019</v>
      </c>
      <c r="G24">
        <v>1</v>
      </c>
      <c r="H24">
        <v>2152424</v>
      </c>
      <c r="I24">
        <v>125686</v>
      </c>
      <c r="J24">
        <v>9.0299999999999994</v>
      </c>
      <c r="K24">
        <v>48</v>
      </c>
      <c r="L24" t="s">
        <v>3050</v>
      </c>
      <c r="M24">
        <v>472</v>
      </c>
      <c r="N24">
        <v>3</v>
      </c>
      <c r="O24" t="s">
        <v>3056</v>
      </c>
      <c r="P24" t="s">
        <v>3086</v>
      </c>
      <c r="Q24">
        <v>5.8400000000000001E-2</v>
      </c>
    </row>
    <row r="25" spans="1:17" x14ac:dyDescent="0.35">
      <c r="B25" t="s">
        <v>1530</v>
      </c>
      <c r="C25">
        <v>23</v>
      </c>
      <c r="D25" t="s">
        <v>2992</v>
      </c>
      <c r="E25" t="s">
        <v>3001</v>
      </c>
      <c r="F25" t="s">
        <v>3019</v>
      </c>
      <c r="G25">
        <v>1</v>
      </c>
      <c r="H25">
        <v>368490</v>
      </c>
      <c r="I25">
        <v>287247</v>
      </c>
      <c r="J25">
        <v>19.07</v>
      </c>
      <c r="K25">
        <v>24</v>
      </c>
      <c r="L25" t="s">
        <v>3048</v>
      </c>
      <c r="M25">
        <v>403</v>
      </c>
      <c r="N25">
        <v>5</v>
      </c>
      <c r="O25" t="s">
        <v>3058</v>
      </c>
      <c r="P25" t="s">
        <v>3087</v>
      </c>
      <c r="Q25">
        <v>0.77949999999999997</v>
      </c>
    </row>
    <row r="26" spans="1:17" x14ac:dyDescent="0.35">
      <c r="A26" t="s">
        <v>40</v>
      </c>
      <c r="B26" t="s">
        <v>1531</v>
      </c>
      <c r="C26">
        <v>22</v>
      </c>
      <c r="D26" t="s">
        <v>2990</v>
      </c>
      <c r="E26" t="s">
        <v>2998</v>
      </c>
      <c r="F26" t="s">
        <v>3018</v>
      </c>
      <c r="G26">
        <v>20</v>
      </c>
      <c r="H26">
        <v>1123693</v>
      </c>
      <c r="I26">
        <v>393216</v>
      </c>
      <c r="J26">
        <v>9.09</v>
      </c>
      <c r="K26">
        <v>12</v>
      </c>
      <c r="L26" t="s">
        <v>3049</v>
      </c>
      <c r="M26">
        <v>498</v>
      </c>
      <c r="N26">
        <v>3</v>
      </c>
      <c r="O26" t="s">
        <v>3052</v>
      </c>
      <c r="P26" t="s">
        <v>3088</v>
      </c>
      <c r="Q26">
        <v>0.34989999999999999</v>
      </c>
    </row>
    <row r="27" spans="1:17" x14ac:dyDescent="0.35">
      <c r="A27" t="s">
        <v>41</v>
      </c>
      <c r="B27" t="s">
        <v>1532</v>
      </c>
      <c r="C27">
        <v>37</v>
      </c>
      <c r="E27" t="s">
        <v>3004</v>
      </c>
      <c r="F27" t="s">
        <v>3020</v>
      </c>
      <c r="G27">
        <v>6</v>
      </c>
      <c r="H27">
        <v>373510</v>
      </c>
      <c r="I27">
        <v>241883</v>
      </c>
      <c r="J27">
        <v>24.99</v>
      </c>
      <c r="K27">
        <v>24</v>
      </c>
      <c r="L27" t="s">
        <v>3048</v>
      </c>
      <c r="M27">
        <v>804</v>
      </c>
      <c r="N27">
        <v>2</v>
      </c>
      <c r="O27" t="s">
        <v>3055</v>
      </c>
      <c r="P27" t="s">
        <v>3089</v>
      </c>
      <c r="Q27">
        <v>0.64759999999999995</v>
      </c>
    </row>
    <row r="28" spans="1:17" x14ac:dyDescent="0.35">
      <c r="A28" t="s">
        <v>42</v>
      </c>
      <c r="B28" t="s">
        <v>1533</v>
      </c>
      <c r="C28">
        <v>48</v>
      </c>
      <c r="D28" t="s">
        <v>2990</v>
      </c>
      <c r="E28" t="s">
        <v>2999</v>
      </c>
      <c r="F28" t="s">
        <v>3021</v>
      </c>
      <c r="G28">
        <v>14</v>
      </c>
      <c r="H28">
        <v>1859161</v>
      </c>
      <c r="I28">
        <v>174692</v>
      </c>
      <c r="J28">
        <v>14.79</v>
      </c>
      <c r="K28">
        <v>60</v>
      </c>
      <c r="L28" t="s">
        <v>3046</v>
      </c>
      <c r="M28">
        <v>552</v>
      </c>
      <c r="N28">
        <v>5</v>
      </c>
      <c r="O28" t="s">
        <v>3052</v>
      </c>
      <c r="P28" t="s">
        <v>3090</v>
      </c>
      <c r="Q28">
        <v>9.4E-2</v>
      </c>
    </row>
    <row r="29" spans="1:17" x14ac:dyDescent="0.35">
      <c r="A29" t="s">
        <v>43</v>
      </c>
      <c r="B29" t="s">
        <v>1534</v>
      </c>
      <c r="C29">
        <v>30</v>
      </c>
      <c r="D29" t="s">
        <v>2992</v>
      </c>
      <c r="E29" t="s">
        <v>3005</v>
      </c>
      <c r="F29" t="s">
        <v>3018</v>
      </c>
      <c r="G29">
        <v>2</v>
      </c>
      <c r="H29">
        <v>305438</v>
      </c>
      <c r="I29">
        <v>589354</v>
      </c>
      <c r="J29">
        <v>18.55</v>
      </c>
      <c r="K29">
        <v>60</v>
      </c>
      <c r="L29" t="s">
        <v>3048</v>
      </c>
      <c r="M29">
        <v>328</v>
      </c>
      <c r="N29">
        <v>6</v>
      </c>
      <c r="O29" t="s">
        <v>3057</v>
      </c>
      <c r="P29" t="s">
        <v>3091</v>
      </c>
      <c r="Q29">
        <v>1.9295</v>
      </c>
    </row>
    <row r="30" spans="1:17" x14ac:dyDescent="0.35">
      <c r="A30" t="s">
        <v>44</v>
      </c>
      <c r="B30" t="s">
        <v>1535</v>
      </c>
      <c r="C30">
        <v>54</v>
      </c>
      <c r="D30" t="s">
        <v>2992</v>
      </c>
      <c r="E30" t="s">
        <v>2998</v>
      </c>
      <c r="F30" t="s">
        <v>3018</v>
      </c>
      <c r="G30">
        <v>25</v>
      </c>
      <c r="H30">
        <v>1702688</v>
      </c>
      <c r="I30">
        <v>74110</v>
      </c>
      <c r="J30">
        <v>17.68</v>
      </c>
      <c r="K30">
        <v>60</v>
      </c>
      <c r="L30" t="s">
        <v>3050</v>
      </c>
      <c r="M30">
        <v>802</v>
      </c>
      <c r="N30">
        <v>6</v>
      </c>
      <c r="O30" t="s">
        <v>3055</v>
      </c>
      <c r="P30" t="s">
        <v>3092</v>
      </c>
      <c r="Q30">
        <v>4.3499999999999997E-2</v>
      </c>
    </row>
    <row r="31" spans="1:17" x14ac:dyDescent="0.35">
      <c r="A31" t="s">
        <v>45</v>
      </c>
      <c r="B31" t="s">
        <v>1536</v>
      </c>
      <c r="C31">
        <v>22</v>
      </c>
      <c r="D31" t="s">
        <v>2992</v>
      </c>
      <c r="E31" t="s">
        <v>3000</v>
      </c>
      <c r="F31" t="s">
        <v>3019</v>
      </c>
      <c r="G31">
        <v>1</v>
      </c>
      <c r="H31">
        <v>1636081</v>
      </c>
      <c r="I31">
        <v>210920</v>
      </c>
      <c r="J31">
        <v>19.100000000000001</v>
      </c>
      <c r="K31">
        <v>24</v>
      </c>
      <c r="L31" t="s">
        <v>3050</v>
      </c>
      <c r="M31">
        <v>809</v>
      </c>
      <c r="N31">
        <v>5</v>
      </c>
      <c r="O31" t="s">
        <v>3055</v>
      </c>
      <c r="P31" t="s">
        <v>3093</v>
      </c>
      <c r="Q31">
        <v>0.12889999999999999</v>
      </c>
    </row>
    <row r="32" spans="1:17" x14ac:dyDescent="0.35">
      <c r="A32" t="s">
        <v>46</v>
      </c>
      <c r="B32" t="s">
        <v>1537</v>
      </c>
      <c r="C32">
        <v>56</v>
      </c>
      <c r="D32" t="s">
        <v>2992</v>
      </c>
      <c r="E32" t="s">
        <v>3000</v>
      </c>
      <c r="F32" t="s">
        <v>3019</v>
      </c>
      <c r="G32">
        <v>18</v>
      </c>
      <c r="H32">
        <v>1103780</v>
      </c>
      <c r="I32">
        <v>515164</v>
      </c>
      <c r="J32">
        <v>25.72</v>
      </c>
      <c r="K32">
        <v>36</v>
      </c>
      <c r="L32" t="s">
        <v>3048</v>
      </c>
      <c r="M32">
        <v>464</v>
      </c>
      <c r="N32">
        <v>4</v>
      </c>
      <c r="O32" t="s">
        <v>3053</v>
      </c>
      <c r="P32" t="s">
        <v>3094</v>
      </c>
      <c r="Q32">
        <v>0.4667</v>
      </c>
    </row>
    <row r="33" spans="1:17" x14ac:dyDescent="0.35">
      <c r="A33" t="s">
        <v>47</v>
      </c>
      <c r="B33" t="s">
        <v>1538</v>
      </c>
      <c r="C33">
        <v>54</v>
      </c>
      <c r="D33" t="s">
        <v>2990</v>
      </c>
      <c r="E33" t="s">
        <v>3007</v>
      </c>
      <c r="F33" t="s">
        <v>3019</v>
      </c>
      <c r="G33">
        <v>3</v>
      </c>
      <c r="H33">
        <v>601280</v>
      </c>
      <c r="I33">
        <v>797635</v>
      </c>
      <c r="J33">
        <v>22.13</v>
      </c>
      <c r="K33">
        <v>24</v>
      </c>
      <c r="L33" t="s">
        <v>3050</v>
      </c>
      <c r="M33">
        <v>849</v>
      </c>
      <c r="N33">
        <v>2</v>
      </c>
      <c r="O33" t="s">
        <v>3057</v>
      </c>
      <c r="P33" t="s">
        <v>3095</v>
      </c>
      <c r="Q33">
        <v>1.3266</v>
      </c>
    </row>
    <row r="34" spans="1:17" x14ac:dyDescent="0.35">
      <c r="A34" t="s">
        <v>48</v>
      </c>
      <c r="B34" t="s">
        <v>1539</v>
      </c>
      <c r="C34">
        <v>47</v>
      </c>
      <c r="D34" t="s">
        <v>2992</v>
      </c>
      <c r="E34" t="s">
        <v>3001</v>
      </c>
      <c r="F34" t="s">
        <v>3019</v>
      </c>
      <c r="G34">
        <v>17</v>
      </c>
      <c r="H34">
        <v>691083</v>
      </c>
      <c r="I34">
        <v>396087</v>
      </c>
      <c r="J34">
        <v>25.31</v>
      </c>
      <c r="K34">
        <v>12</v>
      </c>
      <c r="L34" t="s">
        <v>3050</v>
      </c>
      <c r="M34">
        <v>449</v>
      </c>
      <c r="N34">
        <v>6</v>
      </c>
      <c r="O34" t="s">
        <v>3056</v>
      </c>
      <c r="P34" t="s">
        <v>3096</v>
      </c>
      <c r="Q34">
        <v>0.57310000000000005</v>
      </c>
    </row>
    <row r="35" spans="1:17" x14ac:dyDescent="0.35">
      <c r="A35" t="s">
        <v>49</v>
      </c>
      <c r="B35" t="s">
        <v>1540</v>
      </c>
      <c r="C35">
        <v>50</v>
      </c>
      <c r="D35" t="s">
        <v>2992</v>
      </c>
      <c r="E35" t="s">
        <v>3004</v>
      </c>
      <c r="F35" t="s">
        <v>3018</v>
      </c>
      <c r="G35">
        <v>6</v>
      </c>
      <c r="H35">
        <v>746956</v>
      </c>
      <c r="I35">
        <v>407699</v>
      </c>
      <c r="J35">
        <v>16.22</v>
      </c>
      <c r="K35">
        <v>12</v>
      </c>
      <c r="L35" t="s">
        <v>3050</v>
      </c>
      <c r="M35">
        <v>725</v>
      </c>
      <c r="N35">
        <v>6</v>
      </c>
      <c r="O35" t="s">
        <v>3059</v>
      </c>
      <c r="P35" t="s">
        <v>3097</v>
      </c>
      <c r="Q35">
        <v>0.54579999999999995</v>
      </c>
    </row>
    <row r="36" spans="1:17" x14ac:dyDescent="0.35">
      <c r="A36" t="s">
        <v>50</v>
      </c>
      <c r="B36" t="s">
        <v>1541</v>
      </c>
      <c r="C36">
        <v>27</v>
      </c>
      <c r="D36" t="s">
        <v>2990</v>
      </c>
      <c r="E36" t="s">
        <v>3004</v>
      </c>
      <c r="F36" t="s">
        <v>3019</v>
      </c>
      <c r="G36">
        <v>28</v>
      </c>
      <c r="H36">
        <v>656513</v>
      </c>
      <c r="I36">
        <v>83972</v>
      </c>
      <c r="J36">
        <v>23.04</v>
      </c>
      <c r="K36">
        <v>48</v>
      </c>
      <c r="L36" t="s">
        <v>3049</v>
      </c>
      <c r="M36">
        <v>681</v>
      </c>
      <c r="N36">
        <v>6</v>
      </c>
      <c r="O36" t="s">
        <v>3057</v>
      </c>
      <c r="P36" t="s">
        <v>3098</v>
      </c>
      <c r="Q36">
        <v>0.12790000000000001</v>
      </c>
    </row>
    <row r="37" spans="1:17" x14ac:dyDescent="0.35">
      <c r="A37" t="s">
        <v>51</v>
      </c>
      <c r="B37" t="s">
        <v>1542</v>
      </c>
      <c r="C37">
        <v>58</v>
      </c>
      <c r="D37" t="s">
        <v>2992</v>
      </c>
      <c r="E37" t="s">
        <v>3000</v>
      </c>
      <c r="F37" t="s">
        <v>3018</v>
      </c>
      <c r="G37">
        <v>11</v>
      </c>
      <c r="H37">
        <v>-551616</v>
      </c>
      <c r="I37">
        <v>686015</v>
      </c>
      <c r="J37">
        <v>26.9</v>
      </c>
      <c r="K37">
        <v>48</v>
      </c>
      <c r="L37" t="s">
        <v>3048</v>
      </c>
      <c r="M37">
        <v>628</v>
      </c>
      <c r="N37">
        <v>1</v>
      </c>
      <c r="O37" t="s">
        <v>3055</v>
      </c>
      <c r="P37" t="s">
        <v>3099</v>
      </c>
      <c r="Q37">
        <v>1.2436</v>
      </c>
    </row>
    <row r="38" spans="1:17" x14ac:dyDescent="0.35">
      <c r="A38" t="s">
        <v>52</v>
      </c>
      <c r="B38" t="s">
        <v>1543</v>
      </c>
      <c r="C38">
        <v>23</v>
      </c>
      <c r="D38" t="s">
        <v>2992</v>
      </c>
      <c r="E38" t="s">
        <v>3003</v>
      </c>
      <c r="F38" t="s">
        <v>3019</v>
      </c>
      <c r="G38">
        <v>5</v>
      </c>
      <c r="H38">
        <v>1724613</v>
      </c>
      <c r="I38">
        <v>425105</v>
      </c>
      <c r="J38">
        <v>26.23</v>
      </c>
      <c r="K38">
        <v>12</v>
      </c>
      <c r="L38" t="s">
        <v>3049</v>
      </c>
      <c r="M38">
        <v>596</v>
      </c>
      <c r="N38">
        <v>7</v>
      </c>
      <c r="O38" t="s">
        <v>3052</v>
      </c>
      <c r="P38" t="s">
        <v>3100</v>
      </c>
      <c r="Q38">
        <v>0.2465</v>
      </c>
    </row>
    <row r="39" spans="1:17" x14ac:dyDescent="0.35">
      <c r="A39" t="s">
        <v>53</v>
      </c>
      <c r="B39" t="s">
        <v>1544</v>
      </c>
      <c r="C39">
        <v>34</v>
      </c>
      <c r="D39" t="s">
        <v>2993</v>
      </c>
      <c r="E39" t="s">
        <v>3002</v>
      </c>
      <c r="F39" t="s">
        <v>3019</v>
      </c>
      <c r="G39">
        <v>14</v>
      </c>
      <c r="H39">
        <v>777897</v>
      </c>
      <c r="I39">
        <v>411858</v>
      </c>
      <c r="J39">
        <v>8.99</v>
      </c>
      <c r="K39">
        <v>24</v>
      </c>
      <c r="L39" t="s">
        <v>3048</v>
      </c>
      <c r="M39">
        <v>552</v>
      </c>
      <c r="N39">
        <v>2</v>
      </c>
      <c r="O39" t="s">
        <v>3054</v>
      </c>
      <c r="P39" t="s">
        <v>3101</v>
      </c>
      <c r="Q39">
        <v>0.52949999999999997</v>
      </c>
    </row>
    <row r="40" spans="1:17" x14ac:dyDescent="0.35">
      <c r="A40" t="s">
        <v>54</v>
      </c>
      <c r="B40" t="s">
        <v>1545</v>
      </c>
      <c r="C40">
        <v>38</v>
      </c>
      <c r="D40" t="s">
        <v>2992</v>
      </c>
      <c r="E40" t="s">
        <v>3005</v>
      </c>
      <c r="F40" t="s">
        <v>3018</v>
      </c>
      <c r="G40">
        <v>10</v>
      </c>
      <c r="H40">
        <v>2287359</v>
      </c>
      <c r="I40">
        <v>550875</v>
      </c>
      <c r="J40">
        <v>12.73</v>
      </c>
      <c r="K40">
        <v>36</v>
      </c>
      <c r="L40" t="s">
        <v>3047</v>
      </c>
      <c r="M40">
        <v>714</v>
      </c>
      <c r="N40">
        <v>6</v>
      </c>
      <c r="O40" t="s">
        <v>3052</v>
      </c>
      <c r="P40" t="s">
        <v>3102</v>
      </c>
      <c r="Q40">
        <v>0.24079999999999999</v>
      </c>
    </row>
    <row r="41" spans="1:17" x14ac:dyDescent="0.35">
      <c r="A41" t="s">
        <v>55</v>
      </c>
      <c r="B41" t="s">
        <v>1546</v>
      </c>
      <c r="C41">
        <v>24</v>
      </c>
      <c r="D41" t="s">
        <v>2990</v>
      </c>
      <c r="E41" t="s">
        <v>3005</v>
      </c>
      <c r="F41" t="s">
        <v>3021</v>
      </c>
      <c r="G41">
        <v>16</v>
      </c>
      <c r="H41">
        <v>228874</v>
      </c>
      <c r="I41">
        <v>289160</v>
      </c>
      <c r="J41">
        <v>12.15</v>
      </c>
      <c r="K41">
        <v>36</v>
      </c>
      <c r="M41">
        <v>460</v>
      </c>
      <c r="N41">
        <v>5</v>
      </c>
      <c r="O41" t="s">
        <v>3056</v>
      </c>
      <c r="P41" t="s">
        <v>3103</v>
      </c>
      <c r="Q41">
        <v>1.2634000000000001</v>
      </c>
    </row>
    <row r="42" spans="1:17" x14ac:dyDescent="0.35">
      <c r="A42" t="s">
        <v>56</v>
      </c>
      <c r="B42" t="s">
        <v>1547</v>
      </c>
      <c r="C42">
        <v>29</v>
      </c>
      <c r="D42" t="s">
        <v>2990</v>
      </c>
      <c r="E42" t="s">
        <v>2999</v>
      </c>
      <c r="F42" t="s">
        <v>3018</v>
      </c>
      <c r="G42">
        <v>20</v>
      </c>
      <c r="H42">
        <v>1437949</v>
      </c>
      <c r="I42">
        <v>400596</v>
      </c>
      <c r="J42">
        <v>19.010000000000002</v>
      </c>
      <c r="K42">
        <v>48</v>
      </c>
      <c r="L42" t="s">
        <v>3050</v>
      </c>
      <c r="M42">
        <v>652</v>
      </c>
      <c r="N42">
        <v>7</v>
      </c>
      <c r="O42" t="s">
        <v>3057</v>
      </c>
      <c r="P42" t="s">
        <v>3104</v>
      </c>
      <c r="Q42">
        <v>0.27860000000000001</v>
      </c>
    </row>
    <row r="43" spans="1:17" x14ac:dyDescent="0.35">
      <c r="A43" t="s">
        <v>57</v>
      </c>
      <c r="B43" t="s">
        <v>1548</v>
      </c>
      <c r="C43">
        <v>60</v>
      </c>
      <c r="D43" t="s">
        <v>2990</v>
      </c>
      <c r="E43" t="s">
        <v>3006</v>
      </c>
      <c r="F43" t="s">
        <v>3018</v>
      </c>
      <c r="G43">
        <v>0</v>
      </c>
      <c r="H43">
        <v>1396959</v>
      </c>
      <c r="I43">
        <v>388266</v>
      </c>
      <c r="J43">
        <v>8.61</v>
      </c>
      <c r="K43">
        <v>48</v>
      </c>
      <c r="L43" t="s">
        <v>3051</v>
      </c>
      <c r="M43">
        <v>691</v>
      </c>
      <c r="N43">
        <v>4</v>
      </c>
      <c r="O43" t="s">
        <v>3057</v>
      </c>
      <c r="P43" t="s">
        <v>3105</v>
      </c>
      <c r="Q43">
        <v>0.27789999999999998</v>
      </c>
    </row>
    <row r="44" spans="1:17" x14ac:dyDescent="0.35">
      <c r="A44" t="s">
        <v>58</v>
      </c>
      <c r="B44" t="s">
        <v>1549</v>
      </c>
      <c r="C44">
        <v>38</v>
      </c>
      <c r="D44" t="s">
        <v>2990</v>
      </c>
      <c r="E44" t="s">
        <v>2999</v>
      </c>
      <c r="F44" t="s">
        <v>3020</v>
      </c>
      <c r="G44">
        <v>10</v>
      </c>
      <c r="H44">
        <v>1277353</v>
      </c>
      <c r="I44">
        <v>35534</v>
      </c>
      <c r="J44">
        <v>27.53</v>
      </c>
      <c r="K44">
        <v>36</v>
      </c>
      <c r="L44" t="s">
        <v>3048</v>
      </c>
      <c r="M44">
        <v>388</v>
      </c>
      <c r="N44">
        <v>7</v>
      </c>
      <c r="O44" t="s">
        <v>3057</v>
      </c>
      <c r="P44" t="s">
        <v>3106</v>
      </c>
      <c r="Q44">
        <v>2.7799999999999998E-2</v>
      </c>
    </row>
    <row r="45" spans="1:17" x14ac:dyDescent="0.35">
      <c r="A45" t="s">
        <v>59</v>
      </c>
      <c r="B45" t="s">
        <v>1550</v>
      </c>
      <c r="C45">
        <v>59</v>
      </c>
      <c r="E45" t="s">
        <v>3003</v>
      </c>
      <c r="F45" t="s">
        <v>3020</v>
      </c>
      <c r="G45">
        <v>2</v>
      </c>
      <c r="H45">
        <v>1710891</v>
      </c>
      <c r="I45">
        <v>492963</v>
      </c>
      <c r="J45">
        <v>20.34</v>
      </c>
      <c r="K45">
        <v>60</v>
      </c>
      <c r="L45" t="s">
        <v>3050</v>
      </c>
      <c r="M45">
        <v>477</v>
      </c>
      <c r="N45">
        <v>5</v>
      </c>
      <c r="O45" t="s">
        <v>3053</v>
      </c>
      <c r="P45" t="s">
        <v>3107</v>
      </c>
      <c r="Q45">
        <v>0.28810000000000002</v>
      </c>
    </row>
    <row r="46" spans="1:17" x14ac:dyDescent="0.35">
      <c r="A46" t="s">
        <v>60</v>
      </c>
      <c r="B46" t="s">
        <v>1551</v>
      </c>
      <c r="C46">
        <v>45</v>
      </c>
      <c r="D46" t="s">
        <v>2990</v>
      </c>
      <c r="E46" t="s">
        <v>3006</v>
      </c>
      <c r="F46" t="s">
        <v>3018</v>
      </c>
      <c r="G46">
        <v>11</v>
      </c>
      <c r="H46">
        <v>1762460</v>
      </c>
      <c r="I46">
        <v>718876</v>
      </c>
      <c r="J46">
        <v>13.61</v>
      </c>
      <c r="K46">
        <v>36</v>
      </c>
      <c r="L46" t="s">
        <v>3051</v>
      </c>
      <c r="M46">
        <v>645</v>
      </c>
      <c r="N46">
        <v>4</v>
      </c>
      <c r="O46" t="s">
        <v>3057</v>
      </c>
      <c r="P46" t="s">
        <v>3074</v>
      </c>
      <c r="Q46">
        <v>0.40789999999999998</v>
      </c>
    </row>
    <row r="47" spans="1:17" x14ac:dyDescent="0.35">
      <c r="A47" t="s">
        <v>61</v>
      </c>
      <c r="B47" t="s">
        <v>1552</v>
      </c>
      <c r="C47">
        <v>31</v>
      </c>
      <c r="D47" t="s">
        <v>2992</v>
      </c>
      <c r="E47" t="s">
        <v>3004</v>
      </c>
      <c r="F47" t="s">
        <v>3018</v>
      </c>
      <c r="G47">
        <v>27</v>
      </c>
      <c r="H47">
        <v>1763246</v>
      </c>
      <c r="I47">
        <v>529565</v>
      </c>
      <c r="J47">
        <v>18.98</v>
      </c>
      <c r="K47">
        <v>12</v>
      </c>
      <c r="L47" t="s">
        <v>3050</v>
      </c>
      <c r="M47">
        <v>821</v>
      </c>
      <c r="N47">
        <v>2</v>
      </c>
      <c r="O47" t="s">
        <v>3052</v>
      </c>
      <c r="P47" t="s">
        <v>3108</v>
      </c>
      <c r="Q47">
        <v>0.30030000000000001</v>
      </c>
    </row>
    <row r="48" spans="1:17" x14ac:dyDescent="0.35">
      <c r="A48" t="s">
        <v>62</v>
      </c>
      <c r="B48" t="s">
        <v>1553</v>
      </c>
      <c r="C48">
        <v>28</v>
      </c>
      <c r="D48" t="s">
        <v>2992</v>
      </c>
      <c r="E48" t="s">
        <v>3003</v>
      </c>
      <c r="F48" t="s">
        <v>3019</v>
      </c>
      <c r="G48">
        <v>13</v>
      </c>
      <c r="H48">
        <v>1852717</v>
      </c>
      <c r="I48">
        <v>170653</v>
      </c>
      <c r="J48">
        <v>15.92</v>
      </c>
      <c r="K48">
        <v>24</v>
      </c>
      <c r="L48" t="s">
        <v>3046</v>
      </c>
      <c r="M48">
        <v>629</v>
      </c>
      <c r="N48">
        <v>4</v>
      </c>
      <c r="O48" t="s">
        <v>3057</v>
      </c>
      <c r="P48" t="s">
        <v>3109</v>
      </c>
      <c r="Q48">
        <v>9.2100000000000001E-2</v>
      </c>
    </row>
    <row r="49" spans="1:17" x14ac:dyDescent="0.35">
      <c r="A49" t="s">
        <v>63</v>
      </c>
      <c r="B49" t="s">
        <v>1554</v>
      </c>
      <c r="C49">
        <v>38</v>
      </c>
      <c r="D49" t="s">
        <v>2990</v>
      </c>
      <c r="E49" t="s">
        <v>3005</v>
      </c>
      <c r="F49" t="s">
        <v>3021</v>
      </c>
      <c r="G49">
        <v>8</v>
      </c>
      <c r="H49">
        <v>1222377</v>
      </c>
      <c r="I49">
        <v>752081</v>
      </c>
      <c r="J49" t="s">
        <v>3022</v>
      </c>
      <c r="K49">
        <v>60</v>
      </c>
      <c r="L49" t="s">
        <v>3046</v>
      </c>
      <c r="M49">
        <v>625</v>
      </c>
      <c r="N49">
        <v>1</v>
      </c>
      <c r="O49" t="s">
        <v>3052</v>
      </c>
      <c r="P49" t="s">
        <v>3110</v>
      </c>
      <c r="Q49">
        <v>0.61529999999999996</v>
      </c>
    </row>
    <row r="50" spans="1:17" x14ac:dyDescent="0.35">
      <c r="A50" t="s">
        <v>64</v>
      </c>
      <c r="B50" t="s">
        <v>1555</v>
      </c>
      <c r="C50">
        <v>23</v>
      </c>
      <c r="D50" t="s">
        <v>2990</v>
      </c>
      <c r="E50" t="s">
        <v>3003</v>
      </c>
      <c r="F50" t="s">
        <v>3018</v>
      </c>
      <c r="G50">
        <v>5</v>
      </c>
      <c r="H50">
        <v>339292</v>
      </c>
      <c r="I50">
        <v>773890</v>
      </c>
      <c r="J50">
        <v>9.5</v>
      </c>
      <c r="K50">
        <v>36</v>
      </c>
      <c r="L50" t="s">
        <v>3047</v>
      </c>
      <c r="M50">
        <v>560</v>
      </c>
      <c r="N50">
        <v>4</v>
      </c>
      <c r="O50" t="s">
        <v>3055</v>
      </c>
      <c r="P50" t="s">
        <v>3111</v>
      </c>
      <c r="Q50">
        <v>2.2808999999999999</v>
      </c>
    </row>
    <row r="51" spans="1:17" x14ac:dyDescent="0.35">
      <c r="A51" t="s">
        <v>65</v>
      </c>
      <c r="B51" t="s">
        <v>1556</v>
      </c>
      <c r="C51">
        <v>64</v>
      </c>
      <c r="D51" t="s">
        <v>2990</v>
      </c>
      <c r="E51" t="s">
        <v>3000</v>
      </c>
      <c r="F51" t="s">
        <v>3018</v>
      </c>
      <c r="G51">
        <v>21</v>
      </c>
      <c r="H51">
        <v>968140</v>
      </c>
      <c r="I51">
        <v>777634</v>
      </c>
      <c r="J51">
        <v>25.95</v>
      </c>
      <c r="K51">
        <v>12</v>
      </c>
      <c r="L51" t="s">
        <v>3046</v>
      </c>
      <c r="M51">
        <v>686</v>
      </c>
      <c r="N51">
        <v>2</v>
      </c>
      <c r="O51" t="s">
        <v>3055</v>
      </c>
      <c r="P51" t="s">
        <v>3112</v>
      </c>
      <c r="Q51">
        <v>0.80320000000000003</v>
      </c>
    </row>
    <row r="52" spans="1:17" x14ac:dyDescent="0.35">
      <c r="A52" t="s">
        <v>66</v>
      </c>
      <c r="B52" t="s">
        <v>1557</v>
      </c>
      <c r="C52">
        <v>51</v>
      </c>
      <c r="D52" t="s">
        <v>2991</v>
      </c>
      <c r="E52" t="s">
        <v>3000</v>
      </c>
      <c r="F52" t="s">
        <v>3020</v>
      </c>
      <c r="G52">
        <v>11</v>
      </c>
      <c r="H52">
        <v>1736396</v>
      </c>
      <c r="I52">
        <v>367823</v>
      </c>
      <c r="J52">
        <v>13.95</v>
      </c>
      <c r="K52">
        <v>60</v>
      </c>
      <c r="L52" t="s">
        <v>3051</v>
      </c>
      <c r="M52">
        <v>358</v>
      </c>
      <c r="N52">
        <v>4</v>
      </c>
      <c r="O52" t="s">
        <v>3056</v>
      </c>
      <c r="P52" t="s">
        <v>3113</v>
      </c>
      <c r="Q52">
        <v>0.21179999999999999</v>
      </c>
    </row>
    <row r="53" spans="1:17" x14ac:dyDescent="0.35">
      <c r="A53" t="s">
        <v>67</v>
      </c>
      <c r="B53" t="s">
        <v>1558</v>
      </c>
      <c r="C53">
        <v>21</v>
      </c>
      <c r="D53" t="s">
        <v>2992</v>
      </c>
      <c r="E53" t="s">
        <v>2999</v>
      </c>
      <c r="F53" t="s">
        <v>3018</v>
      </c>
      <c r="G53">
        <v>28</v>
      </c>
      <c r="H53">
        <v>868725</v>
      </c>
      <c r="I53">
        <v>323602</v>
      </c>
      <c r="J53">
        <v>21.58</v>
      </c>
      <c r="K53">
        <v>24</v>
      </c>
      <c r="L53" t="s">
        <v>3050</v>
      </c>
      <c r="M53">
        <v>375</v>
      </c>
      <c r="N53">
        <v>3</v>
      </c>
      <c r="O53" t="s">
        <v>3055</v>
      </c>
      <c r="P53" t="s">
        <v>3114</v>
      </c>
      <c r="Q53">
        <v>0.3725</v>
      </c>
    </row>
    <row r="54" spans="1:17" x14ac:dyDescent="0.35">
      <c r="A54" t="s">
        <v>68</v>
      </c>
      <c r="B54" t="s">
        <v>1559</v>
      </c>
      <c r="C54">
        <v>46</v>
      </c>
      <c r="D54" t="s">
        <v>2992</v>
      </c>
      <c r="E54" t="s">
        <v>3003</v>
      </c>
      <c r="F54" t="s">
        <v>3020</v>
      </c>
      <c r="G54">
        <v>21</v>
      </c>
      <c r="H54">
        <v>2158281</v>
      </c>
      <c r="I54">
        <v>784265</v>
      </c>
      <c r="J54">
        <v>16.350000000000001</v>
      </c>
      <c r="K54">
        <v>60</v>
      </c>
      <c r="L54" t="s">
        <v>3051</v>
      </c>
      <c r="M54">
        <v>751</v>
      </c>
      <c r="N54">
        <v>1</v>
      </c>
      <c r="O54" t="s">
        <v>3052</v>
      </c>
      <c r="P54" t="s">
        <v>3115</v>
      </c>
      <c r="Q54">
        <v>0.3634</v>
      </c>
    </row>
    <row r="55" spans="1:17" x14ac:dyDescent="0.35">
      <c r="A55" t="s">
        <v>69</v>
      </c>
      <c r="B55" t="s">
        <v>1560</v>
      </c>
      <c r="C55">
        <v>61</v>
      </c>
      <c r="D55" t="s">
        <v>2990</v>
      </c>
      <c r="E55" t="s">
        <v>3003</v>
      </c>
      <c r="F55" t="s">
        <v>3019</v>
      </c>
      <c r="G55">
        <v>5</v>
      </c>
      <c r="I55">
        <v>731111</v>
      </c>
      <c r="J55">
        <v>16.059999999999999</v>
      </c>
      <c r="K55">
        <v>24</v>
      </c>
      <c r="L55" t="s">
        <v>3046</v>
      </c>
      <c r="N55">
        <v>1</v>
      </c>
      <c r="O55" t="s">
        <v>3055</v>
      </c>
      <c r="P55" t="s">
        <v>3116</v>
      </c>
      <c r="Q55">
        <v>0.60680000000000001</v>
      </c>
    </row>
    <row r="56" spans="1:17" x14ac:dyDescent="0.35">
      <c r="A56" t="s">
        <v>70</v>
      </c>
      <c r="B56" t="s">
        <v>1561</v>
      </c>
      <c r="C56">
        <v>29</v>
      </c>
      <c r="D56" t="s">
        <v>2990</v>
      </c>
      <c r="E56" t="s">
        <v>2998</v>
      </c>
      <c r="F56" t="s">
        <v>3018</v>
      </c>
      <c r="G56">
        <v>10</v>
      </c>
      <c r="H56">
        <v>2339081</v>
      </c>
      <c r="I56">
        <v>433089</v>
      </c>
      <c r="J56">
        <v>15.77</v>
      </c>
      <c r="K56">
        <v>48</v>
      </c>
      <c r="L56" t="s">
        <v>3047</v>
      </c>
      <c r="M56">
        <v>841</v>
      </c>
      <c r="N56">
        <v>2</v>
      </c>
      <c r="O56" t="s">
        <v>3053</v>
      </c>
      <c r="P56" t="s">
        <v>3117</v>
      </c>
      <c r="Q56">
        <v>0.1852</v>
      </c>
    </row>
    <row r="57" spans="1:17" x14ac:dyDescent="0.35">
      <c r="A57" t="s">
        <v>71</v>
      </c>
      <c r="B57" t="s">
        <v>1562</v>
      </c>
      <c r="C57">
        <v>45</v>
      </c>
      <c r="D57" t="s">
        <v>2990</v>
      </c>
      <c r="E57" t="s">
        <v>3005</v>
      </c>
      <c r="F57" t="s">
        <v>3021</v>
      </c>
      <c r="G57">
        <v>13</v>
      </c>
      <c r="H57">
        <v>397770</v>
      </c>
      <c r="I57">
        <v>498454</v>
      </c>
      <c r="J57">
        <v>26.45</v>
      </c>
      <c r="K57">
        <v>60</v>
      </c>
      <c r="L57" t="s">
        <v>3050</v>
      </c>
      <c r="M57">
        <v>500</v>
      </c>
      <c r="N57">
        <v>2</v>
      </c>
      <c r="O57" t="s">
        <v>3053</v>
      </c>
      <c r="P57" t="s">
        <v>3118</v>
      </c>
      <c r="Q57">
        <v>1.2531000000000001</v>
      </c>
    </row>
    <row r="58" spans="1:17" x14ac:dyDescent="0.35">
      <c r="A58" t="s">
        <v>72</v>
      </c>
      <c r="B58" t="s">
        <v>1563</v>
      </c>
      <c r="C58">
        <v>46</v>
      </c>
      <c r="D58" t="s">
        <v>2990</v>
      </c>
      <c r="E58" t="s">
        <v>3006</v>
      </c>
      <c r="F58" t="s">
        <v>3021</v>
      </c>
      <c r="G58">
        <v>2</v>
      </c>
      <c r="H58">
        <v>209725</v>
      </c>
      <c r="I58">
        <v>80128</v>
      </c>
      <c r="J58">
        <v>15.16</v>
      </c>
      <c r="K58">
        <v>48</v>
      </c>
      <c r="L58" t="s">
        <v>3046</v>
      </c>
      <c r="M58">
        <v>664</v>
      </c>
      <c r="N58">
        <v>5</v>
      </c>
      <c r="O58" t="s">
        <v>3052</v>
      </c>
      <c r="P58" t="s">
        <v>3119</v>
      </c>
      <c r="Q58">
        <v>0.3821</v>
      </c>
    </row>
    <row r="59" spans="1:17" x14ac:dyDescent="0.35">
      <c r="A59" t="s">
        <v>73</v>
      </c>
      <c r="B59" t="s">
        <v>1564</v>
      </c>
      <c r="C59">
        <v>45</v>
      </c>
      <c r="D59" t="s">
        <v>2992</v>
      </c>
      <c r="E59" t="s">
        <v>3002</v>
      </c>
      <c r="F59" t="s">
        <v>3020</v>
      </c>
      <c r="G59">
        <v>2</v>
      </c>
      <c r="H59">
        <v>885475</v>
      </c>
      <c r="I59">
        <v>325505</v>
      </c>
      <c r="J59">
        <v>25.72</v>
      </c>
      <c r="K59">
        <v>24</v>
      </c>
      <c r="L59" t="s">
        <v>3051</v>
      </c>
      <c r="M59">
        <v>703</v>
      </c>
      <c r="N59">
        <v>2</v>
      </c>
      <c r="O59" t="s">
        <v>3052</v>
      </c>
      <c r="P59" t="s">
        <v>3120</v>
      </c>
      <c r="Q59">
        <v>0.36759999999999998</v>
      </c>
    </row>
    <row r="60" spans="1:17" x14ac:dyDescent="0.35">
      <c r="A60" t="s">
        <v>74</v>
      </c>
      <c r="B60" t="s">
        <v>1565</v>
      </c>
      <c r="C60">
        <v>45</v>
      </c>
      <c r="D60" t="s">
        <v>2990</v>
      </c>
      <c r="E60" t="s">
        <v>2999</v>
      </c>
      <c r="F60" t="s">
        <v>3020</v>
      </c>
      <c r="G60">
        <v>0</v>
      </c>
      <c r="H60">
        <v>1202892</v>
      </c>
      <c r="I60">
        <v>154445</v>
      </c>
      <c r="J60">
        <v>9.06</v>
      </c>
      <c r="K60">
        <v>36</v>
      </c>
      <c r="L60" t="s">
        <v>3046</v>
      </c>
      <c r="M60">
        <v>472</v>
      </c>
      <c r="N60">
        <v>3</v>
      </c>
      <c r="O60" t="s">
        <v>3054</v>
      </c>
      <c r="P60" t="s">
        <v>3121</v>
      </c>
      <c r="Q60">
        <v>0.12839999999999999</v>
      </c>
    </row>
    <row r="61" spans="1:17" x14ac:dyDescent="0.35">
      <c r="A61" t="s">
        <v>75</v>
      </c>
      <c r="B61" t="s">
        <v>1566</v>
      </c>
      <c r="C61">
        <v>56</v>
      </c>
      <c r="D61" t="s">
        <v>2990</v>
      </c>
      <c r="E61" t="s">
        <v>3000</v>
      </c>
      <c r="F61" t="s">
        <v>3021</v>
      </c>
      <c r="G61">
        <v>13</v>
      </c>
      <c r="H61">
        <v>1275426</v>
      </c>
      <c r="I61">
        <v>448745</v>
      </c>
      <c r="J61">
        <v>8.5</v>
      </c>
      <c r="K61">
        <v>12</v>
      </c>
      <c r="L61" t="s">
        <v>3046</v>
      </c>
      <c r="M61">
        <v>353</v>
      </c>
      <c r="N61">
        <v>5</v>
      </c>
      <c r="O61" t="s">
        <v>3057</v>
      </c>
      <c r="P61" t="s">
        <v>3122</v>
      </c>
      <c r="Q61">
        <v>0.3518</v>
      </c>
    </row>
    <row r="62" spans="1:17" x14ac:dyDescent="0.35">
      <c r="A62" t="s">
        <v>76</v>
      </c>
      <c r="B62" t="s">
        <v>1567</v>
      </c>
      <c r="C62">
        <v>59</v>
      </c>
      <c r="D62" t="s">
        <v>2992</v>
      </c>
      <c r="E62" t="s">
        <v>3000</v>
      </c>
      <c r="F62" t="s">
        <v>3020</v>
      </c>
      <c r="G62">
        <v>17</v>
      </c>
      <c r="H62">
        <v>465711</v>
      </c>
      <c r="I62">
        <v>444671</v>
      </c>
      <c r="J62">
        <v>23.56</v>
      </c>
      <c r="K62">
        <v>12</v>
      </c>
      <c r="L62" t="s">
        <v>3049</v>
      </c>
      <c r="M62">
        <v>760</v>
      </c>
      <c r="N62">
        <v>5</v>
      </c>
      <c r="O62" t="s">
        <v>3052</v>
      </c>
      <c r="P62" t="s">
        <v>3123</v>
      </c>
      <c r="Q62">
        <v>0.95479999999999998</v>
      </c>
    </row>
    <row r="63" spans="1:17" x14ac:dyDescent="0.35">
      <c r="A63" t="s">
        <v>77</v>
      </c>
      <c r="B63" t="s">
        <v>1568</v>
      </c>
      <c r="C63">
        <v>47</v>
      </c>
      <c r="D63" t="s">
        <v>2992</v>
      </c>
      <c r="E63" t="s">
        <v>2999</v>
      </c>
      <c r="F63" t="s">
        <v>3018</v>
      </c>
      <c r="G63">
        <v>6</v>
      </c>
      <c r="H63">
        <v>1281928</v>
      </c>
      <c r="I63">
        <v>45991</v>
      </c>
      <c r="J63">
        <v>9.17</v>
      </c>
      <c r="K63">
        <v>12</v>
      </c>
      <c r="L63" t="s">
        <v>3046</v>
      </c>
      <c r="M63">
        <v>346</v>
      </c>
      <c r="N63">
        <v>4</v>
      </c>
      <c r="O63" t="s">
        <v>3055</v>
      </c>
      <c r="P63" t="s">
        <v>3124</v>
      </c>
      <c r="Q63">
        <v>3.5900000000000001E-2</v>
      </c>
    </row>
    <row r="64" spans="1:17" x14ac:dyDescent="0.35">
      <c r="A64" t="s">
        <v>78</v>
      </c>
      <c r="B64" t="s">
        <v>1569</v>
      </c>
      <c r="C64">
        <v>44</v>
      </c>
      <c r="D64" t="s">
        <v>2990</v>
      </c>
      <c r="E64" t="s">
        <v>3006</v>
      </c>
      <c r="F64" t="s">
        <v>3018</v>
      </c>
      <c r="G64">
        <v>2</v>
      </c>
      <c r="H64">
        <v>2048388</v>
      </c>
      <c r="I64">
        <v>256187</v>
      </c>
      <c r="J64">
        <v>20.91</v>
      </c>
      <c r="K64">
        <v>24</v>
      </c>
      <c r="L64" t="s">
        <v>3047</v>
      </c>
      <c r="M64">
        <v>741</v>
      </c>
      <c r="N64">
        <v>0</v>
      </c>
      <c r="O64" t="s">
        <v>3056</v>
      </c>
      <c r="P64" t="s">
        <v>3125</v>
      </c>
      <c r="Q64">
        <v>0.12509999999999999</v>
      </c>
    </row>
    <row r="65" spans="1:17" x14ac:dyDescent="0.35">
      <c r="A65" t="s">
        <v>79</v>
      </c>
      <c r="B65" t="s">
        <v>1570</v>
      </c>
      <c r="C65">
        <v>51</v>
      </c>
      <c r="D65" t="s">
        <v>2991</v>
      </c>
      <c r="E65" t="s">
        <v>2998</v>
      </c>
      <c r="F65" t="s">
        <v>3019</v>
      </c>
      <c r="G65">
        <v>18</v>
      </c>
      <c r="I65">
        <v>790644</v>
      </c>
      <c r="J65">
        <v>20.99</v>
      </c>
      <c r="K65">
        <v>24</v>
      </c>
      <c r="L65" t="s">
        <v>3046</v>
      </c>
      <c r="M65">
        <v>543</v>
      </c>
      <c r="N65">
        <v>6</v>
      </c>
      <c r="O65" t="s">
        <v>3054</v>
      </c>
      <c r="P65" t="s">
        <v>3105</v>
      </c>
      <c r="Q65">
        <v>0.38700000000000001</v>
      </c>
    </row>
    <row r="66" spans="1:17" x14ac:dyDescent="0.35">
      <c r="A66" t="s">
        <v>80</v>
      </c>
      <c r="B66" t="s">
        <v>1571</v>
      </c>
      <c r="C66">
        <v>48</v>
      </c>
      <c r="D66" t="s">
        <v>2990</v>
      </c>
      <c r="E66" t="s">
        <v>3004</v>
      </c>
      <c r="F66" t="s">
        <v>3021</v>
      </c>
      <c r="G66">
        <v>20</v>
      </c>
      <c r="H66">
        <v>1156433</v>
      </c>
      <c r="I66">
        <v>707069</v>
      </c>
      <c r="J66">
        <v>25.15</v>
      </c>
      <c r="K66">
        <v>36</v>
      </c>
      <c r="L66" t="s">
        <v>3048</v>
      </c>
      <c r="M66">
        <v>469</v>
      </c>
      <c r="N66">
        <v>3</v>
      </c>
      <c r="O66" t="s">
        <v>3052</v>
      </c>
      <c r="P66" t="s">
        <v>3116</v>
      </c>
      <c r="Q66">
        <v>0.61140000000000005</v>
      </c>
    </row>
    <row r="67" spans="1:17" x14ac:dyDescent="0.35">
      <c r="A67" t="s">
        <v>81</v>
      </c>
      <c r="B67" t="s">
        <v>1572</v>
      </c>
      <c r="C67">
        <v>45</v>
      </c>
      <c r="D67" t="s">
        <v>2992</v>
      </c>
      <c r="E67" t="s">
        <v>3002</v>
      </c>
      <c r="F67" t="s">
        <v>3020</v>
      </c>
      <c r="G67">
        <v>21</v>
      </c>
      <c r="H67">
        <v>2271635</v>
      </c>
      <c r="I67">
        <v>731413</v>
      </c>
      <c r="J67">
        <v>19.5</v>
      </c>
      <c r="K67">
        <v>36</v>
      </c>
      <c r="L67" t="s">
        <v>3047</v>
      </c>
      <c r="M67">
        <v>413</v>
      </c>
      <c r="N67">
        <v>0</v>
      </c>
      <c r="O67" t="s">
        <v>3057</v>
      </c>
      <c r="P67" t="s">
        <v>3126</v>
      </c>
      <c r="Q67">
        <v>0.32200000000000001</v>
      </c>
    </row>
    <row r="68" spans="1:17" x14ac:dyDescent="0.35">
      <c r="A68" t="s">
        <v>82</v>
      </c>
      <c r="B68" t="s">
        <v>1573</v>
      </c>
      <c r="C68">
        <v>22</v>
      </c>
      <c r="D68" t="s">
        <v>2992</v>
      </c>
      <c r="E68" t="s">
        <v>3006</v>
      </c>
      <c r="F68" t="s">
        <v>3021</v>
      </c>
      <c r="G68">
        <v>16</v>
      </c>
      <c r="H68">
        <v>2234780</v>
      </c>
      <c r="I68">
        <v>69976</v>
      </c>
      <c r="J68">
        <v>9.1999999999999993</v>
      </c>
      <c r="K68">
        <v>48</v>
      </c>
      <c r="L68" t="s">
        <v>3049</v>
      </c>
      <c r="M68">
        <v>831</v>
      </c>
      <c r="N68">
        <v>5</v>
      </c>
      <c r="O68" t="s">
        <v>3053</v>
      </c>
      <c r="P68" t="s">
        <v>3127</v>
      </c>
      <c r="Q68">
        <v>3.1300000000000001E-2</v>
      </c>
    </row>
    <row r="69" spans="1:17" x14ac:dyDescent="0.35">
      <c r="A69" t="s">
        <v>83</v>
      </c>
      <c r="B69" t="s">
        <v>1574</v>
      </c>
      <c r="C69">
        <v>45</v>
      </c>
      <c r="D69" t="s">
        <v>2990</v>
      </c>
      <c r="E69" t="s">
        <v>3006</v>
      </c>
      <c r="F69" t="s">
        <v>3019</v>
      </c>
      <c r="G69">
        <v>27</v>
      </c>
      <c r="H69">
        <v>1784642</v>
      </c>
      <c r="I69">
        <v>537039</v>
      </c>
      <c r="J69">
        <v>24.9</v>
      </c>
      <c r="K69">
        <v>36</v>
      </c>
      <c r="L69" t="s">
        <v>3049</v>
      </c>
      <c r="M69">
        <v>792</v>
      </c>
      <c r="N69">
        <v>5</v>
      </c>
      <c r="O69" t="s">
        <v>3052</v>
      </c>
      <c r="P69" t="s">
        <v>3128</v>
      </c>
      <c r="Q69">
        <v>0.3009</v>
      </c>
    </row>
    <row r="70" spans="1:17" x14ac:dyDescent="0.35">
      <c r="A70" t="s">
        <v>84</v>
      </c>
      <c r="B70" t="s">
        <v>1575</v>
      </c>
      <c r="C70">
        <v>39</v>
      </c>
      <c r="D70" t="s">
        <v>2992</v>
      </c>
      <c r="E70" t="s">
        <v>3000</v>
      </c>
      <c r="F70" t="s">
        <v>3019</v>
      </c>
      <c r="G70">
        <v>22</v>
      </c>
      <c r="H70">
        <v>2205739</v>
      </c>
      <c r="I70">
        <v>204514</v>
      </c>
      <c r="J70">
        <v>23.09</v>
      </c>
      <c r="K70">
        <v>12</v>
      </c>
      <c r="L70" t="s">
        <v>3046</v>
      </c>
      <c r="M70">
        <v>301</v>
      </c>
      <c r="N70">
        <v>4</v>
      </c>
      <c r="O70" t="s">
        <v>3056</v>
      </c>
      <c r="P70" t="s">
        <v>3129</v>
      </c>
      <c r="Q70">
        <v>9.2700000000000005E-2</v>
      </c>
    </row>
    <row r="71" spans="1:17" x14ac:dyDescent="0.35">
      <c r="A71" t="s">
        <v>85</v>
      </c>
      <c r="B71" t="s">
        <v>1576</v>
      </c>
      <c r="C71">
        <v>36</v>
      </c>
      <c r="D71" t="s">
        <v>2992</v>
      </c>
      <c r="E71" t="s">
        <v>2999</v>
      </c>
      <c r="F71" t="s">
        <v>3020</v>
      </c>
      <c r="G71">
        <v>14</v>
      </c>
      <c r="H71">
        <v>1248392</v>
      </c>
      <c r="I71">
        <v>457985</v>
      </c>
      <c r="J71">
        <v>27.16</v>
      </c>
      <c r="K71">
        <v>12</v>
      </c>
      <c r="L71" t="s">
        <v>3048</v>
      </c>
      <c r="M71">
        <v>623</v>
      </c>
      <c r="N71">
        <v>5</v>
      </c>
      <c r="O71" t="s">
        <v>3055</v>
      </c>
      <c r="P71" t="s">
        <v>3130</v>
      </c>
      <c r="Q71">
        <v>0.3669</v>
      </c>
    </row>
    <row r="72" spans="1:17" x14ac:dyDescent="0.35">
      <c r="A72" t="s">
        <v>86</v>
      </c>
      <c r="B72" t="s">
        <v>1577</v>
      </c>
      <c r="C72">
        <v>28</v>
      </c>
      <c r="D72" t="s">
        <v>2990</v>
      </c>
      <c r="E72" t="s">
        <v>3005</v>
      </c>
      <c r="F72" t="s">
        <v>3018</v>
      </c>
      <c r="G72">
        <v>16</v>
      </c>
      <c r="H72">
        <v>2104717</v>
      </c>
      <c r="I72">
        <v>393393</v>
      </c>
      <c r="J72">
        <v>25.32</v>
      </c>
      <c r="K72">
        <v>48</v>
      </c>
      <c r="L72" t="s">
        <v>3049</v>
      </c>
      <c r="M72">
        <v>621</v>
      </c>
      <c r="N72">
        <v>6</v>
      </c>
      <c r="O72" t="s">
        <v>3052</v>
      </c>
      <c r="P72" t="s">
        <v>3131</v>
      </c>
      <c r="Q72">
        <v>0.18690000000000001</v>
      </c>
    </row>
    <row r="73" spans="1:17" x14ac:dyDescent="0.35">
      <c r="A73" t="s">
        <v>87</v>
      </c>
      <c r="B73" t="s">
        <v>1578</v>
      </c>
      <c r="C73">
        <v>39</v>
      </c>
      <c r="D73" t="s">
        <v>2992</v>
      </c>
      <c r="E73" t="s">
        <v>2999</v>
      </c>
      <c r="F73" t="s">
        <v>3021</v>
      </c>
      <c r="G73">
        <v>27</v>
      </c>
      <c r="H73">
        <v>1214262</v>
      </c>
      <c r="I73">
        <v>79821</v>
      </c>
      <c r="J73">
        <v>10.46</v>
      </c>
      <c r="K73">
        <v>24</v>
      </c>
      <c r="L73" t="s">
        <v>3050</v>
      </c>
      <c r="N73">
        <v>7</v>
      </c>
      <c r="O73" t="s">
        <v>3056</v>
      </c>
      <c r="P73" t="s">
        <v>3132</v>
      </c>
      <c r="Q73">
        <v>6.5699999999999995E-2</v>
      </c>
    </row>
    <row r="74" spans="1:17" x14ac:dyDescent="0.35">
      <c r="A74" t="s">
        <v>88</v>
      </c>
      <c r="B74" t="s">
        <v>1579</v>
      </c>
      <c r="C74">
        <v>52</v>
      </c>
      <c r="D74" t="s">
        <v>2992</v>
      </c>
      <c r="E74" t="s">
        <v>3001</v>
      </c>
      <c r="F74" t="s">
        <v>3020</v>
      </c>
      <c r="G74">
        <v>13</v>
      </c>
      <c r="H74">
        <v>347647</v>
      </c>
      <c r="I74">
        <v>718148</v>
      </c>
      <c r="J74">
        <v>20.69</v>
      </c>
      <c r="K74">
        <v>60</v>
      </c>
      <c r="L74" t="s">
        <v>3050</v>
      </c>
      <c r="M74">
        <v>680</v>
      </c>
      <c r="N74">
        <v>0</v>
      </c>
      <c r="O74" t="s">
        <v>3054</v>
      </c>
      <c r="P74" t="s">
        <v>3133</v>
      </c>
      <c r="Q74">
        <v>2.0657000000000001</v>
      </c>
    </row>
    <row r="75" spans="1:17" x14ac:dyDescent="0.35">
      <c r="A75" t="s">
        <v>89</v>
      </c>
      <c r="B75" t="s">
        <v>1580</v>
      </c>
      <c r="C75">
        <v>42</v>
      </c>
      <c r="D75" t="s">
        <v>2990</v>
      </c>
      <c r="E75" t="s">
        <v>2998</v>
      </c>
      <c r="F75" t="s">
        <v>3019</v>
      </c>
      <c r="G75">
        <v>22</v>
      </c>
      <c r="H75">
        <v>2115135</v>
      </c>
      <c r="I75">
        <v>475061</v>
      </c>
      <c r="J75">
        <v>13.96</v>
      </c>
      <c r="K75">
        <v>36</v>
      </c>
      <c r="L75" t="s">
        <v>3047</v>
      </c>
      <c r="M75">
        <v>827</v>
      </c>
      <c r="N75">
        <v>2</v>
      </c>
      <c r="O75" t="s">
        <v>3056</v>
      </c>
      <c r="P75" t="s">
        <v>3134</v>
      </c>
      <c r="Q75">
        <v>0.22459999999999999</v>
      </c>
    </row>
    <row r="76" spans="1:17" x14ac:dyDescent="0.35">
      <c r="A76" t="s">
        <v>90</v>
      </c>
      <c r="B76" t="s">
        <v>1581</v>
      </c>
      <c r="C76">
        <v>45</v>
      </c>
      <c r="D76" t="s">
        <v>2990</v>
      </c>
      <c r="E76" t="s">
        <v>3000</v>
      </c>
      <c r="F76" t="s">
        <v>3021</v>
      </c>
      <c r="G76">
        <v>18</v>
      </c>
      <c r="H76">
        <v>1460617</v>
      </c>
      <c r="I76">
        <v>156213</v>
      </c>
      <c r="J76">
        <v>21.96</v>
      </c>
      <c r="K76">
        <v>24</v>
      </c>
      <c r="L76" t="s">
        <v>3049</v>
      </c>
      <c r="M76">
        <v>819</v>
      </c>
      <c r="N76">
        <v>6</v>
      </c>
      <c r="O76" t="s">
        <v>3057</v>
      </c>
      <c r="P76" t="s">
        <v>3135</v>
      </c>
      <c r="Q76">
        <v>0.107</v>
      </c>
    </row>
    <row r="77" spans="1:17" x14ac:dyDescent="0.35">
      <c r="A77" t="s">
        <v>91</v>
      </c>
      <c r="B77" t="s">
        <v>1582</v>
      </c>
      <c r="C77">
        <v>48</v>
      </c>
      <c r="D77" t="s">
        <v>2992</v>
      </c>
      <c r="E77" t="s">
        <v>3006</v>
      </c>
      <c r="F77" t="s">
        <v>3018</v>
      </c>
      <c r="G77">
        <v>29</v>
      </c>
      <c r="H77">
        <v>1087669</v>
      </c>
      <c r="I77">
        <v>89087</v>
      </c>
      <c r="J77">
        <v>19.13</v>
      </c>
      <c r="K77">
        <v>12</v>
      </c>
      <c r="L77" t="s">
        <v>3046</v>
      </c>
      <c r="M77">
        <v>642</v>
      </c>
      <c r="N77">
        <v>4</v>
      </c>
      <c r="O77" t="s">
        <v>3054</v>
      </c>
      <c r="P77" t="s">
        <v>3136</v>
      </c>
      <c r="Q77">
        <v>8.1900000000000001E-2</v>
      </c>
    </row>
    <row r="78" spans="1:17" x14ac:dyDescent="0.35">
      <c r="A78" t="s">
        <v>92</v>
      </c>
      <c r="B78" t="s">
        <v>1583</v>
      </c>
      <c r="C78">
        <v>47</v>
      </c>
      <c r="D78" t="s">
        <v>2992</v>
      </c>
      <c r="E78" t="s">
        <v>3004</v>
      </c>
      <c r="F78" t="s">
        <v>3018</v>
      </c>
      <c r="G78">
        <v>14</v>
      </c>
      <c r="H78">
        <v>1793325</v>
      </c>
      <c r="I78">
        <v>414754</v>
      </c>
      <c r="J78">
        <v>27.91</v>
      </c>
      <c r="K78">
        <v>24</v>
      </c>
      <c r="L78" t="s">
        <v>3051</v>
      </c>
      <c r="M78">
        <v>514</v>
      </c>
      <c r="N78">
        <v>6</v>
      </c>
      <c r="O78" t="s">
        <v>3057</v>
      </c>
      <c r="P78" t="s">
        <v>3137</v>
      </c>
      <c r="Q78">
        <v>0.23130000000000001</v>
      </c>
    </row>
    <row r="79" spans="1:17" x14ac:dyDescent="0.35">
      <c r="A79" t="s">
        <v>93</v>
      </c>
      <c r="B79" t="s">
        <v>1584</v>
      </c>
      <c r="C79">
        <v>38</v>
      </c>
      <c r="D79" t="s">
        <v>2992</v>
      </c>
      <c r="E79" t="s">
        <v>3003</v>
      </c>
      <c r="F79" t="s">
        <v>3018</v>
      </c>
      <c r="G79">
        <v>19</v>
      </c>
      <c r="H79">
        <v>1513140</v>
      </c>
      <c r="I79">
        <v>517952</v>
      </c>
      <c r="J79">
        <v>9.23</v>
      </c>
      <c r="K79">
        <v>24</v>
      </c>
      <c r="L79" t="s">
        <v>3047</v>
      </c>
      <c r="M79">
        <v>552</v>
      </c>
      <c r="N79">
        <v>5</v>
      </c>
      <c r="O79" t="s">
        <v>3056</v>
      </c>
      <c r="P79" t="s">
        <v>3138</v>
      </c>
      <c r="Q79">
        <v>0.34229999999999999</v>
      </c>
    </row>
    <row r="80" spans="1:17" x14ac:dyDescent="0.35">
      <c r="A80" t="s">
        <v>94</v>
      </c>
      <c r="B80" t="s">
        <v>1585</v>
      </c>
      <c r="C80">
        <v>46</v>
      </c>
      <c r="D80" t="s">
        <v>2990</v>
      </c>
      <c r="E80" t="s">
        <v>3002</v>
      </c>
      <c r="F80" t="s">
        <v>3018</v>
      </c>
      <c r="G80">
        <v>23</v>
      </c>
      <c r="H80">
        <v>1191316</v>
      </c>
      <c r="I80">
        <v>240283</v>
      </c>
      <c r="J80">
        <v>27.65</v>
      </c>
      <c r="K80">
        <v>12</v>
      </c>
      <c r="L80" t="s">
        <v>3048</v>
      </c>
      <c r="M80">
        <v>345</v>
      </c>
      <c r="N80">
        <v>1</v>
      </c>
      <c r="O80" t="s">
        <v>3055</v>
      </c>
      <c r="P80" t="s">
        <v>3139</v>
      </c>
      <c r="Q80">
        <v>0.20169999999999999</v>
      </c>
    </row>
    <row r="81" spans="1:17" x14ac:dyDescent="0.35">
      <c r="A81" t="s">
        <v>95</v>
      </c>
      <c r="B81" t="s">
        <v>1586</v>
      </c>
      <c r="C81">
        <v>51</v>
      </c>
      <c r="D81" t="s">
        <v>2990</v>
      </c>
      <c r="E81" t="s">
        <v>2999</v>
      </c>
      <c r="F81" t="s">
        <v>3021</v>
      </c>
      <c r="G81">
        <v>23</v>
      </c>
      <c r="H81">
        <v>1686145</v>
      </c>
      <c r="I81">
        <v>55903</v>
      </c>
      <c r="J81">
        <v>16.93</v>
      </c>
      <c r="K81">
        <v>60</v>
      </c>
      <c r="L81" t="s">
        <v>3048</v>
      </c>
      <c r="M81">
        <v>396</v>
      </c>
      <c r="N81">
        <v>7</v>
      </c>
      <c r="O81" t="s">
        <v>3052</v>
      </c>
      <c r="P81" t="s">
        <v>3140</v>
      </c>
      <c r="Q81">
        <v>3.32E-2</v>
      </c>
    </row>
    <row r="82" spans="1:17" x14ac:dyDescent="0.35">
      <c r="A82" t="s">
        <v>96</v>
      </c>
      <c r="B82" t="s">
        <v>1587</v>
      </c>
      <c r="C82">
        <v>29</v>
      </c>
      <c r="D82" t="s">
        <v>2992</v>
      </c>
      <c r="E82" t="s">
        <v>3006</v>
      </c>
      <c r="F82" t="s">
        <v>3021</v>
      </c>
      <c r="G82">
        <v>28</v>
      </c>
      <c r="H82">
        <v>284555</v>
      </c>
      <c r="I82">
        <v>253540</v>
      </c>
      <c r="J82">
        <v>21.69</v>
      </c>
      <c r="K82">
        <v>60</v>
      </c>
      <c r="L82" t="s">
        <v>3048</v>
      </c>
      <c r="M82">
        <v>701</v>
      </c>
      <c r="N82">
        <v>2</v>
      </c>
      <c r="O82" t="s">
        <v>3057</v>
      </c>
      <c r="P82" t="s">
        <v>3141</v>
      </c>
      <c r="Q82">
        <v>0.89100000000000001</v>
      </c>
    </row>
    <row r="83" spans="1:17" x14ac:dyDescent="0.35">
      <c r="A83" t="s">
        <v>97</v>
      </c>
      <c r="B83" t="s">
        <v>1588</v>
      </c>
      <c r="C83">
        <v>49</v>
      </c>
      <c r="D83" t="s">
        <v>2992</v>
      </c>
      <c r="E83" t="s">
        <v>3001</v>
      </c>
      <c r="F83" t="s">
        <v>3020</v>
      </c>
      <c r="G83">
        <v>1</v>
      </c>
      <c r="H83">
        <v>711972</v>
      </c>
      <c r="I83">
        <v>205639</v>
      </c>
      <c r="J83">
        <v>19.95</v>
      </c>
      <c r="K83">
        <v>60</v>
      </c>
      <c r="L83" t="s">
        <v>3049</v>
      </c>
      <c r="M83">
        <v>-50</v>
      </c>
      <c r="N83">
        <v>5</v>
      </c>
      <c r="O83" t="s">
        <v>3056</v>
      </c>
      <c r="P83" t="s">
        <v>3142</v>
      </c>
      <c r="Q83">
        <v>0.2888</v>
      </c>
    </row>
    <row r="84" spans="1:17" x14ac:dyDescent="0.35">
      <c r="A84" t="s">
        <v>98</v>
      </c>
      <c r="B84" t="s">
        <v>1589</v>
      </c>
      <c r="C84">
        <v>39</v>
      </c>
      <c r="D84" t="s">
        <v>2990</v>
      </c>
      <c r="E84" t="s">
        <v>3003</v>
      </c>
      <c r="F84" t="s">
        <v>3021</v>
      </c>
      <c r="G84">
        <v>13</v>
      </c>
      <c r="H84">
        <v>2340682</v>
      </c>
      <c r="I84">
        <v>79778</v>
      </c>
      <c r="J84">
        <v>24.57</v>
      </c>
      <c r="K84">
        <v>12</v>
      </c>
      <c r="L84" t="s">
        <v>3047</v>
      </c>
      <c r="M84">
        <v>681</v>
      </c>
      <c r="N84">
        <v>2</v>
      </c>
      <c r="O84" t="s">
        <v>3057</v>
      </c>
      <c r="P84" t="s">
        <v>3143</v>
      </c>
      <c r="Q84">
        <v>3.4099999999999998E-2</v>
      </c>
    </row>
    <row r="85" spans="1:17" x14ac:dyDescent="0.35">
      <c r="A85" t="s">
        <v>99</v>
      </c>
      <c r="B85" t="s">
        <v>1590</v>
      </c>
      <c r="C85">
        <v>52</v>
      </c>
      <c r="D85" t="s">
        <v>2992</v>
      </c>
      <c r="E85" t="s">
        <v>3000</v>
      </c>
      <c r="F85" t="s">
        <v>3018</v>
      </c>
      <c r="G85">
        <v>15</v>
      </c>
      <c r="H85">
        <v>1208494</v>
      </c>
      <c r="I85">
        <v>634553</v>
      </c>
      <c r="J85">
        <v>27.42</v>
      </c>
      <c r="K85">
        <v>36</v>
      </c>
      <c r="L85" t="s">
        <v>3051</v>
      </c>
      <c r="M85">
        <v>602</v>
      </c>
      <c r="N85">
        <v>3</v>
      </c>
      <c r="O85" t="s">
        <v>3057</v>
      </c>
      <c r="P85" t="s">
        <v>3144</v>
      </c>
      <c r="Q85">
        <v>0.52510000000000001</v>
      </c>
    </row>
    <row r="86" spans="1:17" x14ac:dyDescent="0.35">
      <c r="A86" t="s">
        <v>100</v>
      </c>
      <c r="B86" t="s">
        <v>1591</v>
      </c>
      <c r="C86">
        <v>24</v>
      </c>
      <c r="D86" t="s">
        <v>2992</v>
      </c>
      <c r="E86" t="s">
        <v>3008</v>
      </c>
      <c r="F86" t="s">
        <v>3018</v>
      </c>
      <c r="G86">
        <v>8</v>
      </c>
      <c r="H86">
        <v>1046183</v>
      </c>
      <c r="I86">
        <v>726291</v>
      </c>
      <c r="J86">
        <v>24.78</v>
      </c>
      <c r="K86">
        <v>48</v>
      </c>
      <c r="L86" t="s">
        <v>3046</v>
      </c>
      <c r="M86">
        <v>457</v>
      </c>
      <c r="N86">
        <v>6</v>
      </c>
      <c r="O86" t="s">
        <v>3056</v>
      </c>
      <c r="P86" t="s">
        <v>3145</v>
      </c>
      <c r="Q86">
        <v>0.69420000000000004</v>
      </c>
    </row>
    <row r="87" spans="1:17" x14ac:dyDescent="0.35">
      <c r="A87" t="s">
        <v>101</v>
      </c>
      <c r="B87" t="s">
        <v>1592</v>
      </c>
      <c r="C87">
        <v>32</v>
      </c>
      <c r="D87" t="s">
        <v>2992</v>
      </c>
      <c r="E87" t="s">
        <v>3000</v>
      </c>
      <c r="F87" t="s">
        <v>3020</v>
      </c>
      <c r="G87">
        <v>1</v>
      </c>
      <c r="I87">
        <v>400714</v>
      </c>
      <c r="J87">
        <v>16.48</v>
      </c>
      <c r="K87">
        <v>48</v>
      </c>
      <c r="L87" t="s">
        <v>3048</v>
      </c>
      <c r="M87">
        <v>772</v>
      </c>
      <c r="N87">
        <v>0</v>
      </c>
      <c r="O87" t="s">
        <v>3057</v>
      </c>
      <c r="P87" t="s">
        <v>3146</v>
      </c>
      <c r="Q87">
        <v>0.24690000000000001</v>
      </c>
    </row>
    <row r="88" spans="1:17" x14ac:dyDescent="0.35">
      <c r="A88" t="s">
        <v>102</v>
      </c>
      <c r="B88" t="s">
        <v>1593</v>
      </c>
      <c r="C88">
        <v>54</v>
      </c>
      <c r="D88" t="s">
        <v>2990</v>
      </c>
      <c r="E88" t="s">
        <v>3007</v>
      </c>
      <c r="F88" t="s">
        <v>3020</v>
      </c>
      <c r="G88">
        <v>12</v>
      </c>
      <c r="H88">
        <v>1117635</v>
      </c>
      <c r="I88">
        <v>121407</v>
      </c>
      <c r="J88">
        <v>22.74</v>
      </c>
      <c r="K88">
        <v>24</v>
      </c>
      <c r="L88" t="s">
        <v>3046</v>
      </c>
      <c r="M88">
        <v>1200</v>
      </c>
      <c r="N88">
        <v>5</v>
      </c>
      <c r="O88" t="s">
        <v>3056</v>
      </c>
      <c r="P88" t="s">
        <v>3147</v>
      </c>
      <c r="Q88">
        <v>0.1086</v>
      </c>
    </row>
    <row r="89" spans="1:17" x14ac:dyDescent="0.35">
      <c r="A89" t="s">
        <v>103</v>
      </c>
      <c r="B89" t="s">
        <v>1594</v>
      </c>
      <c r="C89">
        <v>49</v>
      </c>
      <c r="D89" t="s">
        <v>2992</v>
      </c>
      <c r="E89" t="s">
        <v>3003</v>
      </c>
      <c r="F89" t="s">
        <v>3018</v>
      </c>
      <c r="G89">
        <v>15</v>
      </c>
      <c r="H89">
        <v>1700943</v>
      </c>
      <c r="I89">
        <v>609421</v>
      </c>
      <c r="J89">
        <v>14.91</v>
      </c>
      <c r="K89">
        <v>36</v>
      </c>
      <c r="L89" t="s">
        <v>3051</v>
      </c>
      <c r="M89">
        <v>771</v>
      </c>
      <c r="N89">
        <v>2</v>
      </c>
      <c r="O89" t="s">
        <v>3054</v>
      </c>
      <c r="P89" t="s">
        <v>3148</v>
      </c>
      <c r="Q89">
        <v>0.35830000000000001</v>
      </c>
    </row>
    <row r="90" spans="1:17" x14ac:dyDescent="0.35">
      <c r="A90" t="s">
        <v>104</v>
      </c>
      <c r="B90" t="s">
        <v>1595</v>
      </c>
      <c r="C90">
        <v>42</v>
      </c>
      <c r="D90" t="s">
        <v>2990</v>
      </c>
      <c r="E90" t="s">
        <v>3009</v>
      </c>
      <c r="F90" t="s">
        <v>3020</v>
      </c>
      <c r="G90">
        <v>23</v>
      </c>
      <c r="H90">
        <v>259973</v>
      </c>
      <c r="I90">
        <v>410642</v>
      </c>
      <c r="J90">
        <v>16.52</v>
      </c>
      <c r="K90">
        <v>24</v>
      </c>
      <c r="L90" t="s">
        <v>3049</v>
      </c>
      <c r="M90">
        <v>440</v>
      </c>
      <c r="N90">
        <v>2</v>
      </c>
      <c r="O90" t="s">
        <v>3056</v>
      </c>
      <c r="P90" t="s">
        <v>3071</v>
      </c>
      <c r="Q90">
        <v>1.5795999999999999</v>
      </c>
    </row>
    <row r="91" spans="1:17" x14ac:dyDescent="0.35">
      <c r="A91" t="s">
        <v>105</v>
      </c>
      <c r="B91" t="s">
        <v>1596</v>
      </c>
      <c r="C91">
        <v>54</v>
      </c>
      <c r="D91" t="s">
        <v>2992</v>
      </c>
      <c r="E91" t="s">
        <v>3006</v>
      </c>
      <c r="F91" t="s">
        <v>3020</v>
      </c>
      <c r="G91">
        <v>2</v>
      </c>
      <c r="H91">
        <v>1201318</v>
      </c>
      <c r="I91">
        <v>542154</v>
      </c>
      <c r="J91">
        <v>11.54</v>
      </c>
      <c r="K91">
        <v>60</v>
      </c>
      <c r="L91" t="s">
        <v>3047</v>
      </c>
      <c r="M91">
        <v>749</v>
      </c>
      <c r="N91">
        <v>2</v>
      </c>
      <c r="O91" t="s">
        <v>3057</v>
      </c>
      <c r="P91" t="s">
        <v>3149</v>
      </c>
      <c r="Q91">
        <v>0.45129999999999998</v>
      </c>
    </row>
    <row r="92" spans="1:17" x14ac:dyDescent="0.35">
      <c r="A92" t="s">
        <v>106</v>
      </c>
      <c r="B92" t="s">
        <v>1597</v>
      </c>
      <c r="C92">
        <v>52</v>
      </c>
      <c r="D92" t="s">
        <v>2990</v>
      </c>
      <c r="E92" t="s">
        <v>3006</v>
      </c>
      <c r="F92" t="s">
        <v>3018</v>
      </c>
      <c r="G92">
        <v>14</v>
      </c>
      <c r="I92">
        <v>419371</v>
      </c>
      <c r="J92">
        <v>13.19</v>
      </c>
      <c r="K92">
        <v>48</v>
      </c>
      <c r="M92">
        <v>457</v>
      </c>
      <c r="N92">
        <v>2</v>
      </c>
      <c r="O92" t="s">
        <v>3055</v>
      </c>
      <c r="P92" t="s">
        <v>3146</v>
      </c>
      <c r="Q92">
        <v>0.20469999999999999</v>
      </c>
    </row>
    <row r="93" spans="1:17" x14ac:dyDescent="0.35">
      <c r="A93" t="s">
        <v>107</v>
      </c>
      <c r="B93" t="s">
        <v>1598</v>
      </c>
      <c r="C93">
        <v>43</v>
      </c>
      <c r="D93" t="s">
        <v>2992</v>
      </c>
      <c r="E93" t="s">
        <v>3001</v>
      </c>
      <c r="F93" t="s">
        <v>3018</v>
      </c>
      <c r="G93">
        <v>6</v>
      </c>
      <c r="H93">
        <v>1852795</v>
      </c>
      <c r="I93">
        <v>25750</v>
      </c>
      <c r="J93">
        <v>18.5</v>
      </c>
      <c r="K93">
        <v>36</v>
      </c>
      <c r="L93" t="s">
        <v>3050</v>
      </c>
      <c r="M93">
        <v>726</v>
      </c>
      <c r="N93">
        <v>7</v>
      </c>
      <c r="O93" t="s">
        <v>3055</v>
      </c>
      <c r="P93" t="s">
        <v>3150</v>
      </c>
      <c r="Q93">
        <v>1.3899999999999999E-2</v>
      </c>
    </row>
    <row r="94" spans="1:17" x14ac:dyDescent="0.35">
      <c r="A94" t="s">
        <v>108</v>
      </c>
      <c r="B94" t="s">
        <v>1599</v>
      </c>
      <c r="C94">
        <v>62</v>
      </c>
      <c r="D94" t="s">
        <v>2992</v>
      </c>
      <c r="E94" t="s">
        <v>3006</v>
      </c>
      <c r="F94" t="s">
        <v>3020</v>
      </c>
      <c r="G94">
        <v>11</v>
      </c>
      <c r="H94">
        <v>1139192</v>
      </c>
      <c r="I94">
        <v>161365</v>
      </c>
      <c r="J94">
        <v>21.82</v>
      </c>
      <c r="K94">
        <v>12</v>
      </c>
      <c r="L94" t="s">
        <v>3047</v>
      </c>
      <c r="M94">
        <v>631</v>
      </c>
      <c r="N94">
        <v>0</v>
      </c>
      <c r="O94" t="s">
        <v>3055</v>
      </c>
      <c r="P94" t="s">
        <v>3151</v>
      </c>
      <c r="Q94">
        <v>0.1416</v>
      </c>
    </row>
    <row r="95" spans="1:17" x14ac:dyDescent="0.35">
      <c r="A95" t="s">
        <v>109</v>
      </c>
      <c r="B95" t="s">
        <v>1600</v>
      </c>
      <c r="C95">
        <v>48</v>
      </c>
      <c r="D95" t="s">
        <v>2990</v>
      </c>
      <c r="E95" t="s">
        <v>3007</v>
      </c>
      <c r="F95" t="s">
        <v>3020</v>
      </c>
      <c r="G95">
        <v>19</v>
      </c>
      <c r="H95">
        <v>1421597</v>
      </c>
      <c r="I95">
        <v>772922</v>
      </c>
      <c r="J95">
        <v>26.69</v>
      </c>
      <c r="K95">
        <v>36</v>
      </c>
      <c r="L95" t="s">
        <v>3047</v>
      </c>
      <c r="M95">
        <v>437</v>
      </c>
      <c r="N95">
        <v>5</v>
      </c>
      <c r="O95" t="s">
        <v>3054</v>
      </c>
      <c r="P95" t="s">
        <v>3152</v>
      </c>
      <c r="Q95">
        <v>0.54369999999999996</v>
      </c>
    </row>
    <row r="96" spans="1:17" x14ac:dyDescent="0.35">
      <c r="A96" t="s">
        <v>110</v>
      </c>
      <c r="B96" t="s">
        <v>1601</v>
      </c>
      <c r="C96">
        <v>46</v>
      </c>
      <c r="D96" t="s">
        <v>2992</v>
      </c>
      <c r="E96" t="s">
        <v>3003</v>
      </c>
      <c r="F96" t="s">
        <v>3020</v>
      </c>
      <c r="G96">
        <v>23</v>
      </c>
      <c r="H96">
        <v>2255915</v>
      </c>
      <c r="I96">
        <v>719746</v>
      </c>
      <c r="J96">
        <v>15.84</v>
      </c>
      <c r="K96">
        <v>60</v>
      </c>
      <c r="L96" t="s">
        <v>3046</v>
      </c>
      <c r="M96">
        <v>566</v>
      </c>
      <c r="N96">
        <v>1</v>
      </c>
      <c r="O96" t="s">
        <v>3057</v>
      </c>
      <c r="P96" t="s">
        <v>3153</v>
      </c>
      <c r="Q96">
        <v>0.31900000000000001</v>
      </c>
    </row>
    <row r="97" spans="1:17" x14ac:dyDescent="0.35">
      <c r="A97" t="s">
        <v>111</v>
      </c>
      <c r="B97" t="s">
        <v>1602</v>
      </c>
      <c r="C97">
        <v>57</v>
      </c>
      <c r="D97" t="s">
        <v>2990</v>
      </c>
      <c r="E97" t="s">
        <v>3004</v>
      </c>
      <c r="F97" t="s">
        <v>3020</v>
      </c>
      <c r="G97">
        <v>11</v>
      </c>
      <c r="H97">
        <v>666799</v>
      </c>
      <c r="I97">
        <v>37413</v>
      </c>
      <c r="J97">
        <v>11.93</v>
      </c>
      <c r="K97">
        <v>60</v>
      </c>
      <c r="L97" t="s">
        <v>3046</v>
      </c>
      <c r="M97">
        <v>577</v>
      </c>
      <c r="N97">
        <v>1</v>
      </c>
      <c r="O97" t="s">
        <v>3056</v>
      </c>
      <c r="P97" t="s">
        <v>3154</v>
      </c>
      <c r="Q97">
        <v>5.6099999999999997E-2</v>
      </c>
    </row>
    <row r="98" spans="1:17" x14ac:dyDescent="0.35">
      <c r="A98" t="s">
        <v>112</v>
      </c>
      <c r="B98" t="s">
        <v>1603</v>
      </c>
      <c r="C98">
        <v>56</v>
      </c>
      <c r="D98" t="s">
        <v>2990</v>
      </c>
      <c r="E98" t="s">
        <v>2999</v>
      </c>
      <c r="F98" t="s">
        <v>3018</v>
      </c>
      <c r="G98">
        <v>0</v>
      </c>
      <c r="H98">
        <v>583322</v>
      </c>
      <c r="I98">
        <v>760389</v>
      </c>
      <c r="J98">
        <v>16.53</v>
      </c>
      <c r="K98">
        <v>60</v>
      </c>
      <c r="L98" t="s">
        <v>3051</v>
      </c>
      <c r="M98">
        <v>692</v>
      </c>
      <c r="N98">
        <v>0</v>
      </c>
      <c r="O98" t="s">
        <v>3052</v>
      </c>
      <c r="P98" t="s">
        <v>3155</v>
      </c>
      <c r="Q98">
        <v>1.3035000000000001</v>
      </c>
    </row>
    <row r="99" spans="1:17" x14ac:dyDescent="0.35">
      <c r="A99" t="s">
        <v>113</v>
      </c>
      <c r="B99" t="s">
        <v>1604</v>
      </c>
      <c r="C99">
        <v>50</v>
      </c>
      <c r="D99" t="s">
        <v>2990</v>
      </c>
      <c r="E99" t="s">
        <v>3003</v>
      </c>
      <c r="F99" t="s">
        <v>3019</v>
      </c>
      <c r="G99">
        <v>29</v>
      </c>
      <c r="H99">
        <v>574274</v>
      </c>
      <c r="I99">
        <v>785419</v>
      </c>
      <c r="J99">
        <v>14.17</v>
      </c>
      <c r="K99">
        <v>12</v>
      </c>
      <c r="L99" t="s">
        <v>3046</v>
      </c>
      <c r="M99">
        <v>799</v>
      </c>
      <c r="N99">
        <v>7</v>
      </c>
      <c r="O99" t="s">
        <v>3057</v>
      </c>
      <c r="P99" t="s">
        <v>3156</v>
      </c>
      <c r="Q99">
        <v>1.3676999999999999</v>
      </c>
    </row>
    <row r="100" spans="1:17" x14ac:dyDescent="0.35">
      <c r="A100" t="s">
        <v>114</v>
      </c>
      <c r="B100" t="s">
        <v>1605</v>
      </c>
      <c r="C100">
        <v>60</v>
      </c>
      <c r="D100" t="s">
        <v>2992</v>
      </c>
      <c r="E100" t="s">
        <v>2998</v>
      </c>
      <c r="F100" t="s">
        <v>3019</v>
      </c>
      <c r="G100">
        <v>0</v>
      </c>
      <c r="H100">
        <v>1360788</v>
      </c>
      <c r="I100">
        <v>65619</v>
      </c>
      <c r="J100">
        <v>14.83</v>
      </c>
      <c r="K100">
        <v>12</v>
      </c>
      <c r="L100" t="s">
        <v>3048</v>
      </c>
      <c r="M100">
        <v>737</v>
      </c>
      <c r="N100">
        <v>4</v>
      </c>
      <c r="O100" t="s">
        <v>3053</v>
      </c>
      <c r="P100" t="s">
        <v>3157</v>
      </c>
      <c r="Q100">
        <v>4.82E-2</v>
      </c>
    </row>
    <row r="101" spans="1:17" x14ac:dyDescent="0.35">
      <c r="A101" t="s">
        <v>115</v>
      </c>
      <c r="B101" t="s">
        <v>1606</v>
      </c>
      <c r="C101">
        <v>55</v>
      </c>
      <c r="D101" t="s">
        <v>2992</v>
      </c>
      <c r="E101" t="s">
        <v>3002</v>
      </c>
      <c r="F101" t="s">
        <v>3021</v>
      </c>
      <c r="G101">
        <v>15</v>
      </c>
      <c r="H101">
        <v>271006</v>
      </c>
      <c r="I101">
        <v>389360</v>
      </c>
      <c r="J101">
        <v>19.29</v>
      </c>
      <c r="K101">
        <v>24</v>
      </c>
      <c r="L101" t="s">
        <v>3050</v>
      </c>
      <c r="M101">
        <v>312</v>
      </c>
      <c r="N101">
        <v>2</v>
      </c>
      <c r="O101" t="s">
        <v>3052</v>
      </c>
      <c r="P101" t="s">
        <v>3158</v>
      </c>
      <c r="Q101">
        <v>1.4367000000000001</v>
      </c>
    </row>
    <row r="102" spans="1:17" x14ac:dyDescent="0.35">
      <c r="A102" t="s">
        <v>116</v>
      </c>
      <c r="B102" t="s">
        <v>1607</v>
      </c>
      <c r="C102">
        <v>33</v>
      </c>
      <c r="D102" t="s">
        <v>2992</v>
      </c>
      <c r="E102" t="s">
        <v>2999</v>
      </c>
      <c r="F102" t="s">
        <v>3018</v>
      </c>
      <c r="G102">
        <v>4</v>
      </c>
      <c r="H102">
        <v>882436</v>
      </c>
      <c r="I102">
        <v>796388</v>
      </c>
      <c r="J102">
        <v>25.67</v>
      </c>
      <c r="K102">
        <v>60</v>
      </c>
      <c r="L102" t="s">
        <v>3050</v>
      </c>
      <c r="M102">
        <v>403</v>
      </c>
      <c r="N102">
        <v>3</v>
      </c>
      <c r="O102" t="s">
        <v>3055</v>
      </c>
      <c r="P102" t="s">
        <v>3159</v>
      </c>
      <c r="Q102">
        <v>0.90249999999999997</v>
      </c>
    </row>
    <row r="103" spans="1:17" x14ac:dyDescent="0.35">
      <c r="A103" t="s">
        <v>117</v>
      </c>
      <c r="B103" t="s">
        <v>1608</v>
      </c>
      <c r="C103">
        <v>24</v>
      </c>
      <c r="D103" t="s">
        <v>2992</v>
      </c>
      <c r="E103" t="s">
        <v>3003</v>
      </c>
      <c r="F103" t="s">
        <v>3020</v>
      </c>
      <c r="G103">
        <v>23</v>
      </c>
      <c r="H103">
        <v>1218336</v>
      </c>
      <c r="I103">
        <v>684846</v>
      </c>
      <c r="J103">
        <v>19.16</v>
      </c>
      <c r="K103">
        <v>24</v>
      </c>
      <c r="L103" t="s">
        <v>3046</v>
      </c>
      <c r="M103">
        <v>380</v>
      </c>
      <c r="N103">
        <v>3</v>
      </c>
      <c r="O103" t="s">
        <v>3055</v>
      </c>
      <c r="P103" t="s">
        <v>3160</v>
      </c>
      <c r="Q103">
        <v>0.56210000000000004</v>
      </c>
    </row>
    <row r="104" spans="1:17" x14ac:dyDescent="0.35">
      <c r="A104" t="s">
        <v>118</v>
      </c>
      <c r="B104" t="s">
        <v>1609</v>
      </c>
      <c r="C104">
        <v>31</v>
      </c>
      <c r="D104" t="s">
        <v>2990</v>
      </c>
      <c r="E104" t="s">
        <v>3007</v>
      </c>
      <c r="F104" t="s">
        <v>3018</v>
      </c>
      <c r="G104">
        <v>28</v>
      </c>
      <c r="H104">
        <v>741165</v>
      </c>
      <c r="I104">
        <v>335014</v>
      </c>
      <c r="J104">
        <v>9.01</v>
      </c>
      <c r="K104">
        <v>12</v>
      </c>
      <c r="L104" t="s">
        <v>3050</v>
      </c>
      <c r="M104">
        <v>407</v>
      </c>
      <c r="N104">
        <v>3</v>
      </c>
      <c r="O104" t="s">
        <v>3052</v>
      </c>
      <c r="P104" t="s">
        <v>3161</v>
      </c>
      <c r="Q104">
        <v>0.45200000000000001</v>
      </c>
    </row>
    <row r="105" spans="1:17" x14ac:dyDescent="0.35">
      <c r="A105" t="s">
        <v>119</v>
      </c>
      <c r="B105" t="s">
        <v>1610</v>
      </c>
      <c r="C105">
        <v>53</v>
      </c>
      <c r="D105" t="s">
        <v>2992</v>
      </c>
      <c r="E105" t="s">
        <v>3007</v>
      </c>
      <c r="F105" t="s">
        <v>3020</v>
      </c>
      <c r="G105">
        <v>14</v>
      </c>
      <c r="H105">
        <v>1274979</v>
      </c>
      <c r="I105">
        <v>488758</v>
      </c>
      <c r="J105">
        <v>12.82</v>
      </c>
      <c r="K105">
        <v>60</v>
      </c>
      <c r="L105" t="s">
        <v>3048</v>
      </c>
      <c r="M105">
        <v>379</v>
      </c>
      <c r="N105">
        <v>7</v>
      </c>
      <c r="O105" t="s">
        <v>3057</v>
      </c>
      <c r="P105" t="s">
        <v>3162</v>
      </c>
      <c r="Q105">
        <v>0.38329999999999997</v>
      </c>
    </row>
    <row r="106" spans="1:17" x14ac:dyDescent="0.35">
      <c r="A106" t="s">
        <v>120</v>
      </c>
      <c r="B106" t="s">
        <v>1611</v>
      </c>
      <c r="C106">
        <v>45</v>
      </c>
      <c r="D106" t="s">
        <v>2990</v>
      </c>
      <c r="E106" t="s">
        <v>3002</v>
      </c>
      <c r="F106" t="s">
        <v>3021</v>
      </c>
      <c r="G106">
        <v>21</v>
      </c>
      <c r="H106">
        <v>1802572</v>
      </c>
      <c r="I106">
        <v>492779</v>
      </c>
      <c r="J106">
        <v>12.76</v>
      </c>
      <c r="K106">
        <v>60</v>
      </c>
      <c r="L106" t="s">
        <v>3047</v>
      </c>
      <c r="M106">
        <v>607</v>
      </c>
      <c r="N106">
        <v>6</v>
      </c>
      <c r="O106" t="s">
        <v>3057</v>
      </c>
      <c r="P106" t="s">
        <v>3163</v>
      </c>
      <c r="Q106">
        <v>0.27339999999999998</v>
      </c>
    </row>
    <row r="107" spans="1:17" x14ac:dyDescent="0.35">
      <c r="A107" t="s">
        <v>121</v>
      </c>
      <c r="B107" t="s">
        <v>1612</v>
      </c>
      <c r="C107">
        <v>21</v>
      </c>
      <c r="D107" t="s">
        <v>2990</v>
      </c>
      <c r="E107" t="s">
        <v>3005</v>
      </c>
      <c r="F107" t="s">
        <v>3020</v>
      </c>
      <c r="G107">
        <v>13</v>
      </c>
      <c r="H107">
        <v>1417715</v>
      </c>
      <c r="I107">
        <v>493146</v>
      </c>
      <c r="J107">
        <v>26.84</v>
      </c>
      <c r="K107">
        <v>60</v>
      </c>
      <c r="L107" t="s">
        <v>3047</v>
      </c>
      <c r="M107">
        <v>368</v>
      </c>
      <c r="N107">
        <v>4</v>
      </c>
      <c r="O107" t="s">
        <v>3057</v>
      </c>
      <c r="P107" t="s">
        <v>3164</v>
      </c>
      <c r="Q107">
        <v>0.3478</v>
      </c>
    </row>
    <row r="108" spans="1:17" x14ac:dyDescent="0.35">
      <c r="A108" t="s">
        <v>122</v>
      </c>
      <c r="B108" t="s">
        <v>1613</v>
      </c>
      <c r="C108">
        <v>58</v>
      </c>
      <c r="E108" t="s">
        <v>2998</v>
      </c>
      <c r="F108" t="s">
        <v>3021</v>
      </c>
      <c r="G108">
        <v>2</v>
      </c>
      <c r="H108">
        <v>1747053</v>
      </c>
      <c r="I108">
        <v>485226</v>
      </c>
      <c r="J108">
        <v>15.58</v>
      </c>
      <c r="K108">
        <v>24</v>
      </c>
      <c r="L108" t="s">
        <v>3047</v>
      </c>
      <c r="M108">
        <v>738</v>
      </c>
      <c r="N108">
        <v>2</v>
      </c>
      <c r="O108" t="s">
        <v>3055</v>
      </c>
      <c r="P108" t="s">
        <v>3165</v>
      </c>
      <c r="Q108">
        <v>0.2777</v>
      </c>
    </row>
    <row r="109" spans="1:17" x14ac:dyDescent="0.35">
      <c r="A109" t="s">
        <v>123</v>
      </c>
      <c r="B109" t="s">
        <v>1614</v>
      </c>
      <c r="C109">
        <v>31</v>
      </c>
      <c r="E109" t="s">
        <v>2998</v>
      </c>
      <c r="F109" t="s">
        <v>3018</v>
      </c>
      <c r="G109">
        <v>2</v>
      </c>
      <c r="H109">
        <v>1658768</v>
      </c>
      <c r="I109">
        <v>528433</v>
      </c>
      <c r="J109">
        <v>9.6999999999999993</v>
      </c>
      <c r="K109">
        <v>36</v>
      </c>
      <c r="L109" t="s">
        <v>3047</v>
      </c>
      <c r="M109">
        <v>553</v>
      </c>
      <c r="N109">
        <v>7</v>
      </c>
      <c r="O109" t="s">
        <v>3056</v>
      </c>
      <c r="P109" t="s">
        <v>3166</v>
      </c>
      <c r="Q109">
        <v>0.31859999999999999</v>
      </c>
    </row>
    <row r="110" spans="1:17" x14ac:dyDescent="0.35">
      <c r="A110" t="s">
        <v>124</v>
      </c>
      <c r="B110" t="s">
        <v>1615</v>
      </c>
      <c r="C110">
        <v>46</v>
      </c>
      <c r="D110" t="s">
        <v>2990</v>
      </c>
      <c r="E110" t="s">
        <v>3002</v>
      </c>
      <c r="F110" t="s">
        <v>3021</v>
      </c>
      <c r="G110">
        <v>8</v>
      </c>
      <c r="H110">
        <v>2274945</v>
      </c>
      <c r="I110">
        <v>272388</v>
      </c>
      <c r="J110">
        <v>20.97</v>
      </c>
      <c r="K110">
        <v>48</v>
      </c>
      <c r="L110" t="s">
        <v>3050</v>
      </c>
      <c r="M110">
        <v>744</v>
      </c>
      <c r="N110">
        <v>0</v>
      </c>
      <c r="O110" t="s">
        <v>3055</v>
      </c>
      <c r="P110" t="s">
        <v>3167</v>
      </c>
      <c r="Q110">
        <v>0.1197</v>
      </c>
    </row>
    <row r="111" spans="1:17" x14ac:dyDescent="0.35">
      <c r="A111" t="s">
        <v>125</v>
      </c>
      <c r="B111" t="s">
        <v>1616</v>
      </c>
      <c r="C111">
        <v>57</v>
      </c>
      <c r="D111" t="s">
        <v>2992</v>
      </c>
      <c r="E111" t="s">
        <v>3001</v>
      </c>
      <c r="F111" t="s">
        <v>3019</v>
      </c>
      <c r="G111">
        <v>26</v>
      </c>
      <c r="H111">
        <v>1166753</v>
      </c>
      <c r="I111">
        <v>173484</v>
      </c>
      <c r="J111">
        <v>27.31</v>
      </c>
      <c r="K111">
        <v>12</v>
      </c>
      <c r="L111" t="s">
        <v>3051</v>
      </c>
      <c r="M111">
        <v>370</v>
      </c>
      <c r="N111">
        <v>7</v>
      </c>
      <c r="O111" t="s">
        <v>3057</v>
      </c>
      <c r="P111" t="s">
        <v>3168</v>
      </c>
      <c r="Q111">
        <v>0.1487</v>
      </c>
    </row>
    <row r="112" spans="1:17" x14ac:dyDescent="0.35">
      <c r="A112" t="s">
        <v>126</v>
      </c>
      <c r="B112" t="s">
        <v>1617</v>
      </c>
      <c r="C112">
        <v>57</v>
      </c>
      <c r="D112" t="s">
        <v>2992</v>
      </c>
      <c r="E112" t="s">
        <v>3002</v>
      </c>
      <c r="F112" t="s">
        <v>3018</v>
      </c>
      <c r="G112">
        <v>6</v>
      </c>
      <c r="H112">
        <v>2104914</v>
      </c>
      <c r="I112">
        <v>694619</v>
      </c>
      <c r="J112">
        <v>10.14</v>
      </c>
      <c r="K112">
        <v>48</v>
      </c>
      <c r="L112" t="s">
        <v>3048</v>
      </c>
      <c r="M112">
        <v>433</v>
      </c>
      <c r="N112">
        <v>4</v>
      </c>
      <c r="O112" t="s">
        <v>3053</v>
      </c>
      <c r="P112" t="s">
        <v>3108</v>
      </c>
      <c r="Q112">
        <v>0.33</v>
      </c>
    </row>
    <row r="113" spans="1:17" x14ac:dyDescent="0.35">
      <c r="A113" t="s">
        <v>127</v>
      </c>
      <c r="B113" t="s">
        <v>1618</v>
      </c>
      <c r="C113">
        <v>36</v>
      </c>
      <c r="D113" t="s">
        <v>2992</v>
      </c>
      <c r="E113" t="s">
        <v>3001</v>
      </c>
      <c r="F113" t="s">
        <v>3019</v>
      </c>
      <c r="G113">
        <v>25</v>
      </c>
      <c r="H113">
        <v>1705416</v>
      </c>
      <c r="I113">
        <v>356907</v>
      </c>
      <c r="J113">
        <v>20.55</v>
      </c>
      <c r="K113">
        <v>12</v>
      </c>
      <c r="L113" t="s">
        <v>3049</v>
      </c>
      <c r="M113">
        <v>534</v>
      </c>
      <c r="N113">
        <v>6</v>
      </c>
      <c r="O113" t="s">
        <v>3052</v>
      </c>
      <c r="P113" t="s">
        <v>3169</v>
      </c>
      <c r="Q113">
        <v>0.20930000000000001</v>
      </c>
    </row>
    <row r="114" spans="1:17" x14ac:dyDescent="0.35">
      <c r="A114" t="s">
        <v>128</v>
      </c>
      <c r="B114" t="s">
        <v>1619</v>
      </c>
      <c r="C114">
        <v>39</v>
      </c>
      <c r="D114" t="s">
        <v>2992</v>
      </c>
      <c r="E114" t="s">
        <v>3004</v>
      </c>
      <c r="F114" t="s">
        <v>3021</v>
      </c>
      <c r="G114">
        <v>11</v>
      </c>
      <c r="H114">
        <v>1681681</v>
      </c>
      <c r="I114">
        <v>726673</v>
      </c>
      <c r="J114">
        <v>23.2</v>
      </c>
      <c r="K114">
        <v>60</v>
      </c>
      <c r="M114">
        <v>342</v>
      </c>
      <c r="N114">
        <v>2</v>
      </c>
      <c r="O114" t="s">
        <v>3054</v>
      </c>
      <c r="P114" t="s">
        <v>3170</v>
      </c>
      <c r="Q114">
        <v>0.43209999999999998</v>
      </c>
    </row>
    <row r="115" spans="1:17" x14ac:dyDescent="0.35">
      <c r="A115" t="s">
        <v>129</v>
      </c>
      <c r="B115" t="s">
        <v>1620</v>
      </c>
      <c r="C115">
        <v>49</v>
      </c>
      <c r="D115" t="s">
        <v>2992</v>
      </c>
      <c r="E115" t="s">
        <v>3000</v>
      </c>
      <c r="F115" t="s">
        <v>3021</v>
      </c>
      <c r="G115">
        <v>27</v>
      </c>
      <c r="H115">
        <v>738516</v>
      </c>
      <c r="I115">
        <v>320856</v>
      </c>
      <c r="J115">
        <v>22.37</v>
      </c>
      <c r="K115">
        <v>24</v>
      </c>
      <c r="L115" t="s">
        <v>3049</v>
      </c>
      <c r="M115">
        <v>414</v>
      </c>
      <c r="N115">
        <v>2</v>
      </c>
      <c r="O115" t="s">
        <v>3052</v>
      </c>
      <c r="P115" t="s">
        <v>3171</v>
      </c>
      <c r="Q115">
        <v>0.4345</v>
      </c>
    </row>
    <row r="116" spans="1:17" x14ac:dyDescent="0.35">
      <c r="A116" t="s">
        <v>130</v>
      </c>
      <c r="B116" t="s">
        <v>1621</v>
      </c>
      <c r="C116">
        <v>61</v>
      </c>
      <c r="D116" t="s">
        <v>2990</v>
      </c>
      <c r="E116" t="s">
        <v>2999</v>
      </c>
      <c r="F116" t="s">
        <v>3021</v>
      </c>
      <c r="G116">
        <v>13</v>
      </c>
      <c r="H116">
        <v>2344412</v>
      </c>
      <c r="I116">
        <v>63764</v>
      </c>
      <c r="J116">
        <v>11.4</v>
      </c>
      <c r="K116">
        <v>60</v>
      </c>
      <c r="L116" t="s">
        <v>3046</v>
      </c>
      <c r="M116">
        <v>716</v>
      </c>
      <c r="N116">
        <v>4</v>
      </c>
      <c r="O116" t="s">
        <v>3054</v>
      </c>
      <c r="P116" t="s">
        <v>3172</v>
      </c>
      <c r="Q116">
        <v>2.7199999999999998E-2</v>
      </c>
    </row>
    <row r="117" spans="1:17" x14ac:dyDescent="0.35">
      <c r="A117" t="s">
        <v>131</v>
      </c>
      <c r="B117" t="s">
        <v>1622</v>
      </c>
      <c r="C117">
        <v>29</v>
      </c>
      <c r="D117" t="s">
        <v>2992</v>
      </c>
      <c r="E117" t="s">
        <v>3008</v>
      </c>
      <c r="F117" t="s">
        <v>3019</v>
      </c>
      <c r="G117">
        <v>13</v>
      </c>
      <c r="H117">
        <v>444500</v>
      </c>
      <c r="I117">
        <v>260853</v>
      </c>
      <c r="J117">
        <v>17.55</v>
      </c>
      <c r="K117">
        <v>36</v>
      </c>
      <c r="L117" t="s">
        <v>3046</v>
      </c>
      <c r="M117">
        <v>503</v>
      </c>
      <c r="N117">
        <v>7</v>
      </c>
      <c r="O117" t="s">
        <v>3056</v>
      </c>
      <c r="P117" t="s">
        <v>3159</v>
      </c>
      <c r="Q117">
        <v>0.58679999999999999</v>
      </c>
    </row>
    <row r="118" spans="1:17" x14ac:dyDescent="0.35">
      <c r="A118" t="s">
        <v>132</v>
      </c>
      <c r="B118" t="s">
        <v>1623</v>
      </c>
      <c r="C118">
        <v>64</v>
      </c>
      <c r="D118" t="s">
        <v>2990</v>
      </c>
      <c r="E118" t="s">
        <v>3010</v>
      </c>
      <c r="F118" t="s">
        <v>3019</v>
      </c>
      <c r="G118">
        <v>16</v>
      </c>
      <c r="H118">
        <v>1670036</v>
      </c>
      <c r="I118">
        <v>515010</v>
      </c>
      <c r="J118">
        <v>22.6</v>
      </c>
      <c r="K118">
        <v>36</v>
      </c>
      <c r="L118" t="s">
        <v>3048</v>
      </c>
      <c r="N118">
        <v>5</v>
      </c>
      <c r="O118" t="s">
        <v>3056</v>
      </c>
      <c r="P118" t="s">
        <v>3173</v>
      </c>
      <c r="Q118">
        <v>0.30840000000000001</v>
      </c>
    </row>
    <row r="119" spans="1:17" x14ac:dyDescent="0.35">
      <c r="A119" t="s">
        <v>133</v>
      </c>
      <c r="B119" t="s">
        <v>1624</v>
      </c>
      <c r="C119">
        <v>36</v>
      </c>
      <c r="D119" t="s">
        <v>2992</v>
      </c>
      <c r="E119" t="s">
        <v>3002</v>
      </c>
      <c r="F119" t="s">
        <v>3021</v>
      </c>
      <c r="G119">
        <v>22</v>
      </c>
      <c r="H119">
        <v>863404</v>
      </c>
      <c r="I119">
        <v>622801</v>
      </c>
      <c r="J119">
        <v>17.670000000000002</v>
      </c>
      <c r="K119">
        <v>24</v>
      </c>
      <c r="L119" t="s">
        <v>3047</v>
      </c>
      <c r="M119">
        <v>410</v>
      </c>
      <c r="N119">
        <v>4</v>
      </c>
      <c r="O119" t="s">
        <v>3056</v>
      </c>
      <c r="P119" t="s">
        <v>3174</v>
      </c>
      <c r="Q119">
        <v>0.72130000000000005</v>
      </c>
    </row>
    <row r="120" spans="1:17" x14ac:dyDescent="0.35">
      <c r="A120" t="s">
        <v>134</v>
      </c>
      <c r="B120" t="s">
        <v>1625</v>
      </c>
      <c r="C120">
        <v>22</v>
      </c>
      <c r="D120" t="s">
        <v>2990</v>
      </c>
      <c r="E120" t="s">
        <v>3007</v>
      </c>
      <c r="F120" t="s">
        <v>3019</v>
      </c>
      <c r="G120">
        <v>15</v>
      </c>
      <c r="H120">
        <v>1571405</v>
      </c>
      <c r="I120">
        <v>588242</v>
      </c>
      <c r="J120">
        <v>14.58</v>
      </c>
      <c r="K120">
        <v>60</v>
      </c>
      <c r="L120" t="s">
        <v>3046</v>
      </c>
      <c r="M120">
        <v>506</v>
      </c>
      <c r="N120">
        <v>7</v>
      </c>
      <c r="O120" t="s">
        <v>3055</v>
      </c>
      <c r="P120" t="s">
        <v>3175</v>
      </c>
      <c r="Q120">
        <v>0.37430000000000002</v>
      </c>
    </row>
    <row r="121" spans="1:17" x14ac:dyDescent="0.35">
      <c r="A121" t="s">
        <v>135</v>
      </c>
      <c r="B121" t="s">
        <v>1626</v>
      </c>
      <c r="C121">
        <v>29</v>
      </c>
      <c r="D121" t="s">
        <v>2990</v>
      </c>
      <c r="E121" t="s">
        <v>3001</v>
      </c>
      <c r="F121" t="s">
        <v>3021</v>
      </c>
      <c r="G121">
        <v>2</v>
      </c>
      <c r="H121">
        <v>1464294</v>
      </c>
      <c r="I121">
        <v>475150</v>
      </c>
      <c r="J121">
        <v>11.44</v>
      </c>
      <c r="K121">
        <v>60</v>
      </c>
      <c r="L121" t="s">
        <v>3047</v>
      </c>
      <c r="M121">
        <v>711</v>
      </c>
      <c r="N121">
        <v>0</v>
      </c>
      <c r="O121" t="s">
        <v>3052</v>
      </c>
      <c r="P121" t="s">
        <v>3176</v>
      </c>
      <c r="Q121">
        <v>0.32450000000000001</v>
      </c>
    </row>
    <row r="122" spans="1:17" x14ac:dyDescent="0.35">
      <c r="A122" t="s">
        <v>136</v>
      </c>
      <c r="B122" t="s">
        <v>1627</v>
      </c>
      <c r="C122">
        <v>61</v>
      </c>
      <c r="D122" t="s">
        <v>2990</v>
      </c>
      <c r="E122" t="s">
        <v>3005</v>
      </c>
      <c r="F122" t="s">
        <v>3018</v>
      </c>
      <c r="G122">
        <v>7</v>
      </c>
      <c r="H122">
        <v>753441</v>
      </c>
      <c r="I122">
        <v>727173</v>
      </c>
      <c r="J122">
        <v>10.33</v>
      </c>
      <c r="K122">
        <v>24</v>
      </c>
      <c r="L122" t="s">
        <v>3047</v>
      </c>
      <c r="M122">
        <v>617</v>
      </c>
      <c r="N122">
        <v>2</v>
      </c>
      <c r="O122" t="s">
        <v>3059</v>
      </c>
      <c r="P122" t="s">
        <v>3177</v>
      </c>
      <c r="Q122">
        <v>0.96509999999999996</v>
      </c>
    </row>
    <row r="123" spans="1:17" x14ac:dyDescent="0.35">
      <c r="A123" t="s">
        <v>137</v>
      </c>
      <c r="B123" t="s">
        <v>1628</v>
      </c>
      <c r="C123">
        <v>38</v>
      </c>
      <c r="E123" t="s">
        <v>3007</v>
      </c>
      <c r="F123" t="s">
        <v>3018</v>
      </c>
      <c r="G123">
        <v>4</v>
      </c>
      <c r="H123">
        <v>1914339</v>
      </c>
      <c r="I123">
        <v>541396</v>
      </c>
      <c r="J123">
        <v>15.9</v>
      </c>
      <c r="K123">
        <v>48</v>
      </c>
      <c r="L123" t="s">
        <v>3049</v>
      </c>
      <c r="M123">
        <v>710</v>
      </c>
      <c r="N123">
        <v>0</v>
      </c>
      <c r="O123" t="s">
        <v>3057</v>
      </c>
      <c r="P123" t="s">
        <v>3178</v>
      </c>
      <c r="Q123">
        <v>0.2828</v>
      </c>
    </row>
    <row r="124" spans="1:17" x14ac:dyDescent="0.35">
      <c r="A124" t="s">
        <v>138</v>
      </c>
      <c r="B124" t="s">
        <v>1629</v>
      </c>
      <c r="C124">
        <v>40</v>
      </c>
      <c r="D124" t="s">
        <v>2990</v>
      </c>
      <c r="E124" t="s">
        <v>2999</v>
      </c>
      <c r="F124" t="s">
        <v>3019</v>
      </c>
      <c r="G124">
        <v>22</v>
      </c>
      <c r="H124">
        <v>1958539</v>
      </c>
      <c r="I124">
        <v>779785</v>
      </c>
      <c r="J124">
        <v>11.49</v>
      </c>
      <c r="K124">
        <v>60</v>
      </c>
      <c r="L124" t="s">
        <v>3051</v>
      </c>
      <c r="M124">
        <v>408</v>
      </c>
      <c r="N124">
        <v>2</v>
      </c>
      <c r="O124" t="s">
        <v>3056</v>
      </c>
      <c r="P124" t="s">
        <v>3179</v>
      </c>
      <c r="Q124">
        <v>0.39810000000000001</v>
      </c>
    </row>
    <row r="125" spans="1:17" x14ac:dyDescent="0.35">
      <c r="A125" t="s">
        <v>139</v>
      </c>
      <c r="B125" t="s">
        <v>1630</v>
      </c>
      <c r="C125">
        <v>40</v>
      </c>
      <c r="D125" t="s">
        <v>2990</v>
      </c>
      <c r="E125" t="s">
        <v>3006</v>
      </c>
      <c r="F125" t="s">
        <v>3018</v>
      </c>
      <c r="G125">
        <v>3</v>
      </c>
      <c r="H125">
        <v>2148541</v>
      </c>
      <c r="I125">
        <v>758096</v>
      </c>
      <c r="J125">
        <v>20.09</v>
      </c>
      <c r="K125">
        <v>24</v>
      </c>
      <c r="L125" t="s">
        <v>3047</v>
      </c>
      <c r="M125">
        <v>794</v>
      </c>
      <c r="N125">
        <v>1</v>
      </c>
      <c r="O125" t="s">
        <v>3055</v>
      </c>
      <c r="P125" t="s">
        <v>3180</v>
      </c>
      <c r="Q125">
        <v>0.3528</v>
      </c>
    </row>
    <row r="126" spans="1:17" x14ac:dyDescent="0.35">
      <c r="A126" t="s">
        <v>140</v>
      </c>
      <c r="B126" t="s">
        <v>1631</v>
      </c>
      <c r="C126">
        <v>22</v>
      </c>
      <c r="D126" t="s">
        <v>2990</v>
      </c>
      <c r="E126" t="s">
        <v>3003</v>
      </c>
      <c r="F126" t="s">
        <v>3020</v>
      </c>
      <c r="G126">
        <v>1</v>
      </c>
      <c r="H126">
        <v>395048</v>
      </c>
      <c r="I126">
        <v>707605</v>
      </c>
      <c r="J126">
        <v>10.37</v>
      </c>
      <c r="K126">
        <v>48</v>
      </c>
      <c r="L126" t="s">
        <v>3046</v>
      </c>
      <c r="M126">
        <v>461</v>
      </c>
      <c r="N126">
        <v>6</v>
      </c>
      <c r="O126" t="s">
        <v>3054</v>
      </c>
      <c r="P126" t="s">
        <v>3181</v>
      </c>
      <c r="Q126">
        <v>1.7911999999999999</v>
      </c>
    </row>
    <row r="127" spans="1:17" x14ac:dyDescent="0.35">
      <c r="A127" t="s">
        <v>141</v>
      </c>
      <c r="B127" t="s">
        <v>1632</v>
      </c>
      <c r="C127">
        <v>64</v>
      </c>
      <c r="D127" t="s">
        <v>2992</v>
      </c>
      <c r="E127" t="s">
        <v>3003</v>
      </c>
      <c r="F127" t="s">
        <v>3019</v>
      </c>
      <c r="G127">
        <v>24</v>
      </c>
      <c r="H127">
        <v>831406</v>
      </c>
      <c r="I127">
        <v>458080</v>
      </c>
      <c r="J127">
        <v>25.97</v>
      </c>
      <c r="K127">
        <v>36</v>
      </c>
      <c r="L127" t="s">
        <v>3049</v>
      </c>
      <c r="M127">
        <v>520</v>
      </c>
      <c r="N127">
        <v>7</v>
      </c>
      <c r="O127" t="s">
        <v>3055</v>
      </c>
      <c r="P127" t="s">
        <v>3182</v>
      </c>
      <c r="Q127">
        <v>0.55100000000000005</v>
      </c>
    </row>
    <row r="128" spans="1:17" x14ac:dyDescent="0.35">
      <c r="A128" t="s">
        <v>142</v>
      </c>
      <c r="B128" t="s">
        <v>1633</v>
      </c>
      <c r="C128">
        <v>62</v>
      </c>
      <c r="D128" t="s">
        <v>2990</v>
      </c>
      <c r="E128" t="s">
        <v>3006</v>
      </c>
      <c r="F128" t="s">
        <v>3021</v>
      </c>
      <c r="G128">
        <v>8</v>
      </c>
      <c r="H128">
        <v>1130162</v>
      </c>
      <c r="I128">
        <v>104607</v>
      </c>
      <c r="J128">
        <v>15.4</v>
      </c>
      <c r="K128">
        <v>48</v>
      </c>
      <c r="L128" t="s">
        <v>3046</v>
      </c>
      <c r="M128">
        <v>408</v>
      </c>
      <c r="N128">
        <v>5</v>
      </c>
      <c r="O128" t="s">
        <v>3053</v>
      </c>
      <c r="P128" t="s">
        <v>3183</v>
      </c>
      <c r="Q128">
        <v>9.2600000000000002E-2</v>
      </c>
    </row>
    <row r="129" spans="1:17" x14ac:dyDescent="0.35">
      <c r="A129" t="s">
        <v>143</v>
      </c>
      <c r="B129" t="s">
        <v>1634</v>
      </c>
      <c r="C129">
        <v>43</v>
      </c>
      <c r="E129" t="s">
        <v>3001</v>
      </c>
      <c r="F129" t="s">
        <v>3019</v>
      </c>
      <c r="G129">
        <v>22</v>
      </c>
      <c r="H129">
        <v>2026198</v>
      </c>
      <c r="I129">
        <v>429319</v>
      </c>
      <c r="J129">
        <v>20.7</v>
      </c>
      <c r="K129">
        <v>24</v>
      </c>
      <c r="L129" t="s">
        <v>3049</v>
      </c>
      <c r="M129">
        <v>556</v>
      </c>
      <c r="N129">
        <v>1</v>
      </c>
      <c r="O129" t="s">
        <v>3052</v>
      </c>
      <c r="P129" t="s">
        <v>3184</v>
      </c>
      <c r="Q129">
        <v>0.21190000000000001</v>
      </c>
    </row>
    <row r="130" spans="1:17" x14ac:dyDescent="0.35">
      <c r="A130" t="s">
        <v>144</v>
      </c>
      <c r="B130" t="s">
        <v>1635</v>
      </c>
      <c r="C130">
        <v>41</v>
      </c>
      <c r="D130" t="s">
        <v>2990</v>
      </c>
      <c r="E130" t="s">
        <v>3000</v>
      </c>
      <c r="F130" t="s">
        <v>3018</v>
      </c>
      <c r="G130">
        <v>1</v>
      </c>
      <c r="H130">
        <v>2264508</v>
      </c>
      <c r="I130">
        <v>711319</v>
      </c>
      <c r="J130">
        <v>27.07</v>
      </c>
      <c r="K130">
        <v>48</v>
      </c>
      <c r="L130" t="s">
        <v>3049</v>
      </c>
      <c r="M130">
        <v>322</v>
      </c>
      <c r="N130">
        <v>1</v>
      </c>
      <c r="O130" t="s">
        <v>3057</v>
      </c>
      <c r="P130" t="s">
        <v>3185</v>
      </c>
      <c r="Q130">
        <v>0.31409999999999999</v>
      </c>
    </row>
    <row r="131" spans="1:17" x14ac:dyDescent="0.35">
      <c r="A131" t="s">
        <v>145</v>
      </c>
      <c r="B131" t="s">
        <v>1636</v>
      </c>
      <c r="C131">
        <v>43</v>
      </c>
      <c r="D131" t="s">
        <v>2992</v>
      </c>
      <c r="E131" t="s">
        <v>3006</v>
      </c>
      <c r="F131" t="s">
        <v>3021</v>
      </c>
      <c r="G131">
        <v>15</v>
      </c>
      <c r="H131">
        <v>1750057</v>
      </c>
      <c r="I131">
        <v>655873</v>
      </c>
      <c r="J131">
        <v>14.27</v>
      </c>
      <c r="K131">
        <v>60</v>
      </c>
      <c r="L131" t="s">
        <v>3050</v>
      </c>
      <c r="M131">
        <v>379</v>
      </c>
      <c r="N131">
        <v>4</v>
      </c>
      <c r="O131" t="s">
        <v>3057</v>
      </c>
      <c r="P131" t="s">
        <v>3186</v>
      </c>
      <c r="Q131">
        <v>0.37480000000000002</v>
      </c>
    </row>
    <row r="132" spans="1:17" x14ac:dyDescent="0.35">
      <c r="A132" t="s">
        <v>146</v>
      </c>
      <c r="B132" t="s">
        <v>1637</v>
      </c>
      <c r="C132">
        <v>44</v>
      </c>
      <c r="D132" t="s">
        <v>2992</v>
      </c>
      <c r="E132" t="s">
        <v>3003</v>
      </c>
      <c r="F132" t="s">
        <v>3021</v>
      </c>
      <c r="G132">
        <v>25</v>
      </c>
      <c r="H132">
        <v>1745070</v>
      </c>
      <c r="I132">
        <v>313925</v>
      </c>
      <c r="J132">
        <v>11.23</v>
      </c>
      <c r="K132">
        <v>60</v>
      </c>
      <c r="L132" t="s">
        <v>3046</v>
      </c>
      <c r="M132">
        <v>730</v>
      </c>
      <c r="N132">
        <v>5</v>
      </c>
      <c r="O132" t="s">
        <v>3057</v>
      </c>
      <c r="P132" t="s">
        <v>3187</v>
      </c>
      <c r="Q132">
        <v>0.1799</v>
      </c>
    </row>
    <row r="133" spans="1:17" x14ac:dyDescent="0.35">
      <c r="A133" t="s">
        <v>147</v>
      </c>
      <c r="B133" t="s">
        <v>1638</v>
      </c>
      <c r="C133">
        <v>38</v>
      </c>
      <c r="D133" t="s">
        <v>2990</v>
      </c>
      <c r="E133" t="s">
        <v>3001</v>
      </c>
      <c r="F133" t="s">
        <v>3021</v>
      </c>
      <c r="G133">
        <v>15</v>
      </c>
      <c r="H133">
        <v>1738242</v>
      </c>
      <c r="I133">
        <v>655274</v>
      </c>
      <c r="J133">
        <v>11.8</v>
      </c>
      <c r="K133">
        <v>60</v>
      </c>
      <c r="L133" t="s">
        <v>3050</v>
      </c>
      <c r="M133">
        <v>421</v>
      </c>
      <c r="N133">
        <v>2</v>
      </c>
      <c r="O133" t="s">
        <v>3052</v>
      </c>
      <c r="P133" t="s">
        <v>3188</v>
      </c>
      <c r="Q133">
        <v>0.377</v>
      </c>
    </row>
    <row r="134" spans="1:17" x14ac:dyDescent="0.35">
      <c r="A134" t="s">
        <v>148</v>
      </c>
      <c r="B134" t="s">
        <v>1639</v>
      </c>
      <c r="C134">
        <v>23</v>
      </c>
      <c r="D134" t="s">
        <v>2990</v>
      </c>
      <c r="E134" t="s">
        <v>3000</v>
      </c>
      <c r="F134" t="s">
        <v>3019</v>
      </c>
      <c r="G134">
        <v>23</v>
      </c>
      <c r="H134">
        <v>1889375</v>
      </c>
      <c r="I134">
        <v>739979</v>
      </c>
      <c r="J134">
        <v>21.45</v>
      </c>
      <c r="K134">
        <v>24</v>
      </c>
      <c r="L134" t="s">
        <v>3048</v>
      </c>
      <c r="M134">
        <v>633</v>
      </c>
      <c r="N134">
        <v>6</v>
      </c>
      <c r="O134" t="s">
        <v>3053</v>
      </c>
      <c r="P134" t="s">
        <v>3189</v>
      </c>
      <c r="Q134">
        <v>0.39169999999999999</v>
      </c>
    </row>
    <row r="135" spans="1:17" x14ac:dyDescent="0.35">
      <c r="A135" t="s">
        <v>149</v>
      </c>
      <c r="B135" t="s">
        <v>1640</v>
      </c>
      <c r="C135">
        <v>31</v>
      </c>
      <c r="E135" t="s">
        <v>2999</v>
      </c>
      <c r="F135" t="s">
        <v>3020</v>
      </c>
      <c r="G135">
        <v>20</v>
      </c>
      <c r="H135">
        <v>1945524</v>
      </c>
      <c r="I135">
        <v>666238</v>
      </c>
      <c r="J135">
        <v>20.27</v>
      </c>
      <c r="K135">
        <v>60</v>
      </c>
      <c r="L135" t="s">
        <v>3050</v>
      </c>
      <c r="M135">
        <v>458</v>
      </c>
      <c r="N135">
        <v>4</v>
      </c>
      <c r="O135" t="s">
        <v>3052</v>
      </c>
      <c r="P135" t="s">
        <v>3190</v>
      </c>
      <c r="Q135">
        <v>0.34239999999999998</v>
      </c>
    </row>
    <row r="136" spans="1:17" x14ac:dyDescent="0.35">
      <c r="A136" t="s">
        <v>150</v>
      </c>
      <c r="B136" t="s">
        <v>1641</v>
      </c>
      <c r="C136">
        <v>27</v>
      </c>
      <c r="D136" t="s">
        <v>2990</v>
      </c>
      <c r="E136" t="s">
        <v>3004</v>
      </c>
      <c r="F136" t="s">
        <v>3021</v>
      </c>
      <c r="G136">
        <v>0</v>
      </c>
      <c r="H136">
        <v>848755</v>
      </c>
      <c r="I136">
        <v>335018</v>
      </c>
      <c r="J136">
        <v>21.3</v>
      </c>
      <c r="K136">
        <v>48</v>
      </c>
      <c r="L136" t="s">
        <v>3051</v>
      </c>
      <c r="M136">
        <v>437</v>
      </c>
      <c r="N136">
        <v>3</v>
      </c>
      <c r="O136" t="s">
        <v>3055</v>
      </c>
      <c r="P136" t="s">
        <v>3191</v>
      </c>
      <c r="Q136">
        <v>0.3947</v>
      </c>
    </row>
    <row r="137" spans="1:17" x14ac:dyDescent="0.35">
      <c r="A137" t="s">
        <v>151</v>
      </c>
      <c r="B137" t="s">
        <v>1642</v>
      </c>
      <c r="C137">
        <v>36</v>
      </c>
      <c r="D137" t="s">
        <v>2992</v>
      </c>
      <c r="E137" t="s">
        <v>3000</v>
      </c>
      <c r="F137" t="s">
        <v>3019</v>
      </c>
      <c r="G137">
        <v>11</v>
      </c>
      <c r="H137">
        <v>819282</v>
      </c>
      <c r="I137">
        <v>196743</v>
      </c>
      <c r="J137">
        <v>15.25</v>
      </c>
      <c r="K137">
        <v>48</v>
      </c>
      <c r="L137" t="s">
        <v>3046</v>
      </c>
      <c r="M137">
        <v>622</v>
      </c>
      <c r="N137">
        <v>0</v>
      </c>
      <c r="O137" t="s">
        <v>3054</v>
      </c>
      <c r="P137" t="s">
        <v>3192</v>
      </c>
      <c r="Q137">
        <v>0.24010000000000001</v>
      </c>
    </row>
    <row r="138" spans="1:17" x14ac:dyDescent="0.35">
      <c r="A138" t="s">
        <v>152</v>
      </c>
      <c r="B138" t="s">
        <v>1643</v>
      </c>
      <c r="C138">
        <v>57</v>
      </c>
      <c r="D138" t="s">
        <v>2990</v>
      </c>
      <c r="E138" t="s">
        <v>3004</v>
      </c>
      <c r="F138" t="s">
        <v>3018</v>
      </c>
      <c r="G138">
        <v>21</v>
      </c>
      <c r="H138">
        <v>2006525</v>
      </c>
      <c r="I138">
        <v>192257</v>
      </c>
      <c r="J138">
        <v>18.57</v>
      </c>
      <c r="K138">
        <v>60</v>
      </c>
      <c r="L138" t="s">
        <v>3048</v>
      </c>
      <c r="M138">
        <v>764</v>
      </c>
      <c r="N138">
        <v>3</v>
      </c>
      <c r="O138" t="s">
        <v>3055</v>
      </c>
      <c r="P138" t="s">
        <v>3193</v>
      </c>
      <c r="Q138">
        <v>9.5799999999999996E-2</v>
      </c>
    </row>
    <row r="139" spans="1:17" x14ac:dyDescent="0.35">
      <c r="A139" t="s">
        <v>153</v>
      </c>
      <c r="B139" t="s">
        <v>1644</v>
      </c>
      <c r="C139">
        <v>52</v>
      </c>
      <c r="D139" t="s">
        <v>2990</v>
      </c>
      <c r="E139" t="s">
        <v>3002</v>
      </c>
      <c r="F139" t="s">
        <v>3020</v>
      </c>
      <c r="G139">
        <v>28</v>
      </c>
      <c r="H139">
        <v>777218</v>
      </c>
      <c r="I139">
        <v>109116</v>
      </c>
      <c r="J139">
        <v>14.76</v>
      </c>
      <c r="K139">
        <v>60</v>
      </c>
      <c r="L139" t="s">
        <v>3047</v>
      </c>
      <c r="M139">
        <v>438</v>
      </c>
      <c r="N139">
        <v>7</v>
      </c>
      <c r="O139" t="s">
        <v>3057</v>
      </c>
      <c r="P139" t="s">
        <v>3194</v>
      </c>
      <c r="Q139">
        <v>0.1404</v>
      </c>
    </row>
    <row r="140" spans="1:17" x14ac:dyDescent="0.35">
      <c r="A140" t="s">
        <v>154</v>
      </c>
      <c r="B140" t="s">
        <v>1645</v>
      </c>
      <c r="C140">
        <v>39</v>
      </c>
      <c r="D140" t="s">
        <v>2990</v>
      </c>
      <c r="E140" t="s">
        <v>3007</v>
      </c>
      <c r="F140" t="s">
        <v>3019</v>
      </c>
      <c r="G140">
        <v>14</v>
      </c>
      <c r="H140">
        <v>317478</v>
      </c>
      <c r="I140">
        <v>347031</v>
      </c>
      <c r="J140">
        <v>22.6</v>
      </c>
      <c r="K140">
        <v>48</v>
      </c>
      <c r="L140" t="s">
        <v>3046</v>
      </c>
      <c r="M140">
        <v>346</v>
      </c>
      <c r="N140">
        <v>0</v>
      </c>
      <c r="O140" t="s">
        <v>3053</v>
      </c>
      <c r="P140" t="s">
        <v>3195</v>
      </c>
      <c r="Q140">
        <v>1.0931</v>
      </c>
    </row>
    <row r="141" spans="1:17" x14ac:dyDescent="0.35">
      <c r="A141" t="s">
        <v>155</v>
      </c>
      <c r="B141" t="s">
        <v>1646</v>
      </c>
      <c r="C141">
        <v>55</v>
      </c>
      <c r="D141" t="s">
        <v>2990</v>
      </c>
      <c r="E141" t="s">
        <v>3001</v>
      </c>
      <c r="F141" t="s">
        <v>3019</v>
      </c>
      <c r="G141">
        <v>29</v>
      </c>
      <c r="H141">
        <v>345575</v>
      </c>
      <c r="I141">
        <v>212029</v>
      </c>
      <c r="J141" t="s">
        <v>3023</v>
      </c>
      <c r="K141">
        <v>36</v>
      </c>
      <c r="L141" t="s">
        <v>3049</v>
      </c>
      <c r="M141">
        <v>461</v>
      </c>
      <c r="N141">
        <v>5</v>
      </c>
      <c r="O141" t="s">
        <v>3055</v>
      </c>
      <c r="P141" t="s">
        <v>3196</v>
      </c>
      <c r="Q141">
        <v>0.61360000000000003</v>
      </c>
    </row>
    <row r="142" spans="1:17" x14ac:dyDescent="0.35">
      <c r="A142" t="s">
        <v>156</v>
      </c>
      <c r="B142" t="s">
        <v>1647</v>
      </c>
      <c r="C142">
        <v>37</v>
      </c>
      <c r="D142" t="s">
        <v>2990</v>
      </c>
      <c r="E142" t="s">
        <v>3000</v>
      </c>
      <c r="F142" t="s">
        <v>3018</v>
      </c>
      <c r="G142">
        <v>11</v>
      </c>
      <c r="H142">
        <v>488623</v>
      </c>
      <c r="I142">
        <v>339759</v>
      </c>
      <c r="J142">
        <v>21.59</v>
      </c>
      <c r="K142">
        <v>24</v>
      </c>
      <c r="L142" t="s">
        <v>3049</v>
      </c>
      <c r="M142">
        <v>507</v>
      </c>
      <c r="N142">
        <v>5</v>
      </c>
      <c r="O142" t="s">
        <v>3057</v>
      </c>
      <c r="P142" t="s">
        <v>3197</v>
      </c>
      <c r="Q142">
        <v>0.69530000000000003</v>
      </c>
    </row>
    <row r="143" spans="1:17" x14ac:dyDescent="0.35">
      <c r="A143" t="s">
        <v>157</v>
      </c>
      <c r="B143" t="s">
        <v>1648</v>
      </c>
      <c r="C143">
        <v>49</v>
      </c>
      <c r="D143" t="s">
        <v>2992</v>
      </c>
      <c r="E143" t="s">
        <v>2998</v>
      </c>
      <c r="F143" t="s">
        <v>3021</v>
      </c>
      <c r="G143">
        <v>1</v>
      </c>
      <c r="H143">
        <v>1404648</v>
      </c>
      <c r="I143">
        <v>104381</v>
      </c>
      <c r="J143">
        <v>20.100000000000001</v>
      </c>
      <c r="K143">
        <v>36</v>
      </c>
      <c r="L143" t="s">
        <v>3051</v>
      </c>
      <c r="M143">
        <v>475</v>
      </c>
      <c r="N143">
        <v>1</v>
      </c>
      <c r="O143" t="s">
        <v>3055</v>
      </c>
      <c r="P143" t="s">
        <v>3198</v>
      </c>
      <c r="Q143">
        <v>7.4300000000000005E-2</v>
      </c>
    </row>
    <row r="144" spans="1:17" x14ac:dyDescent="0.35">
      <c r="A144" t="s">
        <v>158</v>
      </c>
      <c r="B144" t="s">
        <v>1649</v>
      </c>
      <c r="C144">
        <v>60</v>
      </c>
      <c r="D144" t="s">
        <v>2990</v>
      </c>
      <c r="E144" t="s">
        <v>3006</v>
      </c>
      <c r="F144" t="s">
        <v>3018</v>
      </c>
      <c r="G144">
        <v>5</v>
      </c>
      <c r="H144">
        <v>848590</v>
      </c>
      <c r="I144">
        <v>440162</v>
      </c>
      <c r="J144">
        <v>27.23</v>
      </c>
      <c r="K144">
        <v>60</v>
      </c>
      <c r="L144" t="s">
        <v>3046</v>
      </c>
      <c r="M144">
        <v>627</v>
      </c>
      <c r="N144">
        <v>6</v>
      </c>
      <c r="O144" t="s">
        <v>3052</v>
      </c>
      <c r="P144" t="s">
        <v>3199</v>
      </c>
      <c r="Q144">
        <v>0.51870000000000005</v>
      </c>
    </row>
    <row r="145" spans="1:17" x14ac:dyDescent="0.35">
      <c r="A145" t="s">
        <v>159</v>
      </c>
      <c r="B145" t="s">
        <v>1650</v>
      </c>
      <c r="C145">
        <v>44</v>
      </c>
      <c r="D145" t="s">
        <v>2992</v>
      </c>
      <c r="E145" t="s">
        <v>3003</v>
      </c>
      <c r="F145" t="s">
        <v>3020</v>
      </c>
      <c r="G145">
        <v>7</v>
      </c>
      <c r="H145">
        <v>582732</v>
      </c>
      <c r="I145">
        <v>633859</v>
      </c>
      <c r="J145">
        <v>10.86</v>
      </c>
      <c r="K145">
        <v>48</v>
      </c>
      <c r="L145" t="s">
        <v>3048</v>
      </c>
      <c r="M145">
        <v>799</v>
      </c>
      <c r="N145">
        <v>1</v>
      </c>
      <c r="O145" t="s">
        <v>3052</v>
      </c>
      <c r="P145" t="s">
        <v>3200</v>
      </c>
      <c r="Q145">
        <v>1.0876999999999999</v>
      </c>
    </row>
    <row r="146" spans="1:17" x14ac:dyDescent="0.35">
      <c r="A146" t="s">
        <v>160</v>
      </c>
      <c r="B146" t="s">
        <v>1651</v>
      </c>
      <c r="C146">
        <v>21</v>
      </c>
      <c r="D146" t="s">
        <v>2992</v>
      </c>
      <c r="E146" t="s">
        <v>3005</v>
      </c>
      <c r="F146" t="s">
        <v>3021</v>
      </c>
      <c r="G146">
        <v>5</v>
      </c>
      <c r="I146">
        <v>596677</v>
      </c>
      <c r="J146">
        <v>11.71</v>
      </c>
      <c r="K146">
        <v>36</v>
      </c>
      <c r="L146" t="s">
        <v>3046</v>
      </c>
      <c r="M146">
        <v>408</v>
      </c>
      <c r="N146">
        <v>3</v>
      </c>
      <c r="O146" t="s">
        <v>3053</v>
      </c>
      <c r="P146" t="s">
        <v>3201</v>
      </c>
      <c r="Q146">
        <v>0.30470000000000003</v>
      </c>
    </row>
    <row r="147" spans="1:17" x14ac:dyDescent="0.35">
      <c r="A147" t="s">
        <v>161</v>
      </c>
      <c r="B147" t="s">
        <v>1652</v>
      </c>
      <c r="C147">
        <v>50</v>
      </c>
      <c r="D147" t="s">
        <v>2990</v>
      </c>
      <c r="E147" t="s">
        <v>3004</v>
      </c>
      <c r="F147" t="s">
        <v>3018</v>
      </c>
      <c r="G147">
        <v>21</v>
      </c>
      <c r="H147">
        <v>302775</v>
      </c>
      <c r="I147">
        <v>78692</v>
      </c>
      <c r="J147">
        <v>11.66</v>
      </c>
      <c r="K147">
        <v>36</v>
      </c>
      <c r="L147" t="s">
        <v>3046</v>
      </c>
      <c r="M147">
        <v>502</v>
      </c>
      <c r="N147">
        <v>7</v>
      </c>
      <c r="O147" t="s">
        <v>3056</v>
      </c>
      <c r="P147" t="s">
        <v>3202</v>
      </c>
      <c r="Q147">
        <v>0.25990000000000002</v>
      </c>
    </row>
    <row r="148" spans="1:17" x14ac:dyDescent="0.35">
      <c r="A148" t="s">
        <v>162</v>
      </c>
      <c r="B148" t="s">
        <v>1653</v>
      </c>
      <c r="C148">
        <v>46</v>
      </c>
      <c r="D148" t="s">
        <v>2990</v>
      </c>
      <c r="E148" t="s">
        <v>3000</v>
      </c>
      <c r="F148" t="s">
        <v>3021</v>
      </c>
      <c r="G148">
        <v>9</v>
      </c>
      <c r="H148">
        <v>2183426</v>
      </c>
      <c r="I148">
        <v>437339</v>
      </c>
      <c r="J148">
        <v>15.86</v>
      </c>
      <c r="K148">
        <v>24</v>
      </c>
      <c r="L148" t="s">
        <v>3051</v>
      </c>
      <c r="M148">
        <v>789</v>
      </c>
      <c r="N148">
        <v>5</v>
      </c>
      <c r="O148" t="s">
        <v>3057</v>
      </c>
      <c r="P148" t="s">
        <v>3203</v>
      </c>
      <c r="Q148">
        <v>0.20030000000000001</v>
      </c>
    </row>
    <row r="149" spans="1:17" x14ac:dyDescent="0.35">
      <c r="A149" t="s">
        <v>163</v>
      </c>
      <c r="B149" t="s">
        <v>1654</v>
      </c>
      <c r="C149">
        <v>49</v>
      </c>
      <c r="D149" t="s">
        <v>2992</v>
      </c>
      <c r="E149" t="s">
        <v>3007</v>
      </c>
      <c r="F149" t="s">
        <v>3019</v>
      </c>
      <c r="G149">
        <v>27</v>
      </c>
      <c r="H149">
        <v>448854</v>
      </c>
      <c r="I149">
        <v>131718</v>
      </c>
      <c r="J149">
        <v>9.25</v>
      </c>
      <c r="K149">
        <v>24</v>
      </c>
      <c r="L149" t="s">
        <v>3051</v>
      </c>
      <c r="M149">
        <v>346</v>
      </c>
      <c r="N149">
        <v>4</v>
      </c>
      <c r="O149" t="s">
        <v>3055</v>
      </c>
      <c r="P149" t="s">
        <v>3204</v>
      </c>
      <c r="Q149">
        <v>0.29349999999999998</v>
      </c>
    </row>
    <row r="150" spans="1:17" x14ac:dyDescent="0.35">
      <c r="A150" t="s">
        <v>164</v>
      </c>
      <c r="B150" t="s">
        <v>1655</v>
      </c>
      <c r="C150">
        <v>41</v>
      </c>
      <c r="D150" t="s">
        <v>2992</v>
      </c>
      <c r="E150" t="s">
        <v>3001</v>
      </c>
      <c r="F150" t="s">
        <v>3019</v>
      </c>
      <c r="G150">
        <v>23</v>
      </c>
      <c r="H150">
        <v>497348</v>
      </c>
      <c r="I150">
        <v>273317</v>
      </c>
      <c r="J150">
        <v>16.059999999999999</v>
      </c>
      <c r="K150">
        <v>24</v>
      </c>
      <c r="L150" t="s">
        <v>3050</v>
      </c>
      <c r="M150">
        <v>-50</v>
      </c>
      <c r="N150">
        <v>4</v>
      </c>
      <c r="O150" t="s">
        <v>3054</v>
      </c>
      <c r="P150" t="s">
        <v>3205</v>
      </c>
      <c r="Q150">
        <v>0.54949999999999999</v>
      </c>
    </row>
    <row r="151" spans="1:17" x14ac:dyDescent="0.35">
      <c r="A151" t="s">
        <v>165</v>
      </c>
      <c r="B151" t="s">
        <v>1656</v>
      </c>
      <c r="C151">
        <v>39</v>
      </c>
      <c r="D151" t="s">
        <v>2992</v>
      </c>
      <c r="E151" t="s">
        <v>3004</v>
      </c>
      <c r="F151" t="s">
        <v>3021</v>
      </c>
      <c r="G151">
        <v>3</v>
      </c>
      <c r="H151">
        <v>337702</v>
      </c>
      <c r="I151">
        <v>613849</v>
      </c>
      <c r="J151">
        <v>13.93</v>
      </c>
      <c r="K151">
        <v>48</v>
      </c>
      <c r="L151" t="s">
        <v>3048</v>
      </c>
      <c r="M151">
        <v>717</v>
      </c>
      <c r="N151">
        <v>0</v>
      </c>
      <c r="O151" t="s">
        <v>3054</v>
      </c>
      <c r="P151" t="s">
        <v>3206</v>
      </c>
      <c r="Q151">
        <v>1.8177000000000001</v>
      </c>
    </row>
    <row r="152" spans="1:17" x14ac:dyDescent="0.35">
      <c r="A152" t="s">
        <v>166</v>
      </c>
      <c r="B152" t="s">
        <v>1657</v>
      </c>
      <c r="C152">
        <v>54</v>
      </c>
      <c r="D152" t="s">
        <v>2992</v>
      </c>
      <c r="E152" t="s">
        <v>3006</v>
      </c>
      <c r="F152" t="s">
        <v>3021</v>
      </c>
      <c r="G152">
        <v>15</v>
      </c>
      <c r="H152">
        <v>1698087</v>
      </c>
      <c r="I152">
        <v>131541</v>
      </c>
      <c r="J152">
        <v>26.72</v>
      </c>
      <c r="K152">
        <v>24</v>
      </c>
      <c r="L152" t="s">
        <v>3046</v>
      </c>
      <c r="M152">
        <v>315</v>
      </c>
      <c r="N152">
        <v>7</v>
      </c>
      <c r="O152" t="s">
        <v>3053</v>
      </c>
      <c r="P152" t="s">
        <v>3207</v>
      </c>
      <c r="Q152">
        <v>7.7499999999999999E-2</v>
      </c>
    </row>
    <row r="153" spans="1:17" x14ac:dyDescent="0.35">
      <c r="A153" t="s">
        <v>167</v>
      </c>
      <c r="B153" t="s">
        <v>1658</v>
      </c>
      <c r="C153">
        <v>24</v>
      </c>
      <c r="D153" t="s">
        <v>2992</v>
      </c>
      <c r="E153" t="s">
        <v>3005</v>
      </c>
      <c r="F153" t="s">
        <v>3020</v>
      </c>
      <c r="G153">
        <v>28</v>
      </c>
      <c r="H153">
        <v>1681584</v>
      </c>
      <c r="I153">
        <v>317986</v>
      </c>
      <c r="J153">
        <v>17.68</v>
      </c>
      <c r="K153">
        <v>36</v>
      </c>
      <c r="L153" t="s">
        <v>3046</v>
      </c>
      <c r="M153">
        <v>316</v>
      </c>
      <c r="N153">
        <v>2</v>
      </c>
      <c r="O153" t="s">
        <v>3053</v>
      </c>
      <c r="P153" t="s">
        <v>3208</v>
      </c>
      <c r="Q153">
        <v>0.18909999999999999</v>
      </c>
    </row>
    <row r="154" spans="1:17" x14ac:dyDescent="0.35">
      <c r="A154" t="s">
        <v>168</v>
      </c>
      <c r="B154" t="s">
        <v>1659</v>
      </c>
      <c r="C154">
        <v>26</v>
      </c>
      <c r="D154" t="s">
        <v>2990</v>
      </c>
      <c r="E154" t="s">
        <v>3003</v>
      </c>
      <c r="F154" t="s">
        <v>3020</v>
      </c>
      <c r="G154">
        <v>27</v>
      </c>
      <c r="H154">
        <v>1523499</v>
      </c>
      <c r="I154">
        <v>65740</v>
      </c>
      <c r="J154">
        <v>9.0299999999999994</v>
      </c>
      <c r="K154">
        <v>48</v>
      </c>
      <c r="L154" t="s">
        <v>3050</v>
      </c>
      <c r="N154">
        <v>6</v>
      </c>
      <c r="O154" t="s">
        <v>3056</v>
      </c>
      <c r="P154" t="s">
        <v>3209</v>
      </c>
      <c r="Q154">
        <v>4.3200000000000002E-2</v>
      </c>
    </row>
    <row r="155" spans="1:17" x14ac:dyDescent="0.35">
      <c r="A155" t="s">
        <v>169</v>
      </c>
      <c r="B155" t="s">
        <v>1660</v>
      </c>
      <c r="C155">
        <v>47</v>
      </c>
      <c r="D155" t="s">
        <v>2990</v>
      </c>
      <c r="E155" t="s">
        <v>2999</v>
      </c>
      <c r="F155" t="s">
        <v>3021</v>
      </c>
      <c r="G155">
        <v>24</v>
      </c>
      <c r="H155">
        <v>2213901</v>
      </c>
      <c r="I155">
        <v>56413</v>
      </c>
      <c r="J155">
        <v>14.34</v>
      </c>
      <c r="K155">
        <v>12</v>
      </c>
      <c r="L155" t="s">
        <v>3051</v>
      </c>
      <c r="M155">
        <v>641</v>
      </c>
      <c r="N155">
        <v>2</v>
      </c>
      <c r="O155" t="s">
        <v>3059</v>
      </c>
      <c r="P155" t="s">
        <v>3210</v>
      </c>
      <c r="Q155">
        <v>2.5499999999999998E-2</v>
      </c>
    </row>
    <row r="156" spans="1:17" x14ac:dyDescent="0.35">
      <c r="A156" t="s">
        <v>170</v>
      </c>
      <c r="B156" t="s">
        <v>1661</v>
      </c>
      <c r="C156">
        <v>57</v>
      </c>
      <c r="D156" t="s">
        <v>2990</v>
      </c>
      <c r="E156" t="s">
        <v>3007</v>
      </c>
      <c r="F156" t="s">
        <v>3018</v>
      </c>
      <c r="G156">
        <v>5</v>
      </c>
      <c r="H156">
        <v>1381838</v>
      </c>
      <c r="I156">
        <v>773492</v>
      </c>
      <c r="J156">
        <v>10.17</v>
      </c>
      <c r="K156">
        <v>48</v>
      </c>
      <c r="L156" t="s">
        <v>3050</v>
      </c>
      <c r="M156">
        <v>360</v>
      </c>
      <c r="N156">
        <v>6</v>
      </c>
      <c r="O156" t="s">
        <v>3057</v>
      </c>
      <c r="P156" t="s">
        <v>3211</v>
      </c>
      <c r="Q156">
        <v>0.55979999999999996</v>
      </c>
    </row>
    <row r="157" spans="1:17" x14ac:dyDescent="0.35">
      <c r="A157" t="s">
        <v>171</v>
      </c>
      <c r="B157" t="s">
        <v>1662</v>
      </c>
      <c r="C157">
        <v>58</v>
      </c>
      <c r="D157" t="s">
        <v>2992</v>
      </c>
      <c r="E157" t="s">
        <v>2998</v>
      </c>
      <c r="F157" t="s">
        <v>3018</v>
      </c>
      <c r="G157">
        <v>28</v>
      </c>
      <c r="H157">
        <v>2154847</v>
      </c>
      <c r="I157">
        <v>390250</v>
      </c>
      <c r="J157">
        <v>22.88</v>
      </c>
      <c r="K157">
        <v>24</v>
      </c>
      <c r="L157" t="s">
        <v>3051</v>
      </c>
      <c r="M157">
        <v>371</v>
      </c>
      <c r="N157">
        <v>2</v>
      </c>
      <c r="O157" t="s">
        <v>3054</v>
      </c>
      <c r="P157" t="s">
        <v>3212</v>
      </c>
      <c r="Q157">
        <v>0.18110000000000001</v>
      </c>
    </row>
    <row r="158" spans="1:17" x14ac:dyDescent="0.35">
      <c r="A158" t="s">
        <v>172</v>
      </c>
      <c r="B158" t="s">
        <v>1663</v>
      </c>
      <c r="C158">
        <v>40</v>
      </c>
      <c r="D158" t="s">
        <v>2990</v>
      </c>
      <c r="E158" t="s">
        <v>3003</v>
      </c>
      <c r="F158" t="s">
        <v>3019</v>
      </c>
      <c r="G158">
        <v>4</v>
      </c>
      <c r="H158">
        <v>905495</v>
      </c>
      <c r="I158">
        <v>0</v>
      </c>
      <c r="J158">
        <v>13.11</v>
      </c>
      <c r="K158">
        <v>36</v>
      </c>
      <c r="L158" t="s">
        <v>3049</v>
      </c>
      <c r="M158">
        <v>658</v>
      </c>
      <c r="N158">
        <v>1</v>
      </c>
      <c r="O158" t="s">
        <v>3053</v>
      </c>
      <c r="P158" t="s">
        <v>3213</v>
      </c>
      <c r="Q158">
        <v>0.23899999999999999</v>
      </c>
    </row>
    <row r="159" spans="1:17" x14ac:dyDescent="0.35">
      <c r="A159" t="s">
        <v>173</v>
      </c>
      <c r="B159" t="s">
        <v>1664</v>
      </c>
      <c r="C159">
        <v>26</v>
      </c>
      <c r="D159" t="s">
        <v>2992</v>
      </c>
      <c r="E159" t="s">
        <v>3000</v>
      </c>
      <c r="F159" t="s">
        <v>3019</v>
      </c>
      <c r="G159">
        <v>10</v>
      </c>
      <c r="H159">
        <v>1153181</v>
      </c>
      <c r="I159">
        <v>340146</v>
      </c>
      <c r="J159">
        <v>24.4</v>
      </c>
      <c r="K159">
        <v>36</v>
      </c>
      <c r="L159" t="s">
        <v>3048</v>
      </c>
      <c r="M159">
        <v>452</v>
      </c>
      <c r="N159">
        <v>3</v>
      </c>
      <c r="O159" t="s">
        <v>3053</v>
      </c>
      <c r="P159" t="s">
        <v>3214</v>
      </c>
      <c r="Q159">
        <v>0.29499999999999998</v>
      </c>
    </row>
    <row r="160" spans="1:17" x14ac:dyDescent="0.35">
      <c r="A160" t="s">
        <v>174</v>
      </c>
      <c r="B160" t="s">
        <v>1665</v>
      </c>
      <c r="C160">
        <v>25</v>
      </c>
      <c r="D160" t="s">
        <v>2990</v>
      </c>
      <c r="E160" t="s">
        <v>3004</v>
      </c>
      <c r="F160" t="s">
        <v>3021</v>
      </c>
      <c r="G160">
        <v>12</v>
      </c>
      <c r="H160">
        <v>1480035</v>
      </c>
      <c r="I160">
        <v>434170</v>
      </c>
      <c r="J160">
        <v>24.37</v>
      </c>
      <c r="K160">
        <v>60</v>
      </c>
      <c r="L160" t="s">
        <v>3050</v>
      </c>
      <c r="M160">
        <v>692</v>
      </c>
      <c r="N160">
        <v>5</v>
      </c>
      <c r="O160" t="s">
        <v>3056</v>
      </c>
      <c r="P160" t="s">
        <v>3205</v>
      </c>
      <c r="Q160">
        <v>0.29339999999999999</v>
      </c>
    </row>
    <row r="161" spans="1:17" x14ac:dyDescent="0.35">
      <c r="A161" t="s">
        <v>175</v>
      </c>
      <c r="B161" t="s">
        <v>1666</v>
      </c>
      <c r="C161">
        <v>49</v>
      </c>
      <c r="D161" t="s">
        <v>2992</v>
      </c>
      <c r="E161" t="s">
        <v>2998</v>
      </c>
      <c r="F161" t="s">
        <v>3020</v>
      </c>
      <c r="G161">
        <v>28</v>
      </c>
      <c r="H161">
        <v>459215</v>
      </c>
      <c r="I161">
        <v>71831</v>
      </c>
      <c r="J161">
        <v>10.4</v>
      </c>
      <c r="K161">
        <v>48</v>
      </c>
      <c r="L161" t="s">
        <v>3046</v>
      </c>
      <c r="M161">
        <v>301</v>
      </c>
      <c r="N161">
        <v>0</v>
      </c>
      <c r="O161" t="s">
        <v>3054</v>
      </c>
      <c r="P161" t="s">
        <v>3215</v>
      </c>
      <c r="Q161">
        <v>0.15640000000000001</v>
      </c>
    </row>
    <row r="162" spans="1:17" x14ac:dyDescent="0.35">
      <c r="A162" t="s">
        <v>176</v>
      </c>
      <c r="B162" t="s">
        <v>1667</v>
      </c>
      <c r="C162">
        <v>32</v>
      </c>
      <c r="D162" t="s">
        <v>2992</v>
      </c>
      <c r="E162" t="s">
        <v>3005</v>
      </c>
      <c r="F162" t="s">
        <v>3020</v>
      </c>
      <c r="G162">
        <v>11</v>
      </c>
      <c r="H162">
        <v>1970008</v>
      </c>
      <c r="I162">
        <v>665303</v>
      </c>
      <c r="J162">
        <v>17.8</v>
      </c>
      <c r="K162">
        <v>48</v>
      </c>
      <c r="L162" t="s">
        <v>3050</v>
      </c>
      <c r="M162">
        <v>358</v>
      </c>
      <c r="N162">
        <v>1</v>
      </c>
      <c r="O162" t="s">
        <v>3057</v>
      </c>
      <c r="P162" t="s">
        <v>3216</v>
      </c>
      <c r="Q162">
        <v>0.3377</v>
      </c>
    </row>
    <row r="163" spans="1:17" x14ac:dyDescent="0.35">
      <c r="A163" t="s">
        <v>177</v>
      </c>
      <c r="B163" t="s">
        <v>1668</v>
      </c>
      <c r="C163">
        <v>26</v>
      </c>
      <c r="D163" t="s">
        <v>2992</v>
      </c>
      <c r="E163" t="s">
        <v>3000</v>
      </c>
      <c r="F163" t="s">
        <v>3020</v>
      </c>
      <c r="G163">
        <v>29</v>
      </c>
      <c r="H163">
        <v>1057611</v>
      </c>
      <c r="I163">
        <v>90463</v>
      </c>
      <c r="J163">
        <v>13.38</v>
      </c>
      <c r="K163">
        <v>12</v>
      </c>
      <c r="L163" t="s">
        <v>3049</v>
      </c>
      <c r="M163">
        <v>586</v>
      </c>
      <c r="N163">
        <v>0</v>
      </c>
      <c r="O163" t="s">
        <v>3052</v>
      </c>
      <c r="P163" t="s">
        <v>3098</v>
      </c>
      <c r="Q163">
        <v>8.5500000000000007E-2</v>
      </c>
    </row>
    <row r="164" spans="1:17" x14ac:dyDescent="0.35">
      <c r="A164" t="s">
        <v>178</v>
      </c>
      <c r="B164" t="s">
        <v>1669</v>
      </c>
      <c r="C164">
        <v>47</v>
      </c>
      <c r="D164" t="s">
        <v>2992</v>
      </c>
      <c r="E164" t="s">
        <v>3002</v>
      </c>
      <c r="F164" t="s">
        <v>3020</v>
      </c>
      <c r="G164">
        <v>21</v>
      </c>
      <c r="H164">
        <v>1226914</v>
      </c>
      <c r="I164">
        <v>726528</v>
      </c>
      <c r="J164">
        <v>11.26</v>
      </c>
      <c r="K164">
        <v>60</v>
      </c>
      <c r="L164" t="s">
        <v>3046</v>
      </c>
      <c r="M164">
        <v>0</v>
      </c>
      <c r="N164">
        <v>5</v>
      </c>
      <c r="O164" t="s">
        <v>3052</v>
      </c>
      <c r="P164" t="s">
        <v>3217</v>
      </c>
      <c r="Q164">
        <v>0.59219999999999995</v>
      </c>
    </row>
    <row r="165" spans="1:17" x14ac:dyDescent="0.35">
      <c r="A165" t="s">
        <v>179</v>
      </c>
      <c r="B165" t="s">
        <v>1670</v>
      </c>
      <c r="C165">
        <v>46</v>
      </c>
      <c r="D165" t="s">
        <v>2990</v>
      </c>
      <c r="E165" t="s">
        <v>3006</v>
      </c>
      <c r="F165" t="s">
        <v>3021</v>
      </c>
      <c r="G165">
        <v>14</v>
      </c>
      <c r="H165">
        <v>399780</v>
      </c>
      <c r="I165">
        <v>536479</v>
      </c>
      <c r="J165">
        <v>24.98</v>
      </c>
      <c r="K165">
        <v>36</v>
      </c>
      <c r="L165" t="s">
        <v>3050</v>
      </c>
      <c r="M165">
        <v>684</v>
      </c>
      <c r="N165">
        <v>3</v>
      </c>
      <c r="O165" t="s">
        <v>3052</v>
      </c>
      <c r="P165" t="s">
        <v>3218</v>
      </c>
      <c r="Q165">
        <v>1.3419000000000001</v>
      </c>
    </row>
    <row r="166" spans="1:17" x14ac:dyDescent="0.35">
      <c r="A166" t="s">
        <v>180</v>
      </c>
      <c r="B166" t="s">
        <v>1671</v>
      </c>
      <c r="C166">
        <v>61</v>
      </c>
      <c r="D166" t="s">
        <v>2990</v>
      </c>
      <c r="E166" t="s">
        <v>3002</v>
      </c>
      <c r="F166" t="s">
        <v>3019</v>
      </c>
      <c r="G166">
        <v>29</v>
      </c>
      <c r="H166">
        <v>1567784</v>
      </c>
      <c r="I166">
        <v>575667</v>
      </c>
      <c r="J166">
        <v>17.5</v>
      </c>
      <c r="K166">
        <v>60</v>
      </c>
      <c r="L166" t="s">
        <v>3051</v>
      </c>
      <c r="M166">
        <v>506</v>
      </c>
      <c r="N166">
        <v>1</v>
      </c>
      <c r="O166" t="s">
        <v>3054</v>
      </c>
      <c r="P166" t="s">
        <v>3219</v>
      </c>
      <c r="Q166">
        <v>0.36720000000000003</v>
      </c>
    </row>
    <row r="167" spans="1:17" x14ac:dyDescent="0.35">
      <c r="A167" t="s">
        <v>181</v>
      </c>
      <c r="B167" t="s">
        <v>1672</v>
      </c>
      <c r="C167">
        <v>22</v>
      </c>
      <c r="D167" t="s">
        <v>2990</v>
      </c>
      <c r="E167" t="s">
        <v>3007</v>
      </c>
      <c r="F167" t="s">
        <v>3021</v>
      </c>
      <c r="G167">
        <v>0</v>
      </c>
      <c r="H167">
        <v>1932374</v>
      </c>
      <c r="I167">
        <v>197718</v>
      </c>
      <c r="J167">
        <v>17.38</v>
      </c>
      <c r="K167">
        <v>12</v>
      </c>
      <c r="L167" t="s">
        <v>3047</v>
      </c>
      <c r="M167">
        <v>611</v>
      </c>
      <c r="N167">
        <v>5</v>
      </c>
      <c r="O167" t="s">
        <v>3052</v>
      </c>
      <c r="P167" t="s">
        <v>3220</v>
      </c>
      <c r="Q167">
        <v>0.1023</v>
      </c>
    </row>
    <row r="168" spans="1:17" x14ac:dyDescent="0.35">
      <c r="A168" t="s">
        <v>182</v>
      </c>
      <c r="B168" t="s">
        <v>1673</v>
      </c>
      <c r="C168">
        <v>34</v>
      </c>
      <c r="D168" t="s">
        <v>2992</v>
      </c>
      <c r="E168" t="s">
        <v>2998</v>
      </c>
      <c r="F168" t="s">
        <v>3020</v>
      </c>
      <c r="G168">
        <v>22</v>
      </c>
      <c r="H168">
        <v>510817</v>
      </c>
      <c r="I168">
        <v>327086</v>
      </c>
      <c r="J168">
        <v>12.78</v>
      </c>
      <c r="K168">
        <v>48</v>
      </c>
      <c r="L168" t="s">
        <v>3049</v>
      </c>
      <c r="M168">
        <v>422</v>
      </c>
      <c r="N168">
        <v>2</v>
      </c>
      <c r="O168" t="s">
        <v>3056</v>
      </c>
      <c r="P168" t="s">
        <v>3221</v>
      </c>
      <c r="Q168">
        <v>0.64029999999999998</v>
      </c>
    </row>
    <row r="169" spans="1:17" x14ac:dyDescent="0.35">
      <c r="A169" t="s">
        <v>183</v>
      </c>
      <c r="B169" t="s">
        <v>1674</v>
      </c>
      <c r="C169">
        <v>47</v>
      </c>
      <c r="D169" t="s">
        <v>2990</v>
      </c>
      <c r="E169" t="s">
        <v>3002</v>
      </c>
      <c r="F169" t="s">
        <v>3020</v>
      </c>
      <c r="G169">
        <v>22</v>
      </c>
      <c r="H169">
        <v>286022</v>
      </c>
      <c r="I169">
        <v>710955</v>
      </c>
      <c r="J169">
        <v>10.65</v>
      </c>
      <c r="K169">
        <v>48</v>
      </c>
      <c r="L169" t="s">
        <v>3050</v>
      </c>
      <c r="M169">
        <v>732</v>
      </c>
      <c r="N169">
        <v>3</v>
      </c>
      <c r="O169" t="s">
        <v>3056</v>
      </c>
      <c r="P169" t="s">
        <v>3222</v>
      </c>
      <c r="Q169">
        <v>2.4857</v>
      </c>
    </row>
    <row r="170" spans="1:17" x14ac:dyDescent="0.35">
      <c r="A170" t="s">
        <v>184</v>
      </c>
      <c r="B170" t="s">
        <v>1675</v>
      </c>
      <c r="C170">
        <v>24</v>
      </c>
      <c r="D170" t="s">
        <v>2992</v>
      </c>
      <c r="E170" t="s">
        <v>3002</v>
      </c>
      <c r="F170" t="s">
        <v>3020</v>
      </c>
      <c r="G170">
        <v>19</v>
      </c>
      <c r="H170">
        <v>615423</v>
      </c>
      <c r="I170">
        <v>204456</v>
      </c>
      <c r="J170">
        <v>26.21</v>
      </c>
      <c r="K170">
        <v>48</v>
      </c>
      <c r="L170" t="s">
        <v>3046</v>
      </c>
      <c r="M170">
        <v>311</v>
      </c>
      <c r="N170">
        <v>2</v>
      </c>
      <c r="O170" t="s">
        <v>3057</v>
      </c>
      <c r="P170" t="s">
        <v>3223</v>
      </c>
      <c r="Q170">
        <v>0.3322</v>
      </c>
    </row>
    <row r="171" spans="1:17" x14ac:dyDescent="0.35">
      <c r="A171" t="s">
        <v>185</v>
      </c>
      <c r="B171" t="s">
        <v>1676</v>
      </c>
      <c r="C171">
        <v>43</v>
      </c>
      <c r="E171" t="s">
        <v>3002</v>
      </c>
      <c r="F171" t="s">
        <v>3019</v>
      </c>
      <c r="G171">
        <v>4</v>
      </c>
      <c r="H171">
        <v>1736518</v>
      </c>
      <c r="I171">
        <v>313125</v>
      </c>
      <c r="J171">
        <v>15.73</v>
      </c>
      <c r="K171">
        <v>12</v>
      </c>
      <c r="L171" t="s">
        <v>3051</v>
      </c>
      <c r="M171">
        <v>675</v>
      </c>
      <c r="N171">
        <v>6</v>
      </c>
      <c r="O171" t="s">
        <v>3052</v>
      </c>
      <c r="P171" t="s">
        <v>3224</v>
      </c>
      <c r="Q171">
        <v>0.18029999999999999</v>
      </c>
    </row>
    <row r="172" spans="1:17" x14ac:dyDescent="0.35">
      <c r="A172" t="s">
        <v>186</v>
      </c>
      <c r="B172" t="s">
        <v>1677</v>
      </c>
      <c r="C172">
        <v>42</v>
      </c>
      <c r="D172" t="s">
        <v>2990</v>
      </c>
      <c r="E172" t="s">
        <v>2999</v>
      </c>
      <c r="F172" t="s">
        <v>3019</v>
      </c>
      <c r="G172">
        <v>8</v>
      </c>
      <c r="H172">
        <v>1869755</v>
      </c>
      <c r="I172">
        <v>768778</v>
      </c>
      <c r="J172">
        <v>24.66</v>
      </c>
      <c r="K172">
        <v>48</v>
      </c>
      <c r="L172" t="s">
        <v>3050</v>
      </c>
      <c r="M172">
        <v>351</v>
      </c>
      <c r="N172">
        <v>5</v>
      </c>
      <c r="O172" t="s">
        <v>3055</v>
      </c>
      <c r="P172" t="s">
        <v>3225</v>
      </c>
      <c r="Q172">
        <v>0.41120000000000001</v>
      </c>
    </row>
    <row r="173" spans="1:17" x14ac:dyDescent="0.35">
      <c r="A173" t="s">
        <v>187</v>
      </c>
      <c r="B173" t="s">
        <v>1678</v>
      </c>
      <c r="C173">
        <v>22</v>
      </c>
      <c r="D173" t="s">
        <v>2992</v>
      </c>
      <c r="E173" t="s">
        <v>3005</v>
      </c>
      <c r="F173" t="s">
        <v>3018</v>
      </c>
      <c r="G173">
        <v>17</v>
      </c>
      <c r="H173">
        <v>264080</v>
      </c>
      <c r="I173">
        <v>621160</v>
      </c>
      <c r="J173">
        <v>9.6</v>
      </c>
      <c r="K173">
        <v>24</v>
      </c>
      <c r="M173">
        <v>786</v>
      </c>
      <c r="N173">
        <v>0</v>
      </c>
      <c r="O173" t="s">
        <v>3053</v>
      </c>
      <c r="P173" t="s">
        <v>3226</v>
      </c>
      <c r="Q173">
        <v>2.3521999999999998</v>
      </c>
    </row>
    <row r="174" spans="1:17" x14ac:dyDescent="0.35">
      <c r="A174" t="s">
        <v>188</v>
      </c>
      <c r="B174" t="s">
        <v>1679</v>
      </c>
      <c r="C174">
        <v>39</v>
      </c>
      <c r="D174" t="s">
        <v>2992</v>
      </c>
      <c r="E174" t="s">
        <v>3007</v>
      </c>
      <c r="F174" t="s">
        <v>3019</v>
      </c>
      <c r="G174">
        <v>12</v>
      </c>
      <c r="H174">
        <v>1926688</v>
      </c>
      <c r="I174">
        <v>372156</v>
      </c>
      <c r="J174">
        <v>9.41</v>
      </c>
      <c r="K174">
        <v>48</v>
      </c>
      <c r="L174" t="s">
        <v>3049</v>
      </c>
      <c r="M174">
        <v>832</v>
      </c>
      <c r="N174">
        <v>3</v>
      </c>
      <c r="O174" t="s">
        <v>3053</v>
      </c>
      <c r="P174" t="s">
        <v>3227</v>
      </c>
      <c r="Q174">
        <v>0.19320000000000001</v>
      </c>
    </row>
    <row r="175" spans="1:17" x14ac:dyDescent="0.35">
      <c r="A175" t="s">
        <v>189</v>
      </c>
      <c r="B175" t="s">
        <v>1680</v>
      </c>
      <c r="C175">
        <v>34</v>
      </c>
      <c r="D175" t="s">
        <v>2992</v>
      </c>
      <c r="E175" t="s">
        <v>3003</v>
      </c>
      <c r="F175" t="s">
        <v>3018</v>
      </c>
      <c r="G175">
        <v>22</v>
      </c>
      <c r="H175">
        <v>889662</v>
      </c>
      <c r="I175">
        <v>461904</v>
      </c>
      <c r="J175">
        <v>26.17</v>
      </c>
      <c r="K175">
        <v>36</v>
      </c>
      <c r="M175">
        <v>673</v>
      </c>
      <c r="N175">
        <v>3</v>
      </c>
      <c r="O175" t="s">
        <v>3054</v>
      </c>
      <c r="P175" t="s">
        <v>3228</v>
      </c>
      <c r="Q175">
        <v>0.51919999999999999</v>
      </c>
    </row>
    <row r="176" spans="1:17" x14ac:dyDescent="0.35">
      <c r="A176" t="s">
        <v>190</v>
      </c>
      <c r="B176" t="s">
        <v>1681</v>
      </c>
      <c r="C176">
        <v>23</v>
      </c>
      <c r="D176" t="s">
        <v>2990</v>
      </c>
      <c r="E176" t="s">
        <v>3001</v>
      </c>
      <c r="F176" t="s">
        <v>3021</v>
      </c>
      <c r="G176">
        <v>20</v>
      </c>
      <c r="H176">
        <v>1115772</v>
      </c>
      <c r="I176">
        <v>392047</v>
      </c>
      <c r="J176">
        <v>9.14</v>
      </c>
      <c r="K176">
        <v>48</v>
      </c>
      <c r="L176" t="s">
        <v>3050</v>
      </c>
      <c r="M176">
        <v>444</v>
      </c>
      <c r="N176">
        <v>7</v>
      </c>
      <c r="O176" t="s">
        <v>3055</v>
      </c>
      <c r="P176" t="s">
        <v>3229</v>
      </c>
      <c r="Q176">
        <v>0.35139999999999999</v>
      </c>
    </row>
    <row r="177" spans="1:17" x14ac:dyDescent="0.35">
      <c r="A177" t="s">
        <v>191</v>
      </c>
      <c r="B177" t="s">
        <v>1682</v>
      </c>
      <c r="C177">
        <v>26</v>
      </c>
      <c r="D177" t="s">
        <v>2992</v>
      </c>
      <c r="E177" t="s">
        <v>3004</v>
      </c>
      <c r="F177" t="s">
        <v>3021</v>
      </c>
      <c r="G177">
        <v>13</v>
      </c>
      <c r="H177">
        <v>1599541</v>
      </c>
      <c r="I177">
        <v>738316</v>
      </c>
      <c r="J177">
        <v>24.84</v>
      </c>
      <c r="K177">
        <v>36</v>
      </c>
      <c r="L177" t="s">
        <v>3050</v>
      </c>
      <c r="M177">
        <v>692</v>
      </c>
      <c r="N177">
        <v>3</v>
      </c>
      <c r="O177" t="s">
        <v>3057</v>
      </c>
      <c r="P177" t="s">
        <v>3230</v>
      </c>
      <c r="Q177">
        <v>0.46160000000000001</v>
      </c>
    </row>
    <row r="178" spans="1:17" x14ac:dyDescent="0.35">
      <c r="A178" t="s">
        <v>192</v>
      </c>
      <c r="B178" t="s">
        <v>1683</v>
      </c>
      <c r="C178">
        <v>22</v>
      </c>
      <c r="D178" t="s">
        <v>2992</v>
      </c>
      <c r="E178" t="s">
        <v>3004</v>
      </c>
      <c r="F178" t="s">
        <v>3018</v>
      </c>
      <c r="G178">
        <v>16</v>
      </c>
      <c r="H178">
        <v>1678492</v>
      </c>
      <c r="I178">
        <v>163279</v>
      </c>
      <c r="J178">
        <v>14.24</v>
      </c>
      <c r="K178">
        <v>48</v>
      </c>
      <c r="L178" t="s">
        <v>3050</v>
      </c>
      <c r="M178">
        <v>633</v>
      </c>
      <c r="N178">
        <v>1</v>
      </c>
      <c r="O178" t="s">
        <v>3056</v>
      </c>
      <c r="P178" t="s">
        <v>3231</v>
      </c>
      <c r="Q178">
        <v>9.7299999999999998E-2</v>
      </c>
    </row>
    <row r="179" spans="1:17" x14ac:dyDescent="0.35">
      <c r="A179" t="s">
        <v>193</v>
      </c>
      <c r="B179" t="s">
        <v>1684</v>
      </c>
      <c r="C179">
        <v>64</v>
      </c>
      <c r="D179" t="s">
        <v>2992</v>
      </c>
      <c r="E179" t="s">
        <v>3006</v>
      </c>
      <c r="F179" t="s">
        <v>3021</v>
      </c>
      <c r="G179">
        <v>21</v>
      </c>
      <c r="H179">
        <v>1671633</v>
      </c>
      <c r="I179">
        <v>317675</v>
      </c>
      <c r="J179" t="s">
        <v>3024</v>
      </c>
      <c r="K179">
        <v>24</v>
      </c>
      <c r="L179" t="s">
        <v>3051</v>
      </c>
      <c r="M179">
        <v>403</v>
      </c>
      <c r="N179">
        <v>0</v>
      </c>
      <c r="O179" t="s">
        <v>3056</v>
      </c>
      <c r="P179" t="s">
        <v>3232</v>
      </c>
      <c r="Q179">
        <v>0.19</v>
      </c>
    </row>
    <row r="180" spans="1:17" x14ac:dyDescent="0.35">
      <c r="A180" t="s">
        <v>194</v>
      </c>
      <c r="B180" t="s">
        <v>1685</v>
      </c>
      <c r="C180">
        <v>35</v>
      </c>
      <c r="D180" t="s">
        <v>2992</v>
      </c>
      <c r="E180" t="s">
        <v>3004</v>
      </c>
      <c r="F180" t="s">
        <v>3019</v>
      </c>
      <c r="G180">
        <v>12</v>
      </c>
      <c r="H180">
        <v>1682025</v>
      </c>
      <c r="I180">
        <v>466790</v>
      </c>
      <c r="J180">
        <v>12.52</v>
      </c>
      <c r="K180">
        <v>24</v>
      </c>
      <c r="L180" t="s">
        <v>3051</v>
      </c>
      <c r="M180">
        <v>483</v>
      </c>
      <c r="N180">
        <v>3</v>
      </c>
      <c r="O180" t="s">
        <v>3054</v>
      </c>
      <c r="P180" t="s">
        <v>3233</v>
      </c>
      <c r="Q180">
        <v>0.27750000000000002</v>
      </c>
    </row>
    <row r="181" spans="1:17" x14ac:dyDescent="0.35">
      <c r="A181" t="s">
        <v>195</v>
      </c>
      <c r="B181" t="s">
        <v>1686</v>
      </c>
      <c r="C181">
        <v>45</v>
      </c>
      <c r="D181" t="s">
        <v>2992</v>
      </c>
      <c r="E181" t="s">
        <v>3004</v>
      </c>
      <c r="F181" t="s">
        <v>3021</v>
      </c>
      <c r="G181">
        <v>23</v>
      </c>
      <c r="H181">
        <v>903035</v>
      </c>
      <c r="I181">
        <v>366371</v>
      </c>
      <c r="J181">
        <v>13.26</v>
      </c>
      <c r="K181">
        <v>60</v>
      </c>
      <c r="L181" t="s">
        <v>3048</v>
      </c>
      <c r="M181">
        <v>451</v>
      </c>
      <c r="N181">
        <v>3</v>
      </c>
      <c r="O181" t="s">
        <v>3052</v>
      </c>
      <c r="P181" t="s">
        <v>3234</v>
      </c>
      <c r="Q181">
        <v>0.40570000000000001</v>
      </c>
    </row>
    <row r="182" spans="1:17" x14ac:dyDescent="0.35">
      <c r="A182" t="s">
        <v>196</v>
      </c>
      <c r="B182" t="s">
        <v>1687</v>
      </c>
      <c r="C182">
        <v>57</v>
      </c>
      <c r="D182" t="s">
        <v>2992</v>
      </c>
      <c r="E182" t="s">
        <v>3002</v>
      </c>
      <c r="F182" t="s">
        <v>3019</v>
      </c>
      <c r="G182">
        <v>5</v>
      </c>
      <c r="H182">
        <v>934950</v>
      </c>
      <c r="I182">
        <v>735339</v>
      </c>
      <c r="J182">
        <v>22.76</v>
      </c>
      <c r="K182">
        <v>60</v>
      </c>
      <c r="L182" t="s">
        <v>3051</v>
      </c>
      <c r="M182">
        <v>837</v>
      </c>
      <c r="N182">
        <v>4</v>
      </c>
      <c r="O182" t="s">
        <v>3053</v>
      </c>
      <c r="P182" t="s">
        <v>3235</v>
      </c>
      <c r="Q182">
        <v>0.78649999999999998</v>
      </c>
    </row>
    <row r="183" spans="1:17" x14ac:dyDescent="0.35">
      <c r="A183" t="s">
        <v>197</v>
      </c>
      <c r="B183" t="s">
        <v>1688</v>
      </c>
      <c r="C183">
        <v>23</v>
      </c>
      <c r="D183" t="s">
        <v>2990</v>
      </c>
      <c r="E183" t="s">
        <v>3002</v>
      </c>
      <c r="F183" t="s">
        <v>3021</v>
      </c>
      <c r="G183">
        <v>11</v>
      </c>
      <c r="H183">
        <v>2139406</v>
      </c>
      <c r="I183">
        <v>88431</v>
      </c>
      <c r="J183">
        <v>12.45</v>
      </c>
      <c r="K183">
        <v>60</v>
      </c>
      <c r="L183" t="s">
        <v>3046</v>
      </c>
      <c r="M183">
        <v>710</v>
      </c>
      <c r="N183">
        <v>0</v>
      </c>
      <c r="O183" t="s">
        <v>3054</v>
      </c>
      <c r="P183" t="s">
        <v>3236</v>
      </c>
      <c r="Q183">
        <v>4.1300000000000003E-2</v>
      </c>
    </row>
    <row r="184" spans="1:17" x14ac:dyDescent="0.35">
      <c r="A184" t="s">
        <v>198</v>
      </c>
      <c r="B184" t="s">
        <v>1689</v>
      </c>
      <c r="C184">
        <v>32</v>
      </c>
      <c r="D184" t="s">
        <v>2992</v>
      </c>
      <c r="E184" t="s">
        <v>3000</v>
      </c>
      <c r="F184" t="s">
        <v>3018</v>
      </c>
      <c r="G184">
        <v>10</v>
      </c>
      <c r="H184">
        <v>1280500</v>
      </c>
      <c r="I184">
        <v>781282</v>
      </c>
      <c r="J184">
        <v>15.95</v>
      </c>
      <c r="K184">
        <v>36</v>
      </c>
      <c r="L184" t="s">
        <v>3051</v>
      </c>
      <c r="M184">
        <v>545</v>
      </c>
      <c r="N184">
        <v>1</v>
      </c>
      <c r="O184" t="s">
        <v>3053</v>
      </c>
      <c r="P184" t="s">
        <v>3237</v>
      </c>
      <c r="Q184">
        <v>0.61009999999999998</v>
      </c>
    </row>
    <row r="185" spans="1:17" x14ac:dyDescent="0.35">
      <c r="A185" t="s">
        <v>199</v>
      </c>
      <c r="B185" t="s">
        <v>1690</v>
      </c>
      <c r="C185">
        <v>47</v>
      </c>
      <c r="D185" t="s">
        <v>2990</v>
      </c>
      <c r="E185" t="s">
        <v>3002</v>
      </c>
      <c r="F185" t="s">
        <v>3018</v>
      </c>
      <c r="G185">
        <v>21</v>
      </c>
      <c r="H185">
        <v>1314106</v>
      </c>
      <c r="I185">
        <v>700332</v>
      </c>
      <c r="J185">
        <v>14.8</v>
      </c>
      <c r="K185">
        <v>36</v>
      </c>
      <c r="L185" t="s">
        <v>3049</v>
      </c>
      <c r="M185">
        <v>598</v>
      </c>
      <c r="N185">
        <v>3</v>
      </c>
      <c r="O185" t="s">
        <v>3056</v>
      </c>
      <c r="P185" t="s">
        <v>3238</v>
      </c>
      <c r="Q185">
        <v>0.53290000000000004</v>
      </c>
    </row>
    <row r="186" spans="1:17" x14ac:dyDescent="0.35">
      <c r="A186" t="s">
        <v>200</v>
      </c>
      <c r="B186" t="s">
        <v>1691</v>
      </c>
      <c r="C186">
        <v>25</v>
      </c>
      <c r="D186" t="s">
        <v>2990</v>
      </c>
      <c r="E186" t="s">
        <v>3003</v>
      </c>
      <c r="F186" t="s">
        <v>3020</v>
      </c>
      <c r="G186">
        <v>28</v>
      </c>
      <c r="H186">
        <v>2139669</v>
      </c>
      <c r="I186">
        <v>446488</v>
      </c>
      <c r="J186">
        <v>24.05</v>
      </c>
      <c r="K186">
        <v>36</v>
      </c>
      <c r="L186" t="s">
        <v>3046</v>
      </c>
      <c r="M186">
        <v>655</v>
      </c>
      <c r="N186">
        <v>0</v>
      </c>
      <c r="O186" t="s">
        <v>3054</v>
      </c>
      <c r="P186" t="s">
        <v>3239</v>
      </c>
      <c r="Q186">
        <v>0.2087</v>
      </c>
    </row>
    <row r="187" spans="1:17" x14ac:dyDescent="0.35">
      <c r="A187" t="s">
        <v>201</v>
      </c>
      <c r="B187" t="s">
        <v>1692</v>
      </c>
      <c r="C187">
        <v>42</v>
      </c>
      <c r="D187" t="s">
        <v>2990</v>
      </c>
      <c r="E187" t="s">
        <v>3005</v>
      </c>
      <c r="F187" t="s">
        <v>3021</v>
      </c>
      <c r="G187">
        <v>20</v>
      </c>
      <c r="H187">
        <v>1365111</v>
      </c>
      <c r="I187">
        <v>343258</v>
      </c>
      <c r="J187">
        <v>11.2</v>
      </c>
      <c r="K187">
        <v>12</v>
      </c>
      <c r="L187" t="s">
        <v>3049</v>
      </c>
      <c r="N187">
        <v>3</v>
      </c>
      <c r="O187" t="s">
        <v>3052</v>
      </c>
      <c r="P187" t="s">
        <v>3240</v>
      </c>
      <c r="Q187">
        <v>0.2515</v>
      </c>
    </row>
    <row r="188" spans="1:17" x14ac:dyDescent="0.35">
      <c r="A188" t="s">
        <v>202</v>
      </c>
      <c r="B188" t="s">
        <v>1693</v>
      </c>
      <c r="C188">
        <v>50</v>
      </c>
      <c r="D188" t="s">
        <v>2990</v>
      </c>
      <c r="E188" t="s">
        <v>3006</v>
      </c>
      <c r="F188" t="s">
        <v>3021</v>
      </c>
      <c r="G188">
        <v>14</v>
      </c>
      <c r="H188">
        <v>2143571</v>
      </c>
      <c r="I188">
        <v>539570</v>
      </c>
      <c r="J188">
        <v>11.03</v>
      </c>
      <c r="K188">
        <v>24</v>
      </c>
      <c r="L188" t="s">
        <v>3049</v>
      </c>
      <c r="M188">
        <v>535</v>
      </c>
      <c r="N188">
        <v>4</v>
      </c>
      <c r="O188" t="s">
        <v>3055</v>
      </c>
      <c r="P188" t="s">
        <v>3241</v>
      </c>
      <c r="Q188">
        <v>0.25169999999999998</v>
      </c>
    </row>
    <row r="189" spans="1:17" x14ac:dyDescent="0.35">
      <c r="A189" t="s">
        <v>203</v>
      </c>
      <c r="B189" t="s">
        <v>1694</v>
      </c>
      <c r="C189">
        <v>28</v>
      </c>
      <c r="D189" t="s">
        <v>2990</v>
      </c>
      <c r="E189" t="s">
        <v>2999</v>
      </c>
      <c r="F189" t="s">
        <v>3020</v>
      </c>
      <c r="G189">
        <v>12</v>
      </c>
      <c r="H189">
        <v>1973795</v>
      </c>
      <c r="I189">
        <v>459439</v>
      </c>
      <c r="J189">
        <v>14.84</v>
      </c>
      <c r="K189">
        <v>60</v>
      </c>
      <c r="L189" t="s">
        <v>3046</v>
      </c>
      <c r="M189">
        <v>649</v>
      </c>
      <c r="N189">
        <v>7</v>
      </c>
      <c r="O189" t="s">
        <v>3054</v>
      </c>
      <c r="P189" t="s">
        <v>3242</v>
      </c>
      <c r="Q189">
        <v>0.23280000000000001</v>
      </c>
    </row>
    <row r="190" spans="1:17" x14ac:dyDescent="0.35">
      <c r="A190" t="s">
        <v>204</v>
      </c>
      <c r="B190" t="s">
        <v>1695</v>
      </c>
      <c r="C190">
        <v>38</v>
      </c>
      <c r="D190" t="s">
        <v>2992</v>
      </c>
      <c r="E190" t="s">
        <v>3006</v>
      </c>
      <c r="F190" t="s">
        <v>3020</v>
      </c>
      <c r="G190">
        <v>4</v>
      </c>
      <c r="H190">
        <v>1728075</v>
      </c>
      <c r="I190">
        <v>569999</v>
      </c>
      <c r="J190">
        <v>9.39</v>
      </c>
      <c r="K190">
        <v>36</v>
      </c>
      <c r="L190" t="s">
        <v>3047</v>
      </c>
      <c r="M190">
        <v>359</v>
      </c>
      <c r="N190">
        <v>1</v>
      </c>
      <c r="O190" t="s">
        <v>3053</v>
      </c>
      <c r="P190" t="s">
        <v>3243</v>
      </c>
      <c r="Q190">
        <v>0.32979999999999998</v>
      </c>
    </row>
    <row r="191" spans="1:17" x14ac:dyDescent="0.35">
      <c r="A191" t="s">
        <v>205</v>
      </c>
      <c r="B191" t="s">
        <v>1696</v>
      </c>
      <c r="C191">
        <v>34</v>
      </c>
      <c r="D191" t="s">
        <v>2990</v>
      </c>
      <c r="E191" t="s">
        <v>3006</v>
      </c>
      <c r="F191" t="s">
        <v>3018</v>
      </c>
      <c r="G191">
        <v>16</v>
      </c>
      <c r="H191">
        <v>1423085</v>
      </c>
      <c r="I191">
        <v>657431</v>
      </c>
      <c r="J191">
        <v>12.74</v>
      </c>
      <c r="K191">
        <v>12</v>
      </c>
      <c r="L191" t="s">
        <v>3051</v>
      </c>
      <c r="M191">
        <v>446</v>
      </c>
      <c r="N191">
        <v>3</v>
      </c>
      <c r="O191" t="s">
        <v>3053</v>
      </c>
      <c r="P191" t="s">
        <v>3244</v>
      </c>
      <c r="Q191">
        <v>0.46200000000000002</v>
      </c>
    </row>
    <row r="192" spans="1:17" x14ac:dyDescent="0.35">
      <c r="A192" t="s">
        <v>206</v>
      </c>
      <c r="B192" t="s">
        <v>1697</v>
      </c>
      <c r="C192">
        <v>62</v>
      </c>
      <c r="D192" t="s">
        <v>2992</v>
      </c>
      <c r="E192" t="s">
        <v>3007</v>
      </c>
      <c r="F192" t="s">
        <v>3019</v>
      </c>
      <c r="G192">
        <v>24</v>
      </c>
      <c r="H192">
        <v>1270668</v>
      </c>
      <c r="I192">
        <v>328362</v>
      </c>
      <c r="J192">
        <v>27.93</v>
      </c>
      <c r="K192">
        <v>60</v>
      </c>
      <c r="L192" t="s">
        <v>3049</v>
      </c>
      <c r="M192">
        <v>402</v>
      </c>
      <c r="N192">
        <v>6</v>
      </c>
      <c r="O192" t="s">
        <v>3057</v>
      </c>
      <c r="P192" t="s">
        <v>3245</v>
      </c>
      <c r="Q192">
        <v>0.25840000000000002</v>
      </c>
    </row>
    <row r="193" spans="1:17" x14ac:dyDescent="0.35">
      <c r="A193" t="s">
        <v>207</v>
      </c>
      <c r="B193" t="s">
        <v>1698</v>
      </c>
      <c r="C193">
        <v>54</v>
      </c>
      <c r="D193" t="s">
        <v>2992</v>
      </c>
      <c r="E193" t="s">
        <v>3001</v>
      </c>
      <c r="F193" t="s">
        <v>3020</v>
      </c>
      <c r="G193">
        <v>0</v>
      </c>
      <c r="H193">
        <v>1474929</v>
      </c>
      <c r="I193">
        <v>242542</v>
      </c>
      <c r="J193">
        <v>10.8</v>
      </c>
      <c r="K193">
        <v>48</v>
      </c>
      <c r="L193" t="s">
        <v>3048</v>
      </c>
      <c r="M193">
        <v>392</v>
      </c>
      <c r="N193">
        <v>1</v>
      </c>
      <c r="O193" t="s">
        <v>3053</v>
      </c>
      <c r="P193" t="s">
        <v>3246</v>
      </c>
      <c r="Q193">
        <v>0.16439999999999999</v>
      </c>
    </row>
    <row r="194" spans="1:17" x14ac:dyDescent="0.35">
      <c r="A194" t="s">
        <v>208</v>
      </c>
      <c r="B194" t="s">
        <v>1699</v>
      </c>
      <c r="C194">
        <v>29</v>
      </c>
      <c r="D194" t="s">
        <v>2990</v>
      </c>
      <c r="E194" t="s">
        <v>3002</v>
      </c>
      <c r="F194" t="s">
        <v>3021</v>
      </c>
      <c r="G194">
        <v>1</v>
      </c>
      <c r="H194">
        <v>1590706</v>
      </c>
      <c r="I194">
        <v>500808</v>
      </c>
      <c r="J194">
        <v>26.94</v>
      </c>
      <c r="K194">
        <v>48</v>
      </c>
      <c r="L194" t="s">
        <v>3050</v>
      </c>
      <c r="M194">
        <v>844</v>
      </c>
      <c r="N194">
        <v>2</v>
      </c>
      <c r="O194" t="s">
        <v>3053</v>
      </c>
      <c r="P194" t="s">
        <v>3247</v>
      </c>
      <c r="Q194">
        <v>0.31480000000000002</v>
      </c>
    </row>
    <row r="195" spans="1:17" x14ac:dyDescent="0.35">
      <c r="A195" t="s">
        <v>209</v>
      </c>
      <c r="B195" t="s">
        <v>1700</v>
      </c>
      <c r="C195">
        <v>26</v>
      </c>
      <c r="D195" t="s">
        <v>2990</v>
      </c>
      <c r="E195" t="s">
        <v>3011</v>
      </c>
      <c r="F195" t="s">
        <v>3020</v>
      </c>
      <c r="G195">
        <v>19</v>
      </c>
      <c r="H195">
        <v>1364446</v>
      </c>
      <c r="I195">
        <v>503779</v>
      </c>
      <c r="J195">
        <v>20.96</v>
      </c>
      <c r="K195">
        <v>24</v>
      </c>
      <c r="L195" t="s">
        <v>3051</v>
      </c>
      <c r="M195">
        <v>580</v>
      </c>
      <c r="N195">
        <v>2</v>
      </c>
      <c r="O195" t="s">
        <v>3054</v>
      </c>
      <c r="P195" t="s">
        <v>3248</v>
      </c>
      <c r="Q195">
        <v>0.36919999999999997</v>
      </c>
    </row>
    <row r="196" spans="1:17" x14ac:dyDescent="0.35">
      <c r="A196" t="s">
        <v>210</v>
      </c>
      <c r="B196" t="s">
        <v>1701</v>
      </c>
      <c r="C196">
        <v>59</v>
      </c>
      <c r="D196" t="s">
        <v>2992</v>
      </c>
      <c r="E196" t="s">
        <v>3004</v>
      </c>
      <c r="F196" t="s">
        <v>3021</v>
      </c>
      <c r="G196">
        <v>24</v>
      </c>
      <c r="H196">
        <v>1036101</v>
      </c>
      <c r="I196">
        <v>406328</v>
      </c>
      <c r="J196">
        <v>13.57</v>
      </c>
      <c r="K196">
        <v>36</v>
      </c>
      <c r="L196" t="s">
        <v>3046</v>
      </c>
      <c r="M196">
        <v>305</v>
      </c>
      <c r="N196">
        <v>3</v>
      </c>
      <c r="O196" t="s">
        <v>3056</v>
      </c>
      <c r="P196" t="s">
        <v>3249</v>
      </c>
      <c r="Q196">
        <v>0.39219999999999999</v>
      </c>
    </row>
    <row r="197" spans="1:17" x14ac:dyDescent="0.35">
      <c r="A197" t="s">
        <v>211</v>
      </c>
      <c r="B197" t="s">
        <v>1702</v>
      </c>
      <c r="C197">
        <v>5</v>
      </c>
      <c r="D197" t="s">
        <v>2990</v>
      </c>
      <c r="E197" t="s">
        <v>3003</v>
      </c>
      <c r="F197" t="s">
        <v>3019</v>
      </c>
      <c r="G197">
        <v>25</v>
      </c>
      <c r="H197">
        <v>987744</v>
      </c>
      <c r="I197">
        <v>679987</v>
      </c>
      <c r="J197">
        <v>26.33</v>
      </c>
      <c r="K197">
        <v>36</v>
      </c>
      <c r="L197" t="s">
        <v>3049</v>
      </c>
      <c r="M197">
        <v>780</v>
      </c>
      <c r="N197">
        <v>3</v>
      </c>
      <c r="O197" t="s">
        <v>3052</v>
      </c>
      <c r="P197" t="s">
        <v>3213</v>
      </c>
      <c r="Q197">
        <v>0.68840000000000001</v>
      </c>
    </row>
    <row r="198" spans="1:17" x14ac:dyDescent="0.35">
      <c r="A198" t="s">
        <v>212</v>
      </c>
      <c r="B198" t="s">
        <v>1703</v>
      </c>
      <c r="C198">
        <v>53</v>
      </c>
      <c r="D198" t="s">
        <v>2992</v>
      </c>
      <c r="E198" t="s">
        <v>3002</v>
      </c>
      <c r="F198" t="s">
        <v>3020</v>
      </c>
      <c r="G198">
        <v>22</v>
      </c>
      <c r="H198">
        <v>2391738</v>
      </c>
      <c r="I198">
        <v>745084</v>
      </c>
      <c r="J198">
        <v>18.09</v>
      </c>
      <c r="K198">
        <v>24</v>
      </c>
      <c r="L198" t="s">
        <v>3047</v>
      </c>
      <c r="M198">
        <v>658</v>
      </c>
      <c r="N198">
        <v>4</v>
      </c>
      <c r="O198" t="s">
        <v>3053</v>
      </c>
      <c r="P198" t="s">
        <v>3250</v>
      </c>
      <c r="Q198">
        <v>0.3115</v>
      </c>
    </row>
    <row r="199" spans="1:17" x14ac:dyDescent="0.35">
      <c r="A199" t="s">
        <v>213</v>
      </c>
      <c r="B199" t="s">
        <v>1704</v>
      </c>
      <c r="C199">
        <v>60</v>
      </c>
      <c r="D199" t="s">
        <v>2992</v>
      </c>
      <c r="E199" t="s">
        <v>3007</v>
      </c>
      <c r="F199" t="s">
        <v>3021</v>
      </c>
      <c r="G199">
        <v>20</v>
      </c>
      <c r="H199">
        <v>2206683</v>
      </c>
      <c r="I199">
        <v>175489</v>
      </c>
      <c r="J199">
        <v>18.97</v>
      </c>
      <c r="K199">
        <v>24</v>
      </c>
      <c r="L199" t="s">
        <v>3048</v>
      </c>
      <c r="N199">
        <v>4</v>
      </c>
      <c r="O199" t="s">
        <v>3053</v>
      </c>
      <c r="P199" t="s">
        <v>3251</v>
      </c>
      <c r="Q199">
        <v>7.9500000000000001E-2</v>
      </c>
    </row>
    <row r="200" spans="1:17" x14ac:dyDescent="0.35">
      <c r="A200" t="s">
        <v>214</v>
      </c>
      <c r="B200" t="s">
        <v>1705</v>
      </c>
      <c r="C200">
        <v>9</v>
      </c>
      <c r="D200" t="s">
        <v>2990</v>
      </c>
      <c r="E200" t="s">
        <v>3001</v>
      </c>
      <c r="F200" t="s">
        <v>3019</v>
      </c>
      <c r="G200">
        <v>28</v>
      </c>
      <c r="H200">
        <v>2064276</v>
      </c>
      <c r="I200">
        <v>329735</v>
      </c>
      <c r="J200">
        <v>9.11</v>
      </c>
      <c r="K200">
        <v>60</v>
      </c>
      <c r="L200" t="s">
        <v>3049</v>
      </c>
      <c r="M200">
        <v>827</v>
      </c>
      <c r="N200">
        <v>3</v>
      </c>
      <c r="O200" t="s">
        <v>3053</v>
      </c>
      <c r="P200" t="s">
        <v>3252</v>
      </c>
      <c r="Q200">
        <v>0.15970000000000001</v>
      </c>
    </row>
    <row r="201" spans="1:17" x14ac:dyDescent="0.35">
      <c r="A201" t="s">
        <v>215</v>
      </c>
      <c r="B201" t="s">
        <v>1706</v>
      </c>
      <c r="C201">
        <v>55</v>
      </c>
      <c r="D201" t="s">
        <v>2990</v>
      </c>
      <c r="E201" t="s">
        <v>3007</v>
      </c>
      <c r="F201" t="s">
        <v>3019</v>
      </c>
      <c r="G201">
        <v>10</v>
      </c>
      <c r="H201">
        <v>874780</v>
      </c>
      <c r="I201">
        <v>632242</v>
      </c>
      <c r="J201">
        <v>8.02</v>
      </c>
      <c r="K201">
        <v>12</v>
      </c>
      <c r="L201" t="s">
        <v>3046</v>
      </c>
      <c r="M201">
        <v>564</v>
      </c>
      <c r="N201">
        <v>4</v>
      </c>
      <c r="O201" t="s">
        <v>3055</v>
      </c>
      <c r="P201" t="s">
        <v>3253</v>
      </c>
      <c r="Q201">
        <v>0.72270000000000001</v>
      </c>
    </row>
    <row r="202" spans="1:17" x14ac:dyDescent="0.35">
      <c r="A202" t="s">
        <v>216</v>
      </c>
      <c r="B202" t="s">
        <v>1707</v>
      </c>
      <c r="C202">
        <v>30</v>
      </c>
      <c r="D202" t="s">
        <v>2990</v>
      </c>
      <c r="E202" t="s">
        <v>3000</v>
      </c>
      <c r="F202" t="s">
        <v>3021</v>
      </c>
      <c r="G202">
        <v>13</v>
      </c>
      <c r="H202">
        <v>2287037</v>
      </c>
      <c r="I202">
        <v>646926</v>
      </c>
      <c r="J202">
        <v>27.74</v>
      </c>
      <c r="K202">
        <v>12</v>
      </c>
      <c r="L202" t="s">
        <v>3047</v>
      </c>
      <c r="M202">
        <v>678</v>
      </c>
      <c r="N202">
        <v>6</v>
      </c>
      <c r="O202" t="s">
        <v>3053</v>
      </c>
      <c r="P202" t="s">
        <v>3254</v>
      </c>
      <c r="Q202">
        <v>0.28289999999999998</v>
      </c>
    </row>
    <row r="203" spans="1:17" x14ac:dyDescent="0.35">
      <c r="A203" t="s">
        <v>217</v>
      </c>
      <c r="B203" t="s">
        <v>1708</v>
      </c>
      <c r="C203">
        <v>41</v>
      </c>
      <c r="D203" t="s">
        <v>2990</v>
      </c>
      <c r="E203" t="s">
        <v>2999</v>
      </c>
      <c r="F203" t="s">
        <v>3018</v>
      </c>
      <c r="G203">
        <v>21</v>
      </c>
      <c r="H203">
        <v>1836321</v>
      </c>
      <c r="I203">
        <v>351310</v>
      </c>
      <c r="J203">
        <v>10.76</v>
      </c>
      <c r="K203">
        <v>24</v>
      </c>
      <c r="L203" t="s">
        <v>3049</v>
      </c>
      <c r="M203">
        <v>791</v>
      </c>
      <c r="N203">
        <v>0</v>
      </c>
      <c r="O203" t="s">
        <v>3057</v>
      </c>
      <c r="P203" t="s">
        <v>3255</v>
      </c>
      <c r="Q203">
        <v>0.1913</v>
      </c>
    </row>
    <row r="204" spans="1:17" x14ac:dyDescent="0.35">
      <c r="A204" t="s">
        <v>218</v>
      </c>
      <c r="B204" t="s">
        <v>1709</v>
      </c>
      <c r="C204">
        <v>42</v>
      </c>
      <c r="D204" t="s">
        <v>2992</v>
      </c>
      <c r="E204" t="s">
        <v>3003</v>
      </c>
      <c r="F204" t="s">
        <v>3021</v>
      </c>
      <c r="G204">
        <v>4</v>
      </c>
      <c r="H204">
        <v>1103160</v>
      </c>
      <c r="I204">
        <v>357369</v>
      </c>
      <c r="J204">
        <v>10.66</v>
      </c>
      <c r="K204">
        <v>12</v>
      </c>
      <c r="L204" t="s">
        <v>3050</v>
      </c>
      <c r="M204">
        <v>300</v>
      </c>
      <c r="N204">
        <v>7</v>
      </c>
      <c r="O204" t="s">
        <v>3052</v>
      </c>
      <c r="P204" t="s">
        <v>3098</v>
      </c>
      <c r="Q204">
        <v>0.32400000000000001</v>
      </c>
    </row>
    <row r="205" spans="1:17" x14ac:dyDescent="0.35">
      <c r="A205" t="s">
        <v>219</v>
      </c>
      <c r="B205" t="s">
        <v>1710</v>
      </c>
      <c r="C205">
        <v>46</v>
      </c>
      <c r="D205" t="s">
        <v>2992</v>
      </c>
      <c r="E205" t="s">
        <v>3002</v>
      </c>
      <c r="F205" t="s">
        <v>3020</v>
      </c>
      <c r="G205">
        <v>13</v>
      </c>
      <c r="H205">
        <v>846165</v>
      </c>
      <c r="I205">
        <v>297068</v>
      </c>
      <c r="J205">
        <v>15.86</v>
      </c>
      <c r="K205">
        <v>36</v>
      </c>
      <c r="L205" t="s">
        <v>3048</v>
      </c>
      <c r="M205">
        <v>782</v>
      </c>
      <c r="N205">
        <v>3</v>
      </c>
      <c r="O205" t="s">
        <v>3056</v>
      </c>
      <c r="P205" t="s">
        <v>3256</v>
      </c>
      <c r="Q205">
        <v>0.35110000000000002</v>
      </c>
    </row>
    <row r="206" spans="1:17" x14ac:dyDescent="0.35">
      <c r="A206" t="s">
        <v>220</v>
      </c>
      <c r="B206" t="s">
        <v>1711</v>
      </c>
      <c r="C206">
        <v>52</v>
      </c>
      <c r="D206" t="s">
        <v>2992</v>
      </c>
      <c r="E206" t="s">
        <v>3006</v>
      </c>
      <c r="F206" t="s">
        <v>3020</v>
      </c>
      <c r="G206">
        <v>25</v>
      </c>
      <c r="H206">
        <v>451830</v>
      </c>
      <c r="I206">
        <v>383898</v>
      </c>
      <c r="J206">
        <v>16.13</v>
      </c>
      <c r="K206">
        <v>24</v>
      </c>
      <c r="L206" t="s">
        <v>3048</v>
      </c>
      <c r="M206">
        <v>648</v>
      </c>
      <c r="N206">
        <v>3</v>
      </c>
      <c r="O206" t="s">
        <v>3052</v>
      </c>
      <c r="P206" t="s">
        <v>3257</v>
      </c>
      <c r="Q206">
        <v>0.84970000000000001</v>
      </c>
    </row>
    <row r="207" spans="1:17" x14ac:dyDescent="0.35">
      <c r="A207" t="s">
        <v>221</v>
      </c>
      <c r="B207" t="s">
        <v>1712</v>
      </c>
      <c r="C207">
        <v>56</v>
      </c>
      <c r="D207" t="s">
        <v>2992</v>
      </c>
      <c r="E207" t="s">
        <v>3005</v>
      </c>
      <c r="F207" t="s">
        <v>3020</v>
      </c>
      <c r="G207">
        <v>13</v>
      </c>
      <c r="H207">
        <v>1315564</v>
      </c>
      <c r="I207">
        <v>404073</v>
      </c>
      <c r="J207">
        <v>27.4</v>
      </c>
      <c r="K207">
        <v>60</v>
      </c>
      <c r="L207" t="s">
        <v>3049</v>
      </c>
      <c r="M207">
        <v>556</v>
      </c>
      <c r="N207">
        <v>2</v>
      </c>
      <c r="O207" t="s">
        <v>3057</v>
      </c>
      <c r="P207" t="s">
        <v>3258</v>
      </c>
      <c r="Q207">
        <v>0.30709999999999998</v>
      </c>
    </row>
    <row r="208" spans="1:17" x14ac:dyDescent="0.35">
      <c r="A208" t="s">
        <v>222</v>
      </c>
      <c r="B208" t="s">
        <v>1713</v>
      </c>
      <c r="C208">
        <v>34</v>
      </c>
      <c r="D208" t="s">
        <v>2992</v>
      </c>
      <c r="E208" t="s">
        <v>3000</v>
      </c>
      <c r="F208" t="s">
        <v>3018</v>
      </c>
      <c r="G208">
        <v>20</v>
      </c>
      <c r="H208">
        <v>1390355</v>
      </c>
      <c r="I208">
        <v>147927</v>
      </c>
      <c r="J208">
        <v>9.24</v>
      </c>
      <c r="K208">
        <v>12</v>
      </c>
      <c r="L208" t="s">
        <v>3050</v>
      </c>
      <c r="M208">
        <v>681</v>
      </c>
      <c r="N208">
        <v>1</v>
      </c>
      <c r="O208" t="s">
        <v>3056</v>
      </c>
      <c r="P208" t="s">
        <v>3259</v>
      </c>
      <c r="Q208">
        <v>0.10639999999999999</v>
      </c>
    </row>
    <row r="209" spans="1:17" x14ac:dyDescent="0.35">
      <c r="A209" t="s">
        <v>223</v>
      </c>
      <c r="B209" t="s">
        <v>1714</v>
      </c>
      <c r="C209">
        <v>62</v>
      </c>
      <c r="D209" t="s">
        <v>2990</v>
      </c>
      <c r="E209" t="s">
        <v>3004</v>
      </c>
      <c r="F209" t="s">
        <v>3021</v>
      </c>
      <c r="G209">
        <v>25</v>
      </c>
      <c r="H209">
        <v>1188559</v>
      </c>
      <c r="I209">
        <v>608099</v>
      </c>
      <c r="J209">
        <v>19.440000000000001</v>
      </c>
      <c r="K209">
        <v>36</v>
      </c>
      <c r="L209" t="s">
        <v>3050</v>
      </c>
      <c r="M209">
        <v>813</v>
      </c>
      <c r="N209">
        <v>2</v>
      </c>
      <c r="O209" t="s">
        <v>3057</v>
      </c>
      <c r="P209" t="s">
        <v>3260</v>
      </c>
      <c r="Q209">
        <v>0.51160000000000005</v>
      </c>
    </row>
    <row r="210" spans="1:17" x14ac:dyDescent="0.35">
      <c r="A210" t="s">
        <v>224</v>
      </c>
      <c r="B210" t="s">
        <v>1715</v>
      </c>
      <c r="C210">
        <v>62</v>
      </c>
      <c r="D210" t="s">
        <v>2992</v>
      </c>
      <c r="E210" t="s">
        <v>3006</v>
      </c>
      <c r="F210" t="s">
        <v>3021</v>
      </c>
      <c r="G210">
        <v>22</v>
      </c>
      <c r="H210">
        <v>393981</v>
      </c>
      <c r="I210">
        <v>421426</v>
      </c>
      <c r="J210">
        <v>20.55</v>
      </c>
      <c r="K210">
        <v>36</v>
      </c>
      <c r="L210" t="s">
        <v>3050</v>
      </c>
      <c r="M210">
        <v>343</v>
      </c>
      <c r="N210">
        <v>6</v>
      </c>
      <c r="O210" t="s">
        <v>3052</v>
      </c>
      <c r="P210" t="s">
        <v>3261</v>
      </c>
      <c r="Q210">
        <v>1.0697000000000001</v>
      </c>
    </row>
    <row r="211" spans="1:17" x14ac:dyDescent="0.35">
      <c r="A211" t="s">
        <v>225</v>
      </c>
      <c r="B211" t="s">
        <v>1716</v>
      </c>
      <c r="C211">
        <v>36</v>
      </c>
      <c r="D211" t="s">
        <v>2992</v>
      </c>
      <c r="E211" t="s">
        <v>3002</v>
      </c>
      <c r="F211" t="s">
        <v>3021</v>
      </c>
      <c r="G211">
        <v>11</v>
      </c>
      <c r="H211">
        <v>751107</v>
      </c>
      <c r="I211">
        <v>793210</v>
      </c>
      <c r="J211">
        <v>18.600000000000001</v>
      </c>
      <c r="K211">
        <v>48</v>
      </c>
      <c r="M211">
        <v>370</v>
      </c>
      <c r="N211">
        <v>0</v>
      </c>
      <c r="O211" t="s">
        <v>3054</v>
      </c>
      <c r="P211" t="s">
        <v>3262</v>
      </c>
      <c r="Q211">
        <v>1.0561</v>
      </c>
    </row>
    <row r="212" spans="1:17" x14ac:dyDescent="0.35">
      <c r="A212" t="s">
        <v>226</v>
      </c>
      <c r="B212" t="s">
        <v>1717</v>
      </c>
      <c r="C212">
        <v>27</v>
      </c>
      <c r="D212" t="s">
        <v>2992</v>
      </c>
      <c r="E212" t="s">
        <v>3003</v>
      </c>
      <c r="F212" t="s">
        <v>3018</v>
      </c>
      <c r="G212">
        <v>14</v>
      </c>
      <c r="H212">
        <v>2098317</v>
      </c>
      <c r="I212">
        <v>184074</v>
      </c>
      <c r="J212">
        <v>25.69</v>
      </c>
      <c r="K212">
        <v>24</v>
      </c>
      <c r="L212" t="s">
        <v>3048</v>
      </c>
      <c r="M212">
        <v>465</v>
      </c>
      <c r="N212">
        <v>7</v>
      </c>
      <c r="O212" t="s">
        <v>3054</v>
      </c>
      <c r="P212" t="s">
        <v>3263</v>
      </c>
      <c r="Q212">
        <v>8.77E-2</v>
      </c>
    </row>
    <row r="213" spans="1:17" x14ac:dyDescent="0.35">
      <c r="A213" t="s">
        <v>227</v>
      </c>
      <c r="B213" t="s">
        <v>1718</v>
      </c>
      <c r="C213">
        <v>55</v>
      </c>
      <c r="D213" t="s">
        <v>2990</v>
      </c>
      <c r="E213" t="s">
        <v>3005</v>
      </c>
      <c r="F213" t="s">
        <v>3019</v>
      </c>
      <c r="G213">
        <v>3</v>
      </c>
      <c r="H213">
        <v>986242</v>
      </c>
      <c r="I213">
        <v>56683</v>
      </c>
      <c r="J213">
        <v>9.7100000000000009</v>
      </c>
      <c r="K213">
        <v>36</v>
      </c>
      <c r="L213" t="s">
        <v>3046</v>
      </c>
      <c r="M213">
        <v>509</v>
      </c>
      <c r="N213">
        <v>7</v>
      </c>
      <c r="O213" t="s">
        <v>3056</v>
      </c>
      <c r="P213" t="s">
        <v>3264</v>
      </c>
      <c r="Q213">
        <v>5.7500000000000002E-2</v>
      </c>
    </row>
    <row r="214" spans="1:17" x14ac:dyDescent="0.35">
      <c r="A214" t="s">
        <v>228</v>
      </c>
      <c r="B214" t="s">
        <v>1719</v>
      </c>
      <c r="C214">
        <v>64</v>
      </c>
      <c r="D214" t="s">
        <v>2990</v>
      </c>
      <c r="E214" t="s">
        <v>3004</v>
      </c>
      <c r="F214" t="s">
        <v>3020</v>
      </c>
      <c r="G214">
        <v>7</v>
      </c>
      <c r="H214">
        <v>665757</v>
      </c>
      <c r="I214">
        <v>272156</v>
      </c>
      <c r="J214">
        <v>15.87</v>
      </c>
      <c r="K214">
        <v>12</v>
      </c>
      <c r="L214" t="s">
        <v>3049</v>
      </c>
      <c r="M214">
        <v>766</v>
      </c>
      <c r="N214">
        <v>6</v>
      </c>
      <c r="O214" t="s">
        <v>3052</v>
      </c>
      <c r="P214" t="s">
        <v>3265</v>
      </c>
      <c r="Q214">
        <v>0.4088</v>
      </c>
    </row>
    <row r="215" spans="1:17" x14ac:dyDescent="0.35">
      <c r="A215" t="s">
        <v>229</v>
      </c>
      <c r="B215" t="s">
        <v>1720</v>
      </c>
      <c r="C215">
        <v>26</v>
      </c>
      <c r="D215" t="s">
        <v>2990</v>
      </c>
      <c r="E215" t="s">
        <v>3012</v>
      </c>
      <c r="F215" t="s">
        <v>3018</v>
      </c>
      <c r="G215">
        <v>3</v>
      </c>
      <c r="H215">
        <v>1228173</v>
      </c>
      <c r="I215">
        <v>112764</v>
      </c>
      <c r="J215">
        <v>12.49</v>
      </c>
      <c r="K215">
        <v>48</v>
      </c>
      <c r="L215" t="s">
        <v>3049</v>
      </c>
      <c r="M215">
        <v>613</v>
      </c>
      <c r="N215">
        <v>7</v>
      </c>
      <c r="O215" t="s">
        <v>3057</v>
      </c>
      <c r="P215" t="s">
        <v>3266</v>
      </c>
      <c r="Q215">
        <v>9.1800000000000007E-2</v>
      </c>
    </row>
    <row r="216" spans="1:17" x14ac:dyDescent="0.35">
      <c r="A216" t="s">
        <v>230</v>
      </c>
      <c r="B216" t="s">
        <v>1721</v>
      </c>
      <c r="C216">
        <v>49</v>
      </c>
      <c r="D216" t="s">
        <v>2990</v>
      </c>
      <c r="E216" t="s">
        <v>3007</v>
      </c>
      <c r="F216" t="s">
        <v>3019</v>
      </c>
      <c r="G216">
        <v>12</v>
      </c>
      <c r="H216">
        <v>1372929</v>
      </c>
      <c r="I216">
        <v>419009</v>
      </c>
      <c r="J216">
        <v>18.2</v>
      </c>
      <c r="K216">
        <v>48</v>
      </c>
      <c r="L216" t="s">
        <v>3048</v>
      </c>
      <c r="M216">
        <v>476</v>
      </c>
      <c r="N216">
        <v>0</v>
      </c>
      <c r="O216" t="s">
        <v>3054</v>
      </c>
      <c r="P216" t="s">
        <v>3267</v>
      </c>
      <c r="Q216">
        <v>0.30520000000000003</v>
      </c>
    </row>
    <row r="217" spans="1:17" x14ac:dyDescent="0.35">
      <c r="A217" t="s">
        <v>231</v>
      </c>
      <c r="B217" t="s">
        <v>1722</v>
      </c>
      <c r="C217">
        <v>63</v>
      </c>
      <c r="D217" t="s">
        <v>2992</v>
      </c>
      <c r="E217" t="s">
        <v>2999</v>
      </c>
      <c r="F217" t="s">
        <v>3021</v>
      </c>
      <c r="G217">
        <v>15</v>
      </c>
      <c r="H217">
        <v>890644</v>
      </c>
      <c r="I217">
        <v>711967</v>
      </c>
      <c r="J217">
        <v>8.86</v>
      </c>
      <c r="K217">
        <v>36</v>
      </c>
      <c r="L217" t="s">
        <v>3046</v>
      </c>
      <c r="M217">
        <v>526</v>
      </c>
      <c r="N217">
        <v>1</v>
      </c>
      <c r="O217" t="s">
        <v>3052</v>
      </c>
      <c r="P217" t="s">
        <v>3268</v>
      </c>
      <c r="Q217">
        <v>0.7994</v>
      </c>
    </row>
    <row r="218" spans="1:17" x14ac:dyDescent="0.35">
      <c r="A218" t="s">
        <v>232</v>
      </c>
      <c r="B218" t="s">
        <v>1723</v>
      </c>
      <c r="C218">
        <v>26</v>
      </c>
      <c r="D218" t="s">
        <v>2992</v>
      </c>
      <c r="E218" t="s">
        <v>3006</v>
      </c>
      <c r="F218" t="s">
        <v>3018</v>
      </c>
      <c r="G218">
        <v>13</v>
      </c>
      <c r="I218">
        <v>590895</v>
      </c>
      <c r="J218">
        <v>27.39</v>
      </c>
      <c r="K218">
        <v>48</v>
      </c>
      <c r="L218" t="s">
        <v>3049</v>
      </c>
      <c r="M218">
        <v>693</v>
      </c>
      <c r="N218">
        <v>3</v>
      </c>
      <c r="O218" t="s">
        <v>3052</v>
      </c>
      <c r="P218" t="s">
        <v>3269</v>
      </c>
      <c r="Q218">
        <v>2.1193</v>
      </c>
    </row>
    <row r="219" spans="1:17" x14ac:dyDescent="0.35">
      <c r="A219" t="s">
        <v>233</v>
      </c>
      <c r="B219" t="s">
        <v>1724</v>
      </c>
      <c r="C219">
        <v>58</v>
      </c>
      <c r="D219" t="s">
        <v>2990</v>
      </c>
      <c r="E219" t="s">
        <v>2999</v>
      </c>
      <c r="F219" t="s">
        <v>3019</v>
      </c>
      <c r="G219">
        <v>29</v>
      </c>
      <c r="H219">
        <v>2154259</v>
      </c>
      <c r="I219">
        <v>468828</v>
      </c>
      <c r="J219">
        <v>9.4700000000000006</v>
      </c>
      <c r="K219">
        <v>36</v>
      </c>
      <c r="L219" t="s">
        <v>3046</v>
      </c>
      <c r="M219">
        <v>570</v>
      </c>
      <c r="N219">
        <v>7</v>
      </c>
      <c r="O219" t="s">
        <v>3056</v>
      </c>
      <c r="P219" t="s">
        <v>3081</v>
      </c>
      <c r="Q219">
        <v>0.21759999999999999</v>
      </c>
    </row>
    <row r="220" spans="1:17" x14ac:dyDescent="0.35">
      <c r="A220" t="s">
        <v>234</v>
      </c>
      <c r="B220" t="s">
        <v>1725</v>
      </c>
      <c r="C220">
        <v>33</v>
      </c>
      <c r="D220" t="s">
        <v>2992</v>
      </c>
      <c r="E220" t="s">
        <v>3006</v>
      </c>
      <c r="F220" t="s">
        <v>3018</v>
      </c>
      <c r="G220">
        <v>15</v>
      </c>
      <c r="H220">
        <v>2176170</v>
      </c>
      <c r="I220">
        <v>71717</v>
      </c>
      <c r="J220">
        <v>18.98</v>
      </c>
      <c r="K220">
        <v>24</v>
      </c>
      <c r="L220" t="s">
        <v>3047</v>
      </c>
      <c r="N220">
        <v>1</v>
      </c>
      <c r="O220" t="s">
        <v>3053</v>
      </c>
      <c r="P220" t="s">
        <v>3270</v>
      </c>
      <c r="Q220">
        <v>3.3000000000000002E-2</v>
      </c>
    </row>
    <row r="221" spans="1:17" x14ac:dyDescent="0.35">
      <c r="A221" t="s">
        <v>235</v>
      </c>
      <c r="B221" t="s">
        <v>1726</v>
      </c>
      <c r="C221">
        <v>40</v>
      </c>
      <c r="D221" t="s">
        <v>2992</v>
      </c>
      <c r="E221" t="s">
        <v>3007</v>
      </c>
      <c r="F221" t="s">
        <v>3021</v>
      </c>
      <c r="G221">
        <v>20</v>
      </c>
      <c r="H221">
        <v>1570281</v>
      </c>
      <c r="I221">
        <v>780278</v>
      </c>
      <c r="J221">
        <v>15.62</v>
      </c>
      <c r="K221">
        <v>24</v>
      </c>
      <c r="L221" t="s">
        <v>3049</v>
      </c>
      <c r="M221">
        <v>594</v>
      </c>
      <c r="N221">
        <v>3</v>
      </c>
      <c r="O221" t="s">
        <v>3052</v>
      </c>
      <c r="P221" t="s">
        <v>3271</v>
      </c>
      <c r="Q221">
        <v>0.49690000000000001</v>
      </c>
    </row>
    <row r="222" spans="1:17" x14ac:dyDescent="0.35">
      <c r="A222" t="s">
        <v>236</v>
      </c>
      <c r="B222" t="s">
        <v>1727</v>
      </c>
      <c r="C222">
        <v>55</v>
      </c>
      <c r="D222" t="s">
        <v>2994</v>
      </c>
      <c r="E222" t="s">
        <v>3004</v>
      </c>
      <c r="F222" t="s">
        <v>3020</v>
      </c>
      <c r="G222">
        <v>0</v>
      </c>
      <c r="H222">
        <v>2359431</v>
      </c>
      <c r="I222">
        <v>237741</v>
      </c>
      <c r="J222">
        <v>14.15</v>
      </c>
      <c r="K222">
        <v>60</v>
      </c>
      <c r="L222" t="s">
        <v>3048</v>
      </c>
      <c r="M222">
        <v>381</v>
      </c>
      <c r="N222">
        <v>6</v>
      </c>
      <c r="O222" t="s">
        <v>3057</v>
      </c>
      <c r="P222" t="s">
        <v>3229</v>
      </c>
      <c r="Q222">
        <v>0.1008</v>
      </c>
    </row>
    <row r="223" spans="1:17" x14ac:dyDescent="0.35">
      <c r="A223" t="s">
        <v>237</v>
      </c>
      <c r="B223" t="s">
        <v>1728</v>
      </c>
      <c r="C223">
        <v>48</v>
      </c>
      <c r="D223" t="s">
        <v>2992</v>
      </c>
      <c r="E223" t="s">
        <v>3005</v>
      </c>
      <c r="F223" t="s">
        <v>3020</v>
      </c>
      <c r="G223">
        <v>22</v>
      </c>
      <c r="H223">
        <v>344053</v>
      </c>
      <c r="I223">
        <v>82507</v>
      </c>
      <c r="J223">
        <v>11.81</v>
      </c>
      <c r="K223">
        <v>24</v>
      </c>
      <c r="L223" t="s">
        <v>3049</v>
      </c>
      <c r="M223">
        <v>378</v>
      </c>
      <c r="N223">
        <v>6</v>
      </c>
      <c r="O223" t="s">
        <v>3054</v>
      </c>
      <c r="P223" t="s">
        <v>3272</v>
      </c>
      <c r="Q223">
        <v>0.23980000000000001</v>
      </c>
    </row>
    <row r="224" spans="1:17" x14ac:dyDescent="0.35">
      <c r="A224" t="s">
        <v>238</v>
      </c>
      <c r="B224" t="s">
        <v>1729</v>
      </c>
      <c r="C224">
        <v>61</v>
      </c>
      <c r="D224" t="s">
        <v>2992</v>
      </c>
      <c r="E224" t="s">
        <v>3006</v>
      </c>
      <c r="F224" t="s">
        <v>3018</v>
      </c>
      <c r="G224">
        <v>1</v>
      </c>
      <c r="H224">
        <v>1965516</v>
      </c>
      <c r="I224">
        <v>754412</v>
      </c>
      <c r="J224">
        <v>10.7</v>
      </c>
      <c r="K224">
        <v>60</v>
      </c>
      <c r="L224" t="s">
        <v>3050</v>
      </c>
      <c r="M224">
        <v>514</v>
      </c>
      <c r="N224">
        <v>0</v>
      </c>
      <c r="O224" t="s">
        <v>3055</v>
      </c>
      <c r="P224" t="s">
        <v>3273</v>
      </c>
      <c r="Q224">
        <v>0.38379999999999997</v>
      </c>
    </row>
    <row r="225" spans="1:17" x14ac:dyDescent="0.35">
      <c r="A225" t="s">
        <v>239</v>
      </c>
      <c r="B225" t="s">
        <v>1730</v>
      </c>
      <c r="C225">
        <v>43</v>
      </c>
      <c r="D225" t="s">
        <v>2992</v>
      </c>
      <c r="E225" t="s">
        <v>3005</v>
      </c>
      <c r="G225">
        <v>19</v>
      </c>
      <c r="H225">
        <v>1546808</v>
      </c>
      <c r="I225">
        <v>662762</v>
      </c>
      <c r="J225">
        <v>9.1300000000000008</v>
      </c>
      <c r="K225">
        <v>60</v>
      </c>
      <c r="L225" t="s">
        <v>3046</v>
      </c>
      <c r="M225">
        <v>512</v>
      </c>
      <c r="N225">
        <v>4</v>
      </c>
      <c r="O225" t="s">
        <v>3054</v>
      </c>
      <c r="P225" t="s">
        <v>3182</v>
      </c>
      <c r="Q225">
        <v>0.42849999999999999</v>
      </c>
    </row>
    <row r="226" spans="1:17" x14ac:dyDescent="0.35">
      <c r="A226" t="s">
        <v>240</v>
      </c>
      <c r="B226" t="s">
        <v>1731</v>
      </c>
      <c r="C226">
        <v>28</v>
      </c>
      <c r="D226" t="s">
        <v>2992</v>
      </c>
      <c r="E226" t="s">
        <v>3007</v>
      </c>
      <c r="F226" t="s">
        <v>3019</v>
      </c>
      <c r="G226">
        <v>0</v>
      </c>
      <c r="H226">
        <v>201253</v>
      </c>
      <c r="I226">
        <v>581446</v>
      </c>
      <c r="J226">
        <v>26.19</v>
      </c>
      <c r="K226">
        <v>60</v>
      </c>
      <c r="L226" t="s">
        <v>3047</v>
      </c>
      <c r="M226">
        <v>322</v>
      </c>
      <c r="N226">
        <v>1</v>
      </c>
      <c r="O226" t="s">
        <v>3055</v>
      </c>
      <c r="P226" t="s">
        <v>3274</v>
      </c>
      <c r="Q226">
        <v>2.8891</v>
      </c>
    </row>
    <row r="227" spans="1:17" x14ac:dyDescent="0.35">
      <c r="A227" t="s">
        <v>241</v>
      </c>
      <c r="B227" t="s">
        <v>1732</v>
      </c>
      <c r="C227">
        <v>34</v>
      </c>
      <c r="D227" t="s">
        <v>2990</v>
      </c>
      <c r="E227" t="s">
        <v>3007</v>
      </c>
      <c r="F227" t="s">
        <v>3021</v>
      </c>
      <c r="G227">
        <v>3</v>
      </c>
      <c r="H227">
        <v>1206657</v>
      </c>
      <c r="I227">
        <v>799976</v>
      </c>
      <c r="J227">
        <v>25.95</v>
      </c>
      <c r="K227">
        <v>36</v>
      </c>
      <c r="L227" t="s">
        <v>3050</v>
      </c>
      <c r="M227">
        <v>537</v>
      </c>
      <c r="N227">
        <v>3</v>
      </c>
      <c r="O227" t="s">
        <v>3054</v>
      </c>
      <c r="P227" t="s">
        <v>3275</v>
      </c>
      <c r="Q227">
        <v>0.66300000000000003</v>
      </c>
    </row>
    <row r="228" spans="1:17" x14ac:dyDescent="0.35">
      <c r="A228" t="s">
        <v>242</v>
      </c>
      <c r="B228" t="s">
        <v>1733</v>
      </c>
      <c r="C228">
        <v>43</v>
      </c>
      <c r="D228" t="s">
        <v>2990</v>
      </c>
      <c r="E228" t="s">
        <v>3006</v>
      </c>
      <c r="F228" t="s">
        <v>3018</v>
      </c>
      <c r="G228">
        <v>11</v>
      </c>
      <c r="H228">
        <v>1827608</v>
      </c>
      <c r="I228">
        <v>498356</v>
      </c>
      <c r="J228">
        <v>24.35</v>
      </c>
      <c r="K228">
        <v>36</v>
      </c>
      <c r="L228" t="s">
        <v>3048</v>
      </c>
      <c r="M228">
        <v>413</v>
      </c>
      <c r="N228">
        <v>6</v>
      </c>
      <c r="O228" t="s">
        <v>3054</v>
      </c>
      <c r="P228" t="s">
        <v>3276</v>
      </c>
      <c r="Q228">
        <v>0.2727</v>
      </c>
    </row>
    <row r="229" spans="1:17" x14ac:dyDescent="0.35">
      <c r="A229" t="s">
        <v>243</v>
      </c>
      <c r="B229" t="s">
        <v>1734</v>
      </c>
      <c r="C229">
        <v>39</v>
      </c>
      <c r="D229" t="s">
        <v>2990</v>
      </c>
      <c r="E229" t="s">
        <v>2998</v>
      </c>
      <c r="F229" t="s">
        <v>3019</v>
      </c>
      <c r="G229">
        <v>9</v>
      </c>
      <c r="H229">
        <v>275028</v>
      </c>
      <c r="I229">
        <v>551147</v>
      </c>
      <c r="J229">
        <v>9.08</v>
      </c>
      <c r="K229">
        <v>60</v>
      </c>
      <c r="L229" t="s">
        <v>3049</v>
      </c>
      <c r="M229">
        <v>446</v>
      </c>
      <c r="N229">
        <v>3</v>
      </c>
      <c r="O229" t="s">
        <v>3054</v>
      </c>
      <c r="P229" t="s">
        <v>3277</v>
      </c>
      <c r="Q229">
        <v>2.004</v>
      </c>
    </row>
    <row r="230" spans="1:17" x14ac:dyDescent="0.35">
      <c r="A230" t="s">
        <v>244</v>
      </c>
      <c r="B230" t="s">
        <v>1735</v>
      </c>
      <c r="C230">
        <v>62</v>
      </c>
      <c r="D230" t="s">
        <v>2992</v>
      </c>
      <c r="E230" t="s">
        <v>2998</v>
      </c>
      <c r="F230" t="s">
        <v>3021</v>
      </c>
      <c r="G230">
        <v>13</v>
      </c>
      <c r="H230">
        <v>1302437</v>
      </c>
      <c r="I230">
        <v>62291</v>
      </c>
      <c r="J230">
        <v>18.64</v>
      </c>
      <c r="K230">
        <v>36</v>
      </c>
      <c r="L230" t="s">
        <v>3051</v>
      </c>
      <c r="M230">
        <v>686</v>
      </c>
      <c r="N230">
        <v>1</v>
      </c>
      <c r="O230" t="s">
        <v>3055</v>
      </c>
      <c r="P230" t="s">
        <v>3278</v>
      </c>
      <c r="Q230">
        <v>4.7800000000000002E-2</v>
      </c>
    </row>
    <row r="231" spans="1:17" x14ac:dyDescent="0.35">
      <c r="A231" t="s">
        <v>245</v>
      </c>
      <c r="B231" t="s">
        <v>1736</v>
      </c>
      <c r="C231">
        <v>60</v>
      </c>
      <c r="D231" t="s">
        <v>2992</v>
      </c>
      <c r="E231" t="s">
        <v>3007</v>
      </c>
      <c r="F231" t="s">
        <v>3018</v>
      </c>
      <c r="G231">
        <v>21</v>
      </c>
      <c r="H231">
        <v>1482549</v>
      </c>
      <c r="I231">
        <v>260016</v>
      </c>
      <c r="J231">
        <v>10.23</v>
      </c>
      <c r="K231">
        <v>48</v>
      </c>
      <c r="L231" t="s">
        <v>3047</v>
      </c>
      <c r="M231">
        <v>714</v>
      </c>
      <c r="N231">
        <v>6</v>
      </c>
      <c r="O231" t="s">
        <v>3052</v>
      </c>
      <c r="P231" t="s">
        <v>3279</v>
      </c>
      <c r="Q231">
        <v>0.1754</v>
      </c>
    </row>
    <row r="232" spans="1:17" x14ac:dyDescent="0.35">
      <c r="A232" t="s">
        <v>246</v>
      </c>
      <c r="B232" t="s">
        <v>1737</v>
      </c>
      <c r="C232">
        <v>53</v>
      </c>
      <c r="E232" t="s">
        <v>2999</v>
      </c>
      <c r="F232" t="s">
        <v>3019</v>
      </c>
      <c r="G232">
        <v>19</v>
      </c>
      <c r="H232">
        <v>783291</v>
      </c>
      <c r="I232">
        <v>605457</v>
      </c>
      <c r="J232">
        <v>26.22</v>
      </c>
      <c r="K232">
        <v>36</v>
      </c>
      <c r="L232" t="s">
        <v>3046</v>
      </c>
      <c r="M232">
        <v>547</v>
      </c>
      <c r="N232">
        <v>3</v>
      </c>
      <c r="O232" t="s">
        <v>3052</v>
      </c>
      <c r="P232" t="s">
        <v>3280</v>
      </c>
      <c r="Q232">
        <v>0.77300000000000002</v>
      </c>
    </row>
    <row r="233" spans="1:17" x14ac:dyDescent="0.35">
      <c r="A233" t="s">
        <v>247</v>
      </c>
      <c r="B233" t="s">
        <v>1738</v>
      </c>
      <c r="C233">
        <v>50</v>
      </c>
      <c r="D233" t="s">
        <v>2990</v>
      </c>
      <c r="E233" t="s">
        <v>2998</v>
      </c>
      <c r="F233" t="s">
        <v>3021</v>
      </c>
      <c r="G233">
        <v>8</v>
      </c>
      <c r="H233">
        <v>2307599</v>
      </c>
      <c r="I233">
        <v>640273</v>
      </c>
      <c r="J233">
        <v>19.88</v>
      </c>
      <c r="K233">
        <v>24</v>
      </c>
      <c r="L233" t="s">
        <v>3047</v>
      </c>
      <c r="M233">
        <v>528</v>
      </c>
      <c r="N233">
        <v>3</v>
      </c>
      <c r="O233" t="s">
        <v>3054</v>
      </c>
      <c r="P233" t="s">
        <v>3281</v>
      </c>
      <c r="Q233">
        <v>0.27750000000000002</v>
      </c>
    </row>
    <row r="234" spans="1:17" x14ac:dyDescent="0.35">
      <c r="A234" t="s">
        <v>248</v>
      </c>
      <c r="B234" t="s">
        <v>1739</v>
      </c>
      <c r="C234">
        <v>52</v>
      </c>
      <c r="D234" t="s">
        <v>2992</v>
      </c>
      <c r="E234" t="s">
        <v>3001</v>
      </c>
      <c r="F234" t="s">
        <v>3021</v>
      </c>
      <c r="G234">
        <v>19</v>
      </c>
      <c r="H234">
        <v>2031317</v>
      </c>
      <c r="I234">
        <v>69067</v>
      </c>
      <c r="J234">
        <v>24.17</v>
      </c>
      <c r="K234">
        <v>24</v>
      </c>
      <c r="L234" t="s">
        <v>3047</v>
      </c>
      <c r="M234">
        <v>811</v>
      </c>
      <c r="N234">
        <v>5</v>
      </c>
      <c r="O234" t="s">
        <v>3055</v>
      </c>
      <c r="P234" t="s">
        <v>3282</v>
      </c>
      <c r="Q234">
        <v>3.4000000000000002E-2</v>
      </c>
    </row>
    <row r="235" spans="1:17" x14ac:dyDescent="0.35">
      <c r="A235" t="s">
        <v>249</v>
      </c>
      <c r="B235" t="s">
        <v>1740</v>
      </c>
      <c r="C235">
        <v>34</v>
      </c>
      <c r="D235" t="s">
        <v>2992</v>
      </c>
      <c r="E235" t="s">
        <v>2998</v>
      </c>
      <c r="F235" t="s">
        <v>3020</v>
      </c>
      <c r="G235">
        <v>7</v>
      </c>
      <c r="H235">
        <v>1935548</v>
      </c>
      <c r="I235">
        <v>386142</v>
      </c>
      <c r="J235">
        <v>12.92</v>
      </c>
      <c r="K235">
        <v>48</v>
      </c>
      <c r="L235" t="s">
        <v>3048</v>
      </c>
      <c r="M235">
        <v>447</v>
      </c>
      <c r="N235">
        <v>4</v>
      </c>
      <c r="O235" t="s">
        <v>3055</v>
      </c>
      <c r="P235" t="s">
        <v>3283</v>
      </c>
      <c r="Q235">
        <v>0.19950000000000001</v>
      </c>
    </row>
    <row r="236" spans="1:17" x14ac:dyDescent="0.35">
      <c r="A236" t="s">
        <v>250</v>
      </c>
      <c r="B236" t="s">
        <v>1741</v>
      </c>
      <c r="C236">
        <v>62</v>
      </c>
      <c r="D236" t="s">
        <v>2990</v>
      </c>
      <c r="E236" t="s">
        <v>3006</v>
      </c>
      <c r="F236" t="s">
        <v>3018</v>
      </c>
      <c r="G236">
        <v>10</v>
      </c>
      <c r="H236">
        <v>1270445</v>
      </c>
      <c r="I236">
        <v>137797</v>
      </c>
      <c r="J236">
        <v>18.36</v>
      </c>
      <c r="K236">
        <v>48</v>
      </c>
      <c r="L236" t="s">
        <v>3048</v>
      </c>
      <c r="M236">
        <v>453</v>
      </c>
      <c r="N236">
        <v>0</v>
      </c>
      <c r="O236" t="s">
        <v>3055</v>
      </c>
      <c r="P236" t="s">
        <v>3284</v>
      </c>
      <c r="Q236">
        <v>0.1085</v>
      </c>
    </row>
    <row r="237" spans="1:17" x14ac:dyDescent="0.35">
      <c r="A237" t="s">
        <v>251</v>
      </c>
      <c r="B237" t="s">
        <v>1742</v>
      </c>
      <c r="C237">
        <v>24</v>
      </c>
      <c r="D237" t="s">
        <v>2992</v>
      </c>
      <c r="E237" t="s">
        <v>3004</v>
      </c>
      <c r="F237" t="s">
        <v>3021</v>
      </c>
      <c r="G237">
        <v>14</v>
      </c>
      <c r="H237">
        <v>1918993</v>
      </c>
      <c r="I237">
        <v>792791</v>
      </c>
      <c r="J237">
        <v>27.57</v>
      </c>
      <c r="K237">
        <v>24</v>
      </c>
      <c r="L237" t="s">
        <v>3049</v>
      </c>
      <c r="M237">
        <v>355</v>
      </c>
      <c r="N237">
        <v>6</v>
      </c>
      <c r="O237" t="s">
        <v>3057</v>
      </c>
      <c r="P237" t="s">
        <v>3285</v>
      </c>
      <c r="Q237">
        <v>0.41310000000000002</v>
      </c>
    </row>
    <row r="238" spans="1:17" x14ac:dyDescent="0.35">
      <c r="A238" t="s">
        <v>252</v>
      </c>
      <c r="B238" t="s">
        <v>1743</v>
      </c>
      <c r="C238">
        <v>41</v>
      </c>
      <c r="D238" t="s">
        <v>2992</v>
      </c>
      <c r="E238" t="s">
        <v>3004</v>
      </c>
      <c r="F238" t="s">
        <v>3020</v>
      </c>
      <c r="G238">
        <v>3</v>
      </c>
      <c r="H238">
        <v>1549909</v>
      </c>
      <c r="I238">
        <v>415395</v>
      </c>
      <c r="J238">
        <v>25.32</v>
      </c>
      <c r="K238">
        <v>36</v>
      </c>
      <c r="L238" t="s">
        <v>3048</v>
      </c>
      <c r="M238">
        <v>437</v>
      </c>
      <c r="N238">
        <v>2</v>
      </c>
      <c r="O238" t="s">
        <v>3055</v>
      </c>
      <c r="P238" t="s">
        <v>3286</v>
      </c>
      <c r="Q238">
        <v>0.26800000000000002</v>
      </c>
    </row>
    <row r="239" spans="1:17" x14ac:dyDescent="0.35">
      <c r="A239" t="s">
        <v>253</v>
      </c>
      <c r="B239" t="s">
        <v>1744</v>
      </c>
      <c r="C239">
        <v>55</v>
      </c>
      <c r="D239" t="s">
        <v>2992</v>
      </c>
      <c r="E239" t="s">
        <v>3001</v>
      </c>
      <c r="F239" t="s">
        <v>3021</v>
      </c>
      <c r="G239">
        <v>14</v>
      </c>
      <c r="H239">
        <v>1213316</v>
      </c>
      <c r="I239">
        <v>43248</v>
      </c>
      <c r="J239">
        <v>26.45</v>
      </c>
      <c r="K239">
        <v>36</v>
      </c>
      <c r="L239" t="s">
        <v>3046</v>
      </c>
      <c r="M239">
        <v>313</v>
      </c>
      <c r="N239">
        <v>1</v>
      </c>
      <c r="O239" t="s">
        <v>3053</v>
      </c>
      <c r="P239" t="s">
        <v>3287</v>
      </c>
      <c r="Q239">
        <v>3.56E-2</v>
      </c>
    </row>
    <row r="240" spans="1:17" x14ac:dyDescent="0.35">
      <c r="A240" t="s">
        <v>254</v>
      </c>
      <c r="B240" t="s">
        <v>1745</v>
      </c>
      <c r="C240">
        <v>38</v>
      </c>
      <c r="D240" t="s">
        <v>2992</v>
      </c>
      <c r="E240" t="s">
        <v>3010</v>
      </c>
      <c r="F240" t="s">
        <v>3018</v>
      </c>
      <c r="G240">
        <v>16</v>
      </c>
      <c r="H240">
        <v>1051522</v>
      </c>
      <c r="I240">
        <v>532493</v>
      </c>
      <c r="J240" t="s">
        <v>3025</v>
      </c>
      <c r="K240">
        <v>36</v>
      </c>
      <c r="L240" t="s">
        <v>3048</v>
      </c>
      <c r="M240">
        <v>308</v>
      </c>
      <c r="N240">
        <v>4</v>
      </c>
      <c r="O240" t="s">
        <v>3057</v>
      </c>
      <c r="P240" t="s">
        <v>3288</v>
      </c>
      <c r="Q240">
        <v>0.50639999999999996</v>
      </c>
    </row>
    <row r="241" spans="1:17" x14ac:dyDescent="0.35">
      <c r="A241" t="s">
        <v>255</v>
      </c>
      <c r="B241" t="s">
        <v>1746</v>
      </c>
      <c r="C241">
        <v>44</v>
      </c>
      <c r="D241" t="s">
        <v>2992</v>
      </c>
      <c r="E241" t="s">
        <v>3001</v>
      </c>
      <c r="G241">
        <v>14</v>
      </c>
      <c r="H241">
        <v>321398</v>
      </c>
      <c r="I241">
        <v>204626</v>
      </c>
      <c r="J241">
        <v>17.16</v>
      </c>
      <c r="K241">
        <v>60</v>
      </c>
      <c r="L241" t="s">
        <v>3048</v>
      </c>
      <c r="M241">
        <v>614</v>
      </c>
      <c r="N241">
        <v>6</v>
      </c>
      <c r="O241" t="s">
        <v>3055</v>
      </c>
      <c r="P241" t="s">
        <v>3289</v>
      </c>
      <c r="Q241">
        <v>0.63670000000000004</v>
      </c>
    </row>
    <row r="242" spans="1:17" x14ac:dyDescent="0.35">
      <c r="A242" t="s">
        <v>256</v>
      </c>
      <c r="B242" t="s">
        <v>1747</v>
      </c>
      <c r="C242">
        <v>43</v>
      </c>
      <c r="D242" t="s">
        <v>2990</v>
      </c>
      <c r="E242" t="s">
        <v>3000</v>
      </c>
      <c r="F242" t="s">
        <v>3018</v>
      </c>
      <c r="G242">
        <v>15</v>
      </c>
      <c r="H242">
        <v>615684</v>
      </c>
      <c r="I242">
        <v>368754</v>
      </c>
      <c r="J242">
        <v>14.32</v>
      </c>
      <c r="K242">
        <v>24</v>
      </c>
      <c r="L242" t="s">
        <v>3050</v>
      </c>
      <c r="N242">
        <v>2</v>
      </c>
      <c r="O242" t="s">
        <v>3052</v>
      </c>
      <c r="P242" t="s">
        <v>3290</v>
      </c>
      <c r="Q242">
        <v>0.59889999999999999</v>
      </c>
    </row>
    <row r="243" spans="1:17" x14ac:dyDescent="0.35">
      <c r="A243" t="s">
        <v>257</v>
      </c>
      <c r="B243" t="s">
        <v>1748</v>
      </c>
      <c r="C243">
        <v>48</v>
      </c>
      <c r="D243" t="s">
        <v>2992</v>
      </c>
      <c r="E243" t="s">
        <v>3001</v>
      </c>
      <c r="F243" t="s">
        <v>3018</v>
      </c>
      <c r="G243">
        <v>6</v>
      </c>
      <c r="H243">
        <v>1679698</v>
      </c>
      <c r="I243">
        <v>642006</v>
      </c>
      <c r="J243">
        <v>22.44</v>
      </c>
      <c r="K243">
        <v>24</v>
      </c>
      <c r="L243" t="s">
        <v>3051</v>
      </c>
      <c r="M243">
        <v>523</v>
      </c>
      <c r="N243">
        <v>5</v>
      </c>
      <c r="O243" t="s">
        <v>3054</v>
      </c>
      <c r="P243" t="s">
        <v>3291</v>
      </c>
      <c r="Q243">
        <v>0.38219999999999998</v>
      </c>
    </row>
    <row r="244" spans="1:17" x14ac:dyDescent="0.35">
      <c r="A244" t="s">
        <v>258</v>
      </c>
      <c r="B244" t="s">
        <v>1749</v>
      </c>
      <c r="C244">
        <v>37</v>
      </c>
      <c r="D244" t="s">
        <v>2990</v>
      </c>
      <c r="E244" t="s">
        <v>2999</v>
      </c>
      <c r="F244" t="s">
        <v>3019</v>
      </c>
      <c r="G244">
        <v>14</v>
      </c>
      <c r="H244">
        <v>617625</v>
      </c>
      <c r="I244">
        <v>321994</v>
      </c>
      <c r="J244">
        <v>25.75</v>
      </c>
      <c r="K244">
        <v>36</v>
      </c>
      <c r="L244" t="s">
        <v>3046</v>
      </c>
      <c r="M244">
        <v>354</v>
      </c>
      <c r="N244">
        <v>5</v>
      </c>
      <c r="O244" t="s">
        <v>3054</v>
      </c>
      <c r="P244" t="s">
        <v>3292</v>
      </c>
      <c r="Q244">
        <v>0.52129999999999999</v>
      </c>
    </row>
    <row r="245" spans="1:17" x14ac:dyDescent="0.35">
      <c r="A245" t="s">
        <v>259</v>
      </c>
      <c r="B245" t="s">
        <v>1750</v>
      </c>
      <c r="C245">
        <v>63</v>
      </c>
      <c r="D245" t="s">
        <v>2992</v>
      </c>
      <c r="E245" t="s">
        <v>3001</v>
      </c>
      <c r="F245" t="s">
        <v>3018</v>
      </c>
      <c r="G245">
        <v>2</v>
      </c>
      <c r="H245">
        <v>2005977</v>
      </c>
      <c r="I245">
        <v>554730</v>
      </c>
      <c r="J245">
        <v>19.09</v>
      </c>
      <c r="K245">
        <v>24</v>
      </c>
      <c r="L245" t="s">
        <v>3047</v>
      </c>
      <c r="M245">
        <v>567</v>
      </c>
      <c r="N245">
        <v>3</v>
      </c>
      <c r="O245" t="s">
        <v>3052</v>
      </c>
      <c r="P245" t="s">
        <v>3293</v>
      </c>
      <c r="Q245">
        <v>0.27650000000000002</v>
      </c>
    </row>
    <row r="246" spans="1:17" x14ac:dyDescent="0.35">
      <c r="A246" t="s">
        <v>260</v>
      </c>
      <c r="B246" t="s">
        <v>1590</v>
      </c>
      <c r="C246">
        <v>23</v>
      </c>
      <c r="D246" t="s">
        <v>2992</v>
      </c>
      <c r="E246" t="s">
        <v>3000</v>
      </c>
      <c r="F246" t="s">
        <v>3019</v>
      </c>
      <c r="G246">
        <v>3</v>
      </c>
      <c r="I246">
        <v>633079</v>
      </c>
      <c r="J246">
        <v>25</v>
      </c>
      <c r="K246">
        <v>24</v>
      </c>
      <c r="L246" t="s">
        <v>3048</v>
      </c>
      <c r="M246">
        <v>653</v>
      </c>
      <c r="N246">
        <v>4</v>
      </c>
      <c r="O246" t="s">
        <v>3053</v>
      </c>
      <c r="P246" t="s">
        <v>3294</v>
      </c>
      <c r="Q246">
        <v>3.3679999999999999</v>
      </c>
    </row>
    <row r="247" spans="1:17" x14ac:dyDescent="0.35">
      <c r="A247" t="s">
        <v>261</v>
      </c>
      <c r="B247" t="s">
        <v>1751</v>
      </c>
      <c r="C247">
        <v>61</v>
      </c>
      <c r="D247" t="s">
        <v>2992</v>
      </c>
      <c r="E247" t="s">
        <v>2998</v>
      </c>
      <c r="F247" t="s">
        <v>3020</v>
      </c>
      <c r="G247">
        <v>22</v>
      </c>
      <c r="H247">
        <v>840902</v>
      </c>
      <c r="I247">
        <v>313946</v>
      </c>
      <c r="J247">
        <v>11.24</v>
      </c>
      <c r="K247">
        <v>36</v>
      </c>
      <c r="L247" t="s">
        <v>3051</v>
      </c>
      <c r="M247">
        <v>573</v>
      </c>
      <c r="N247">
        <v>3</v>
      </c>
      <c r="O247" t="s">
        <v>3053</v>
      </c>
      <c r="P247" t="s">
        <v>3295</v>
      </c>
      <c r="Q247">
        <v>0.37330000000000002</v>
      </c>
    </row>
    <row r="248" spans="1:17" x14ac:dyDescent="0.35">
      <c r="A248" t="s">
        <v>262</v>
      </c>
      <c r="B248" t="s">
        <v>1752</v>
      </c>
      <c r="C248">
        <v>21</v>
      </c>
      <c r="D248" t="s">
        <v>2990</v>
      </c>
      <c r="E248" t="s">
        <v>3007</v>
      </c>
      <c r="F248" t="s">
        <v>3021</v>
      </c>
      <c r="G248">
        <v>7</v>
      </c>
      <c r="H248">
        <v>2322052</v>
      </c>
      <c r="I248">
        <v>399747</v>
      </c>
      <c r="J248">
        <v>16.07</v>
      </c>
      <c r="K248">
        <v>12</v>
      </c>
      <c r="L248" t="s">
        <v>3046</v>
      </c>
      <c r="M248">
        <v>574</v>
      </c>
      <c r="N248">
        <v>6</v>
      </c>
      <c r="O248" t="s">
        <v>3053</v>
      </c>
      <c r="P248" t="s">
        <v>3296</v>
      </c>
      <c r="Q248">
        <v>0.17219999999999999</v>
      </c>
    </row>
    <row r="249" spans="1:17" x14ac:dyDescent="0.35">
      <c r="A249" t="s">
        <v>263</v>
      </c>
      <c r="B249" t="s">
        <v>1753</v>
      </c>
      <c r="C249">
        <v>46</v>
      </c>
      <c r="D249" t="s">
        <v>2992</v>
      </c>
      <c r="E249" t="s">
        <v>3004</v>
      </c>
      <c r="F249" t="s">
        <v>3020</v>
      </c>
      <c r="G249">
        <v>18</v>
      </c>
      <c r="H249">
        <v>1112477</v>
      </c>
      <c r="I249">
        <v>507602</v>
      </c>
      <c r="J249">
        <v>15.14</v>
      </c>
      <c r="K249">
        <v>12</v>
      </c>
      <c r="L249" t="s">
        <v>3050</v>
      </c>
      <c r="M249">
        <v>330</v>
      </c>
      <c r="N249">
        <v>2</v>
      </c>
      <c r="O249" t="s">
        <v>3055</v>
      </c>
      <c r="P249" t="s">
        <v>3297</v>
      </c>
      <c r="Q249">
        <v>0.45629999999999998</v>
      </c>
    </row>
    <row r="250" spans="1:17" x14ac:dyDescent="0.35">
      <c r="A250" t="s">
        <v>264</v>
      </c>
      <c r="B250" t="s">
        <v>1754</v>
      </c>
      <c r="C250">
        <v>32</v>
      </c>
      <c r="D250" t="s">
        <v>2990</v>
      </c>
      <c r="E250" t="s">
        <v>2998</v>
      </c>
      <c r="F250" t="s">
        <v>3021</v>
      </c>
      <c r="G250">
        <v>4</v>
      </c>
      <c r="H250">
        <v>1410844</v>
      </c>
      <c r="I250">
        <v>354971</v>
      </c>
      <c r="J250">
        <v>23.33</v>
      </c>
      <c r="K250">
        <v>24</v>
      </c>
      <c r="L250" t="s">
        <v>3049</v>
      </c>
      <c r="M250">
        <v>677</v>
      </c>
      <c r="N250">
        <v>0</v>
      </c>
      <c r="O250" t="s">
        <v>3054</v>
      </c>
      <c r="P250" t="s">
        <v>3298</v>
      </c>
      <c r="Q250">
        <v>0.25159999999999999</v>
      </c>
    </row>
    <row r="251" spans="1:17" x14ac:dyDescent="0.35">
      <c r="A251" t="s">
        <v>265</v>
      </c>
      <c r="B251" t="s">
        <v>1755</v>
      </c>
      <c r="C251">
        <v>28</v>
      </c>
      <c r="D251" t="s">
        <v>2992</v>
      </c>
      <c r="E251" t="s">
        <v>3005</v>
      </c>
      <c r="F251" t="s">
        <v>3019</v>
      </c>
      <c r="G251">
        <v>16</v>
      </c>
      <c r="H251">
        <v>1490077</v>
      </c>
      <c r="I251">
        <v>567473</v>
      </c>
      <c r="J251">
        <v>22.35</v>
      </c>
      <c r="K251">
        <v>36</v>
      </c>
      <c r="L251" t="s">
        <v>3047</v>
      </c>
      <c r="M251">
        <v>758</v>
      </c>
      <c r="N251">
        <v>1</v>
      </c>
      <c r="O251" t="s">
        <v>3057</v>
      </c>
      <c r="P251" t="s">
        <v>3299</v>
      </c>
      <c r="Q251">
        <v>0.38080000000000003</v>
      </c>
    </row>
    <row r="252" spans="1:17" x14ac:dyDescent="0.35">
      <c r="A252" t="s">
        <v>266</v>
      </c>
      <c r="B252" t="s">
        <v>1756</v>
      </c>
      <c r="C252">
        <v>35</v>
      </c>
      <c r="D252" t="s">
        <v>2992</v>
      </c>
      <c r="E252" t="s">
        <v>2998</v>
      </c>
      <c r="F252" t="s">
        <v>3019</v>
      </c>
      <c r="G252">
        <v>20</v>
      </c>
      <c r="H252">
        <v>506916</v>
      </c>
      <c r="I252">
        <v>142258</v>
      </c>
      <c r="J252">
        <v>21.23</v>
      </c>
      <c r="K252">
        <v>60</v>
      </c>
      <c r="L252" t="s">
        <v>3050</v>
      </c>
      <c r="M252">
        <v>524</v>
      </c>
      <c r="N252">
        <v>0</v>
      </c>
      <c r="O252" t="s">
        <v>3054</v>
      </c>
      <c r="P252" t="s">
        <v>3300</v>
      </c>
      <c r="Q252">
        <v>0.28060000000000002</v>
      </c>
    </row>
    <row r="253" spans="1:17" x14ac:dyDescent="0.35">
      <c r="A253" t="s">
        <v>267</v>
      </c>
      <c r="B253" t="s">
        <v>1757</v>
      </c>
      <c r="C253">
        <v>55</v>
      </c>
      <c r="D253" t="s">
        <v>2990</v>
      </c>
      <c r="E253" t="s">
        <v>3006</v>
      </c>
      <c r="F253" t="s">
        <v>3018</v>
      </c>
      <c r="G253">
        <v>29</v>
      </c>
      <c r="H253">
        <v>309350</v>
      </c>
      <c r="I253">
        <v>614557</v>
      </c>
      <c r="J253">
        <v>21.26</v>
      </c>
      <c r="K253">
        <v>24</v>
      </c>
      <c r="L253" t="s">
        <v>3046</v>
      </c>
      <c r="M253">
        <v>598</v>
      </c>
      <c r="N253">
        <v>0</v>
      </c>
      <c r="O253" t="s">
        <v>3052</v>
      </c>
      <c r="P253" t="s">
        <v>3301</v>
      </c>
      <c r="Q253">
        <v>1.9865999999999999</v>
      </c>
    </row>
    <row r="254" spans="1:17" x14ac:dyDescent="0.35">
      <c r="A254" t="s">
        <v>268</v>
      </c>
      <c r="B254" t="s">
        <v>1758</v>
      </c>
      <c r="C254">
        <v>46</v>
      </c>
      <c r="D254" t="s">
        <v>2992</v>
      </c>
      <c r="E254" t="s">
        <v>3005</v>
      </c>
      <c r="F254" t="s">
        <v>3019</v>
      </c>
      <c r="G254">
        <v>14</v>
      </c>
      <c r="H254">
        <v>1590822</v>
      </c>
      <c r="I254">
        <v>745453</v>
      </c>
      <c r="J254">
        <v>19.559999999999999</v>
      </c>
      <c r="K254">
        <v>36</v>
      </c>
      <c r="L254" t="s">
        <v>3046</v>
      </c>
      <c r="M254">
        <v>686</v>
      </c>
      <c r="N254">
        <v>5</v>
      </c>
      <c r="O254" t="s">
        <v>3054</v>
      </c>
      <c r="P254" t="s">
        <v>3302</v>
      </c>
      <c r="Q254">
        <v>0.46860000000000002</v>
      </c>
    </row>
    <row r="255" spans="1:17" x14ac:dyDescent="0.35">
      <c r="A255" t="s">
        <v>269</v>
      </c>
      <c r="B255" t="s">
        <v>1759</v>
      </c>
      <c r="C255">
        <v>59</v>
      </c>
      <c r="D255" t="s">
        <v>2990</v>
      </c>
      <c r="E255" t="s">
        <v>3006</v>
      </c>
      <c r="F255" t="s">
        <v>3021</v>
      </c>
      <c r="G255">
        <v>13</v>
      </c>
      <c r="H255">
        <v>1989377</v>
      </c>
      <c r="I255">
        <v>391513</v>
      </c>
      <c r="J255">
        <v>20.38</v>
      </c>
      <c r="K255">
        <v>12</v>
      </c>
      <c r="L255" t="s">
        <v>3051</v>
      </c>
      <c r="M255">
        <v>465</v>
      </c>
      <c r="N255">
        <v>7</v>
      </c>
      <c r="O255" t="s">
        <v>3052</v>
      </c>
      <c r="P255" t="s">
        <v>3303</v>
      </c>
      <c r="Q255">
        <v>0.1968</v>
      </c>
    </row>
    <row r="256" spans="1:17" x14ac:dyDescent="0.35">
      <c r="A256" t="s">
        <v>270</v>
      </c>
      <c r="B256" t="s">
        <v>1760</v>
      </c>
      <c r="C256">
        <v>31</v>
      </c>
      <c r="D256" t="s">
        <v>2990</v>
      </c>
      <c r="E256" t="s">
        <v>3005</v>
      </c>
      <c r="F256" t="s">
        <v>3019</v>
      </c>
      <c r="G256">
        <v>5</v>
      </c>
      <c r="H256">
        <v>2160290</v>
      </c>
      <c r="I256">
        <v>228859</v>
      </c>
      <c r="J256">
        <v>8.56</v>
      </c>
      <c r="K256">
        <v>12</v>
      </c>
      <c r="L256" t="s">
        <v>3051</v>
      </c>
      <c r="M256">
        <v>693</v>
      </c>
      <c r="N256">
        <v>1</v>
      </c>
      <c r="O256" t="s">
        <v>3055</v>
      </c>
      <c r="P256" t="s">
        <v>3304</v>
      </c>
      <c r="Q256">
        <v>0.10589999999999999</v>
      </c>
    </row>
    <row r="257" spans="1:17" x14ac:dyDescent="0.35">
      <c r="A257" t="s">
        <v>271</v>
      </c>
      <c r="B257" t="s">
        <v>1761</v>
      </c>
      <c r="C257">
        <v>64</v>
      </c>
      <c r="D257" t="s">
        <v>2992</v>
      </c>
      <c r="E257" t="s">
        <v>3004</v>
      </c>
      <c r="F257" t="s">
        <v>3021</v>
      </c>
      <c r="G257">
        <v>8</v>
      </c>
      <c r="H257">
        <v>1407146</v>
      </c>
      <c r="I257">
        <v>694533</v>
      </c>
      <c r="J257">
        <v>17.3</v>
      </c>
      <c r="K257">
        <v>24</v>
      </c>
      <c r="L257" t="s">
        <v>3046</v>
      </c>
      <c r="M257">
        <v>683</v>
      </c>
      <c r="N257">
        <v>7</v>
      </c>
      <c r="O257" t="s">
        <v>3055</v>
      </c>
      <c r="P257" t="s">
        <v>3305</v>
      </c>
      <c r="Q257">
        <v>0.49359999999999998</v>
      </c>
    </row>
    <row r="258" spans="1:17" x14ac:dyDescent="0.35">
      <c r="A258" t="s">
        <v>272</v>
      </c>
      <c r="B258" t="s">
        <v>1762</v>
      </c>
      <c r="C258">
        <v>24</v>
      </c>
      <c r="D258" t="s">
        <v>2992</v>
      </c>
      <c r="E258" t="s">
        <v>3003</v>
      </c>
      <c r="F258" t="s">
        <v>3018</v>
      </c>
      <c r="G258">
        <v>11</v>
      </c>
      <c r="H258">
        <v>1206630</v>
      </c>
      <c r="I258">
        <v>497177</v>
      </c>
      <c r="J258">
        <v>16.399999999999999</v>
      </c>
      <c r="K258">
        <v>12</v>
      </c>
      <c r="L258" t="s">
        <v>3049</v>
      </c>
      <c r="M258">
        <v>654</v>
      </c>
      <c r="N258">
        <v>0</v>
      </c>
      <c r="O258" t="s">
        <v>3053</v>
      </c>
      <c r="P258" t="s">
        <v>3102</v>
      </c>
      <c r="Q258">
        <v>0.41199999999999998</v>
      </c>
    </row>
    <row r="259" spans="1:17" x14ac:dyDescent="0.35">
      <c r="A259" t="s">
        <v>273</v>
      </c>
      <c r="B259" t="s">
        <v>1763</v>
      </c>
      <c r="C259">
        <v>25</v>
      </c>
      <c r="D259" t="s">
        <v>2990</v>
      </c>
      <c r="E259" t="s">
        <v>3005</v>
      </c>
      <c r="F259" t="s">
        <v>3019</v>
      </c>
      <c r="G259">
        <v>24</v>
      </c>
      <c r="H259">
        <v>190699</v>
      </c>
      <c r="I259">
        <v>315064</v>
      </c>
      <c r="J259">
        <v>26.37</v>
      </c>
      <c r="K259">
        <v>12</v>
      </c>
      <c r="L259" t="s">
        <v>3047</v>
      </c>
      <c r="M259">
        <v>844</v>
      </c>
      <c r="N259">
        <v>7</v>
      </c>
      <c r="O259" t="s">
        <v>3055</v>
      </c>
      <c r="P259" t="s">
        <v>3306</v>
      </c>
      <c r="Q259">
        <v>1.6521999999999999</v>
      </c>
    </row>
    <row r="260" spans="1:17" x14ac:dyDescent="0.35">
      <c r="A260" t="s">
        <v>274</v>
      </c>
      <c r="B260" t="s">
        <v>1764</v>
      </c>
      <c r="C260">
        <v>64</v>
      </c>
      <c r="D260" t="s">
        <v>2990</v>
      </c>
      <c r="E260" t="s">
        <v>3007</v>
      </c>
      <c r="F260" t="s">
        <v>3021</v>
      </c>
      <c r="G260">
        <v>11</v>
      </c>
      <c r="H260">
        <v>1735979</v>
      </c>
      <c r="I260">
        <v>320486</v>
      </c>
      <c r="J260">
        <v>20.45</v>
      </c>
      <c r="K260">
        <v>24</v>
      </c>
      <c r="L260" t="s">
        <v>3046</v>
      </c>
      <c r="M260">
        <v>539</v>
      </c>
      <c r="N260">
        <v>1</v>
      </c>
      <c r="O260" t="s">
        <v>3053</v>
      </c>
      <c r="P260" t="s">
        <v>3307</v>
      </c>
      <c r="Q260">
        <v>0.18459999999999999</v>
      </c>
    </row>
    <row r="261" spans="1:17" x14ac:dyDescent="0.35">
      <c r="A261" t="s">
        <v>275</v>
      </c>
      <c r="B261" t="s">
        <v>1765</v>
      </c>
      <c r="C261">
        <v>60</v>
      </c>
      <c r="D261" t="s">
        <v>2992</v>
      </c>
      <c r="E261" t="s">
        <v>2998</v>
      </c>
      <c r="F261" t="s">
        <v>3018</v>
      </c>
      <c r="G261">
        <v>25</v>
      </c>
      <c r="H261">
        <v>1033695</v>
      </c>
      <c r="I261">
        <v>580608</v>
      </c>
      <c r="J261">
        <v>20.91</v>
      </c>
      <c r="K261">
        <v>24</v>
      </c>
      <c r="L261" t="s">
        <v>3050</v>
      </c>
      <c r="M261">
        <v>732</v>
      </c>
      <c r="N261">
        <v>0</v>
      </c>
      <c r="O261" t="s">
        <v>3056</v>
      </c>
      <c r="P261" t="s">
        <v>3308</v>
      </c>
      <c r="Q261">
        <v>0.56169999999999998</v>
      </c>
    </row>
    <row r="262" spans="1:17" x14ac:dyDescent="0.35">
      <c r="A262" t="s">
        <v>276</v>
      </c>
      <c r="B262" t="s">
        <v>1766</v>
      </c>
      <c r="C262">
        <v>25</v>
      </c>
      <c r="D262" t="s">
        <v>2990</v>
      </c>
      <c r="E262" t="s">
        <v>3005</v>
      </c>
      <c r="F262" t="s">
        <v>3018</v>
      </c>
      <c r="G262">
        <v>13</v>
      </c>
      <c r="H262">
        <v>609332</v>
      </c>
      <c r="I262">
        <v>581836</v>
      </c>
      <c r="J262">
        <v>21.42</v>
      </c>
      <c r="K262">
        <v>36</v>
      </c>
      <c r="L262" t="s">
        <v>3051</v>
      </c>
      <c r="M262">
        <v>324</v>
      </c>
      <c r="N262">
        <v>0</v>
      </c>
      <c r="O262" t="s">
        <v>3056</v>
      </c>
      <c r="P262" t="s">
        <v>3309</v>
      </c>
      <c r="Q262">
        <v>0.95489999999999997</v>
      </c>
    </row>
    <row r="263" spans="1:17" x14ac:dyDescent="0.35">
      <c r="A263" t="s">
        <v>277</v>
      </c>
      <c r="B263" t="s">
        <v>1767</v>
      </c>
      <c r="C263">
        <v>51</v>
      </c>
      <c r="D263" t="s">
        <v>2992</v>
      </c>
      <c r="E263" t="s">
        <v>3004</v>
      </c>
      <c r="F263" t="s">
        <v>3020</v>
      </c>
      <c r="G263">
        <v>7</v>
      </c>
      <c r="H263">
        <v>-198073</v>
      </c>
      <c r="I263">
        <v>218522</v>
      </c>
      <c r="J263">
        <v>18.809999999999999</v>
      </c>
      <c r="K263">
        <v>12</v>
      </c>
      <c r="L263" t="s">
        <v>3050</v>
      </c>
      <c r="M263">
        <v>398</v>
      </c>
      <c r="N263">
        <v>4</v>
      </c>
      <c r="O263" t="s">
        <v>3052</v>
      </c>
      <c r="P263" t="s">
        <v>3210</v>
      </c>
      <c r="Q263">
        <v>1.1032</v>
      </c>
    </row>
    <row r="264" spans="1:17" x14ac:dyDescent="0.35">
      <c r="A264" t="s">
        <v>278</v>
      </c>
      <c r="B264" t="s">
        <v>1768</v>
      </c>
      <c r="C264">
        <v>33</v>
      </c>
      <c r="D264" t="s">
        <v>2990</v>
      </c>
      <c r="E264" t="s">
        <v>2999</v>
      </c>
      <c r="F264" t="s">
        <v>3018</v>
      </c>
      <c r="G264">
        <v>27</v>
      </c>
      <c r="H264">
        <v>274018</v>
      </c>
      <c r="I264">
        <v>319188</v>
      </c>
      <c r="J264">
        <v>20.51</v>
      </c>
      <c r="K264">
        <v>48</v>
      </c>
      <c r="L264" t="s">
        <v>3048</v>
      </c>
      <c r="M264">
        <v>627</v>
      </c>
      <c r="N264">
        <v>3</v>
      </c>
      <c r="O264" t="s">
        <v>3053</v>
      </c>
      <c r="P264" t="s">
        <v>3310</v>
      </c>
      <c r="Q264">
        <v>1.1648000000000001</v>
      </c>
    </row>
    <row r="265" spans="1:17" x14ac:dyDescent="0.35">
      <c r="A265" t="s">
        <v>279</v>
      </c>
      <c r="B265" t="s">
        <v>1769</v>
      </c>
      <c r="C265">
        <v>46</v>
      </c>
      <c r="D265" t="s">
        <v>2992</v>
      </c>
      <c r="E265" t="s">
        <v>2998</v>
      </c>
      <c r="F265" t="s">
        <v>3020</v>
      </c>
      <c r="G265">
        <v>7</v>
      </c>
      <c r="H265">
        <v>1728229</v>
      </c>
      <c r="I265">
        <v>390858</v>
      </c>
      <c r="J265">
        <v>16.39</v>
      </c>
      <c r="K265">
        <v>36</v>
      </c>
      <c r="M265">
        <v>485</v>
      </c>
      <c r="N265">
        <v>7</v>
      </c>
      <c r="O265" t="s">
        <v>3053</v>
      </c>
      <c r="P265" t="s">
        <v>3311</v>
      </c>
      <c r="Q265">
        <v>0.22620000000000001</v>
      </c>
    </row>
    <row r="266" spans="1:17" x14ac:dyDescent="0.35">
      <c r="A266" t="s">
        <v>280</v>
      </c>
      <c r="B266" t="s">
        <v>1770</v>
      </c>
      <c r="C266">
        <v>27</v>
      </c>
      <c r="E266" t="s">
        <v>3006</v>
      </c>
      <c r="F266" t="s">
        <v>3021</v>
      </c>
      <c r="G266">
        <v>12</v>
      </c>
      <c r="H266">
        <v>272324</v>
      </c>
      <c r="I266">
        <v>501725</v>
      </c>
      <c r="J266">
        <v>21.55</v>
      </c>
      <c r="K266">
        <v>12</v>
      </c>
      <c r="L266" t="s">
        <v>3048</v>
      </c>
      <c r="M266">
        <v>438</v>
      </c>
      <c r="N266">
        <v>7</v>
      </c>
      <c r="O266" t="s">
        <v>3054</v>
      </c>
      <c r="P266" t="s">
        <v>3312</v>
      </c>
      <c r="Q266">
        <v>1.8424</v>
      </c>
    </row>
    <row r="267" spans="1:17" x14ac:dyDescent="0.35">
      <c r="A267" t="s">
        <v>281</v>
      </c>
      <c r="B267" t="s">
        <v>1771</v>
      </c>
      <c r="C267">
        <v>53</v>
      </c>
      <c r="D267" t="s">
        <v>2990</v>
      </c>
      <c r="E267" t="s">
        <v>3006</v>
      </c>
      <c r="F267" t="s">
        <v>3020</v>
      </c>
      <c r="G267">
        <v>21</v>
      </c>
      <c r="H267">
        <v>1043663</v>
      </c>
      <c r="I267">
        <v>82433</v>
      </c>
      <c r="J267">
        <v>24.94</v>
      </c>
      <c r="K267">
        <v>60</v>
      </c>
      <c r="L267" t="s">
        <v>3046</v>
      </c>
      <c r="M267">
        <v>538</v>
      </c>
      <c r="N267">
        <v>0</v>
      </c>
      <c r="O267" t="s">
        <v>3057</v>
      </c>
      <c r="P267" t="s">
        <v>3180</v>
      </c>
      <c r="Q267">
        <v>7.9000000000000001E-2</v>
      </c>
    </row>
    <row r="268" spans="1:17" x14ac:dyDescent="0.35">
      <c r="A268" t="s">
        <v>282</v>
      </c>
      <c r="B268" t="s">
        <v>1772</v>
      </c>
      <c r="C268">
        <v>31</v>
      </c>
      <c r="D268" t="s">
        <v>2992</v>
      </c>
      <c r="E268" t="s">
        <v>3004</v>
      </c>
      <c r="F268" t="s">
        <v>3018</v>
      </c>
      <c r="G268">
        <v>13</v>
      </c>
      <c r="H268">
        <v>2327753</v>
      </c>
      <c r="I268">
        <v>529551</v>
      </c>
      <c r="J268">
        <v>18.36</v>
      </c>
      <c r="K268">
        <v>36</v>
      </c>
      <c r="L268" t="s">
        <v>3047</v>
      </c>
      <c r="M268">
        <v>417</v>
      </c>
      <c r="N268">
        <v>6</v>
      </c>
      <c r="O268" t="s">
        <v>3055</v>
      </c>
      <c r="P268" t="s">
        <v>3313</v>
      </c>
      <c r="Q268">
        <v>0.22750000000000001</v>
      </c>
    </row>
    <row r="269" spans="1:17" x14ac:dyDescent="0.35">
      <c r="A269" t="s">
        <v>283</v>
      </c>
      <c r="B269" t="s">
        <v>1773</v>
      </c>
      <c r="C269">
        <v>29</v>
      </c>
      <c r="D269" t="s">
        <v>2990</v>
      </c>
      <c r="E269" t="s">
        <v>3007</v>
      </c>
      <c r="F269" t="s">
        <v>3021</v>
      </c>
      <c r="G269">
        <v>7</v>
      </c>
      <c r="H269">
        <v>834224</v>
      </c>
      <c r="I269">
        <v>108059</v>
      </c>
      <c r="J269">
        <v>24.88</v>
      </c>
      <c r="K269">
        <v>24</v>
      </c>
      <c r="L269" t="s">
        <v>3050</v>
      </c>
      <c r="M269">
        <v>712</v>
      </c>
      <c r="N269">
        <v>6</v>
      </c>
      <c r="O269" t="s">
        <v>3055</v>
      </c>
      <c r="P269" t="s">
        <v>3314</v>
      </c>
      <c r="Q269">
        <v>0.1295</v>
      </c>
    </row>
    <row r="270" spans="1:17" x14ac:dyDescent="0.35">
      <c r="A270" t="s">
        <v>284</v>
      </c>
      <c r="B270" t="s">
        <v>1774</v>
      </c>
      <c r="C270">
        <v>56</v>
      </c>
      <c r="D270" t="s">
        <v>2992</v>
      </c>
      <c r="E270" t="s">
        <v>3006</v>
      </c>
      <c r="F270" t="s">
        <v>3021</v>
      </c>
      <c r="G270">
        <v>9</v>
      </c>
      <c r="H270">
        <v>887755</v>
      </c>
      <c r="I270">
        <v>174542</v>
      </c>
      <c r="J270">
        <v>8.1199999999999992</v>
      </c>
      <c r="K270">
        <v>48</v>
      </c>
      <c r="L270" t="s">
        <v>3048</v>
      </c>
      <c r="M270">
        <v>682</v>
      </c>
      <c r="N270">
        <v>4</v>
      </c>
      <c r="O270" t="s">
        <v>3053</v>
      </c>
      <c r="P270" t="s">
        <v>3315</v>
      </c>
      <c r="Q270">
        <v>0.1966</v>
      </c>
    </row>
    <row r="271" spans="1:17" x14ac:dyDescent="0.35">
      <c r="A271" t="s">
        <v>285</v>
      </c>
      <c r="B271" t="s">
        <v>1775</v>
      </c>
      <c r="C271">
        <v>42</v>
      </c>
      <c r="D271" t="s">
        <v>2990</v>
      </c>
      <c r="E271" t="s">
        <v>3006</v>
      </c>
      <c r="F271" t="s">
        <v>3019</v>
      </c>
      <c r="G271">
        <v>4</v>
      </c>
      <c r="H271">
        <v>568590</v>
      </c>
      <c r="I271">
        <v>493314</v>
      </c>
      <c r="J271">
        <v>25.91</v>
      </c>
      <c r="K271">
        <v>12</v>
      </c>
      <c r="L271" t="s">
        <v>3046</v>
      </c>
      <c r="M271">
        <v>849</v>
      </c>
      <c r="N271">
        <v>5</v>
      </c>
      <c r="O271" t="s">
        <v>3056</v>
      </c>
      <c r="P271" t="s">
        <v>3316</v>
      </c>
      <c r="Q271">
        <v>0.86760000000000004</v>
      </c>
    </row>
    <row r="272" spans="1:17" x14ac:dyDescent="0.35">
      <c r="A272" t="s">
        <v>286</v>
      </c>
      <c r="B272" t="s">
        <v>1776</v>
      </c>
      <c r="C272">
        <v>58</v>
      </c>
      <c r="D272" t="s">
        <v>2990</v>
      </c>
      <c r="E272" t="s">
        <v>3001</v>
      </c>
      <c r="F272" t="s">
        <v>3018</v>
      </c>
      <c r="G272">
        <v>2</v>
      </c>
      <c r="H272">
        <v>2270212</v>
      </c>
      <c r="I272">
        <v>270541</v>
      </c>
      <c r="J272">
        <v>15.91</v>
      </c>
      <c r="K272">
        <v>12</v>
      </c>
      <c r="L272" t="s">
        <v>3051</v>
      </c>
      <c r="M272">
        <v>315</v>
      </c>
      <c r="N272">
        <v>2</v>
      </c>
      <c r="O272" t="s">
        <v>3057</v>
      </c>
      <c r="P272" t="s">
        <v>3306</v>
      </c>
      <c r="Q272">
        <v>0.1192</v>
      </c>
    </row>
    <row r="273" spans="1:17" x14ac:dyDescent="0.35">
      <c r="A273" t="s">
        <v>287</v>
      </c>
      <c r="B273" t="s">
        <v>1777</v>
      </c>
      <c r="C273">
        <v>21</v>
      </c>
      <c r="D273" t="s">
        <v>2990</v>
      </c>
      <c r="E273" t="s">
        <v>3004</v>
      </c>
      <c r="F273" t="s">
        <v>3021</v>
      </c>
      <c r="G273">
        <v>14</v>
      </c>
      <c r="H273">
        <v>2194410</v>
      </c>
      <c r="I273">
        <v>252076</v>
      </c>
      <c r="J273">
        <v>16.53</v>
      </c>
      <c r="K273">
        <v>12</v>
      </c>
      <c r="L273" t="s">
        <v>3050</v>
      </c>
      <c r="M273">
        <v>50</v>
      </c>
      <c r="N273">
        <v>2</v>
      </c>
      <c r="O273" t="s">
        <v>3055</v>
      </c>
      <c r="P273" t="s">
        <v>3317</v>
      </c>
      <c r="Q273">
        <v>0.1149</v>
      </c>
    </row>
    <row r="274" spans="1:17" x14ac:dyDescent="0.35">
      <c r="A274" t="s">
        <v>288</v>
      </c>
      <c r="B274" t="s">
        <v>1778</v>
      </c>
      <c r="C274">
        <v>46</v>
      </c>
      <c r="D274" t="s">
        <v>2990</v>
      </c>
      <c r="E274" t="s">
        <v>3002</v>
      </c>
      <c r="F274" t="s">
        <v>3018</v>
      </c>
      <c r="G274">
        <v>17</v>
      </c>
      <c r="H274">
        <v>2035546</v>
      </c>
      <c r="I274">
        <v>664606</v>
      </c>
      <c r="J274">
        <v>17.010000000000002</v>
      </c>
      <c r="K274">
        <v>48</v>
      </c>
      <c r="L274" t="s">
        <v>3050</v>
      </c>
      <c r="M274">
        <v>409</v>
      </c>
      <c r="N274">
        <v>6</v>
      </c>
      <c r="O274" t="s">
        <v>3055</v>
      </c>
      <c r="P274" t="s">
        <v>3318</v>
      </c>
      <c r="Q274">
        <v>0.32650000000000001</v>
      </c>
    </row>
    <row r="275" spans="1:17" x14ac:dyDescent="0.35">
      <c r="A275" t="s">
        <v>289</v>
      </c>
      <c r="B275" t="s">
        <v>1779</v>
      </c>
      <c r="C275">
        <v>46</v>
      </c>
      <c r="D275" t="s">
        <v>2990</v>
      </c>
      <c r="E275" t="s">
        <v>3005</v>
      </c>
      <c r="F275" t="s">
        <v>3018</v>
      </c>
      <c r="G275">
        <v>16</v>
      </c>
      <c r="H275">
        <v>527697</v>
      </c>
      <c r="I275">
        <v>138581</v>
      </c>
      <c r="J275">
        <v>26.57</v>
      </c>
      <c r="K275">
        <v>36</v>
      </c>
      <c r="L275" t="s">
        <v>3051</v>
      </c>
      <c r="M275">
        <v>418</v>
      </c>
      <c r="N275">
        <v>0</v>
      </c>
      <c r="O275" t="s">
        <v>3054</v>
      </c>
      <c r="P275" t="s">
        <v>3319</v>
      </c>
      <c r="Q275">
        <v>0.2626</v>
      </c>
    </row>
    <row r="276" spans="1:17" x14ac:dyDescent="0.35">
      <c r="A276" t="s">
        <v>290</v>
      </c>
      <c r="B276" t="s">
        <v>1780</v>
      </c>
      <c r="C276">
        <v>62</v>
      </c>
      <c r="D276" t="s">
        <v>2990</v>
      </c>
      <c r="E276" t="s">
        <v>3006</v>
      </c>
      <c r="F276" t="s">
        <v>3019</v>
      </c>
      <c r="G276">
        <v>14</v>
      </c>
      <c r="H276">
        <v>1070083</v>
      </c>
      <c r="I276">
        <v>428624</v>
      </c>
      <c r="J276">
        <v>11.31</v>
      </c>
      <c r="K276">
        <v>60</v>
      </c>
      <c r="L276" t="s">
        <v>3047</v>
      </c>
      <c r="M276">
        <v>459</v>
      </c>
      <c r="N276">
        <v>7</v>
      </c>
      <c r="O276" t="s">
        <v>3053</v>
      </c>
      <c r="P276" t="s">
        <v>3320</v>
      </c>
      <c r="Q276">
        <v>0.40060000000000001</v>
      </c>
    </row>
    <row r="277" spans="1:17" x14ac:dyDescent="0.35">
      <c r="A277" t="s">
        <v>291</v>
      </c>
      <c r="B277" t="s">
        <v>1781</v>
      </c>
      <c r="C277">
        <v>41</v>
      </c>
      <c r="D277" t="s">
        <v>2990</v>
      </c>
      <c r="E277" t="s">
        <v>3013</v>
      </c>
      <c r="F277" t="s">
        <v>3020</v>
      </c>
      <c r="G277">
        <v>12</v>
      </c>
      <c r="H277">
        <v>1384680</v>
      </c>
      <c r="I277">
        <v>220339</v>
      </c>
      <c r="J277">
        <v>14.16</v>
      </c>
      <c r="K277">
        <v>24</v>
      </c>
      <c r="L277" t="s">
        <v>3049</v>
      </c>
      <c r="M277">
        <v>830</v>
      </c>
      <c r="N277">
        <v>2</v>
      </c>
      <c r="O277" t="s">
        <v>3055</v>
      </c>
      <c r="P277" t="s">
        <v>3321</v>
      </c>
      <c r="Q277">
        <v>0.15909999999999999</v>
      </c>
    </row>
    <row r="278" spans="1:17" x14ac:dyDescent="0.35">
      <c r="A278" t="s">
        <v>292</v>
      </c>
      <c r="B278" t="s">
        <v>1782</v>
      </c>
      <c r="C278">
        <v>37</v>
      </c>
      <c r="D278" t="s">
        <v>2990</v>
      </c>
      <c r="E278" t="s">
        <v>3001</v>
      </c>
      <c r="F278" t="s">
        <v>3020</v>
      </c>
      <c r="G278">
        <v>8</v>
      </c>
      <c r="H278">
        <v>1875675</v>
      </c>
      <c r="I278">
        <v>344264</v>
      </c>
      <c r="J278">
        <v>26.16</v>
      </c>
      <c r="K278">
        <v>48</v>
      </c>
      <c r="L278" t="s">
        <v>3049</v>
      </c>
      <c r="M278">
        <v>376</v>
      </c>
      <c r="N278">
        <v>1</v>
      </c>
      <c r="O278" t="s">
        <v>3055</v>
      </c>
      <c r="P278" t="s">
        <v>3322</v>
      </c>
      <c r="Q278">
        <v>0.1835</v>
      </c>
    </row>
    <row r="279" spans="1:17" x14ac:dyDescent="0.35">
      <c r="A279" t="s">
        <v>293</v>
      </c>
      <c r="B279" t="s">
        <v>1783</v>
      </c>
      <c r="C279">
        <v>53</v>
      </c>
      <c r="D279" t="s">
        <v>2992</v>
      </c>
      <c r="E279" t="s">
        <v>3006</v>
      </c>
      <c r="F279" t="s">
        <v>3019</v>
      </c>
      <c r="G279">
        <v>19</v>
      </c>
      <c r="H279">
        <v>2276594</v>
      </c>
      <c r="I279">
        <v>396047</v>
      </c>
      <c r="J279">
        <v>12.67</v>
      </c>
      <c r="K279">
        <v>48</v>
      </c>
      <c r="L279" t="s">
        <v>3047</v>
      </c>
      <c r="M279">
        <v>776</v>
      </c>
      <c r="N279">
        <v>0</v>
      </c>
      <c r="O279" t="s">
        <v>3054</v>
      </c>
      <c r="P279" t="s">
        <v>3321</v>
      </c>
      <c r="Q279">
        <v>0.17399999999999999</v>
      </c>
    </row>
    <row r="280" spans="1:17" x14ac:dyDescent="0.35">
      <c r="A280" t="s">
        <v>294</v>
      </c>
      <c r="B280" t="s">
        <v>1784</v>
      </c>
      <c r="C280">
        <v>59</v>
      </c>
      <c r="D280" t="s">
        <v>2990</v>
      </c>
      <c r="E280" t="s">
        <v>3005</v>
      </c>
      <c r="F280" t="s">
        <v>3021</v>
      </c>
      <c r="G280">
        <v>12</v>
      </c>
      <c r="H280">
        <v>2101214</v>
      </c>
      <c r="I280">
        <v>199838</v>
      </c>
      <c r="J280">
        <v>8.8000000000000007</v>
      </c>
      <c r="K280">
        <v>24</v>
      </c>
      <c r="L280" t="s">
        <v>3050</v>
      </c>
      <c r="M280">
        <v>378</v>
      </c>
      <c r="N280">
        <v>4</v>
      </c>
      <c r="O280" t="s">
        <v>3055</v>
      </c>
      <c r="P280" t="s">
        <v>3323</v>
      </c>
      <c r="Q280">
        <v>9.5100000000000004E-2</v>
      </c>
    </row>
    <row r="281" spans="1:17" x14ac:dyDescent="0.35">
      <c r="A281" t="s">
        <v>295</v>
      </c>
      <c r="B281" t="s">
        <v>1785</v>
      </c>
      <c r="C281">
        <v>37</v>
      </c>
      <c r="D281" t="s">
        <v>2990</v>
      </c>
      <c r="E281" t="s">
        <v>2998</v>
      </c>
      <c r="F281" t="s">
        <v>3020</v>
      </c>
      <c r="G281">
        <v>1</v>
      </c>
      <c r="H281">
        <v>1699603</v>
      </c>
      <c r="I281">
        <v>717411</v>
      </c>
      <c r="J281">
        <v>9.19</v>
      </c>
      <c r="K281">
        <v>60</v>
      </c>
      <c r="L281" t="s">
        <v>3051</v>
      </c>
      <c r="M281">
        <v>591</v>
      </c>
      <c r="N281">
        <v>0</v>
      </c>
      <c r="O281" t="s">
        <v>3056</v>
      </c>
      <c r="P281" t="s">
        <v>3324</v>
      </c>
      <c r="Q281">
        <v>0.42209999999999998</v>
      </c>
    </row>
    <row r="282" spans="1:17" x14ac:dyDescent="0.35">
      <c r="A282" t="s">
        <v>296</v>
      </c>
      <c r="B282" t="s">
        <v>1786</v>
      </c>
      <c r="C282">
        <v>25</v>
      </c>
      <c r="D282" t="s">
        <v>2992</v>
      </c>
      <c r="E282" t="s">
        <v>2998</v>
      </c>
      <c r="F282" t="s">
        <v>3021</v>
      </c>
      <c r="G282">
        <v>29</v>
      </c>
      <c r="H282">
        <v>497875</v>
      </c>
      <c r="I282">
        <v>443159</v>
      </c>
      <c r="J282">
        <v>8.8800000000000008</v>
      </c>
      <c r="K282">
        <v>12</v>
      </c>
      <c r="L282" t="s">
        <v>3049</v>
      </c>
      <c r="M282">
        <v>351</v>
      </c>
      <c r="N282">
        <v>0</v>
      </c>
      <c r="O282" t="s">
        <v>3052</v>
      </c>
      <c r="P282" t="s">
        <v>3325</v>
      </c>
      <c r="Q282">
        <v>0.8901</v>
      </c>
    </row>
    <row r="283" spans="1:17" x14ac:dyDescent="0.35">
      <c r="A283" t="s">
        <v>297</v>
      </c>
      <c r="B283" t="s">
        <v>1787</v>
      </c>
      <c r="C283">
        <v>59</v>
      </c>
      <c r="D283" t="s">
        <v>2990</v>
      </c>
      <c r="E283" t="s">
        <v>3007</v>
      </c>
      <c r="F283" t="s">
        <v>3018</v>
      </c>
      <c r="G283">
        <v>25</v>
      </c>
      <c r="H283">
        <v>2149710</v>
      </c>
      <c r="I283">
        <v>85149</v>
      </c>
      <c r="J283" t="s">
        <v>3026</v>
      </c>
      <c r="K283">
        <v>36</v>
      </c>
      <c r="L283" t="s">
        <v>3047</v>
      </c>
      <c r="M283">
        <v>324</v>
      </c>
      <c r="N283">
        <v>5</v>
      </c>
      <c r="O283" t="s">
        <v>3053</v>
      </c>
      <c r="P283" t="s">
        <v>3326</v>
      </c>
      <c r="Q283">
        <v>3.9600000000000003E-2</v>
      </c>
    </row>
    <row r="284" spans="1:17" x14ac:dyDescent="0.35">
      <c r="A284" t="s">
        <v>298</v>
      </c>
      <c r="B284" t="s">
        <v>1788</v>
      </c>
      <c r="C284">
        <v>47</v>
      </c>
      <c r="D284" t="s">
        <v>2990</v>
      </c>
      <c r="E284" t="s">
        <v>3004</v>
      </c>
      <c r="F284" t="s">
        <v>3020</v>
      </c>
      <c r="G284">
        <v>2</v>
      </c>
      <c r="H284">
        <v>2127763</v>
      </c>
      <c r="I284">
        <v>699447</v>
      </c>
      <c r="J284">
        <v>21.17</v>
      </c>
      <c r="K284">
        <v>36</v>
      </c>
      <c r="L284" t="s">
        <v>3048</v>
      </c>
      <c r="M284">
        <v>714</v>
      </c>
      <c r="N284">
        <v>4</v>
      </c>
      <c r="O284" t="s">
        <v>3052</v>
      </c>
      <c r="P284" t="s">
        <v>3146</v>
      </c>
      <c r="Q284">
        <v>0.32869999999999999</v>
      </c>
    </row>
    <row r="285" spans="1:17" x14ac:dyDescent="0.35">
      <c r="A285" t="s">
        <v>299</v>
      </c>
      <c r="B285" t="s">
        <v>1789</v>
      </c>
      <c r="C285">
        <v>57</v>
      </c>
      <c r="D285" t="s">
        <v>2990</v>
      </c>
      <c r="E285" t="s">
        <v>2998</v>
      </c>
      <c r="F285" t="s">
        <v>3018</v>
      </c>
      <c r="G285">
        <v>28</v>
      </c>
      <c r="H285">
        <v>1658236</v>
      </c>
      <c r="I285">
        <v>363567</v>
      </c>
      <c r="J285">
        <v>14.87</v>
      </c>
      <c r="K285">
        <v>12</v>
      </c>
      <c r="L285" t="s">
        <v>3050</v>
      </c>
      <c r="N285">
        <v>3</v>
      </c>
      <c r="O285" t="s">
        <v>3053</v>
      </c>
      <c r="P285" t="s">
        <v>3327</v>
      </c>
      <c r="Q285">
        <v>0.21920000000000001</v>
      </c>
    </row>
    <row r="286" spans="1:17" x14ac:dyDescent="0.35">
      <c r="A286" t="s">
        <v>300</v>
      </c>
      <c r="B286" t="s">
        <v>1790</v>
      </c>
      <c r="C286">
        <v>34</v>
      </c>
      <c r="D286" t="s">
        <v>2990</v>
      </c>
      <c r="E286" t="s">
        <v>3004</v>
      </c>
      <c r="F286" t="s">
        <v>3020</v>
      </c>
      <c r="G286">
        <v>26</v>
      </c>
      <c r="I286">
        <v>311464</v>
      </c>
      <c r="J286">
        <v>24.69</v>
      </c>
      <c r="K286">
        <v>12</v>
      </c>
      <c r="L286" t="s">
        <v>3047</v>
      </c>
      <c r="M286">
        <v>779</v>
      </c>
      <c r="N286">
        <v>0</v>
      </c>
      <c r="O286" t="s">
        <v>3057</v>
      </c>
      <c r="P286" t="s">
        <v>3328</v>
      </c>
      <c r="Q286">
        <v>0.26700000000000002</v>
      </c>
    </row>
    <row r="287" spans="1:17" x14ac:dyDescent="0.35">
      <c r="A287" t="s">
        <v>301</v>
      </c>
      <c r="B287" t="s">
        <v>1791</v>
      </c>
      <c r="C287">
        <v>31</v>
      </c>
      <c r="D287" t="s">
        <v>2992</v>
      </c>
      <c r="E287" t="s">
        <v>3007</v>
      </c>
      <c r="F287" t="s">
        <v>3019</v>
      </c>
      <c r="G287">
        <v>22</v>
      </c>
      <c r="H287">
        <v>1377162</v>
      </c>
      <c r="I287">
        <v>628713</v>
      </c>
      <c r="J287">
        <v>14.32</v>
      </c>
      <c r="K287">
        <v>36</v>
      </c>
      <c r="L287" t="s">
        <v>3047</v>
      </c>
      <c r="M287">
        <v>781</v>
      </c>
      <c r="N287">
        <v>7</v>
      </c>
      <c r="O287" t="s">
        <v>3055</v>
      </c>
      <c r="P287" t="s">
        <v>3329</v>
      </c>
      <c r="Q287">
        <v>0.45650000000000002</v>
      </c>
    </row>
    <row r="288" spans="1:17" x14ac:dyDescent="0.35">
      <c r="A288" t="s">
        <v>302</v>
      </c>
      <c r="B288" t="s">
        <v>1792</v>
      </c>
      <c r="C288">
        <v>50</v>
      </c>
      <c r="D288" t="s">
        <v>2995</v>
      </c>
      <c r="E288" t="s">
        <v>3006</v>
      </c>
      <c r="F288" t="s">
        <v>3021</v>
      </c>
      <c r="G288">
        <v>4</v>
      </c>
      <c r="H288">
        <v>1738309</v>
      </c>
      <c r="I288">
        <v>728387</v>
      </c>
      <c r="J288">
        <v>12.54</v>
      </c>
      <c r="K288">
        <v>48</v>
      </c>
      <c r="L288" t="s">
        <v>3047</v>
      </c>
      <c r="M288">
        <v>767</v>
      </c>
      <c r="N288">
        <v>5</v>
      </c>
      <c r="O288" t="s">
        <v>3052</v>
      </c>
      <c r="P288" t="s">
        <v>3330</v>
      </c>
      <c r="Q288">
        <v>0.41899999999999998</v>
      </c>
    </row>
    <row r="289" spans="1:17" x14ac:dyDescent="0.35">
      <c r="A289" t="s">
        <v>303</v>
      </c>
      <c r="B289" t="s">
        <v>1793</v>
      </c>
      <c r="C289">
        <v>60</v>
      </c>
      <c r="D289" t="s">
        <v>2992</v>
      </c>
      <c r="E289" t="s">
        <v>3001</v>
      </c>
      <c r="G289">
        <v>10</v>
      </c>
      <c r="H289">
        <v>1895499</v>
      </c>
      <c r="I289">
        <v>495828</v>
      </c>
      <c r="J289">
        <v>15.89</v>
      </c>
      <c r="K289">
        <v>48</v>
      </c>
      <c r="L289" t="s">
        <v>3049</v>
      </c>
      <c r="M289">
        <v>356</v>
      </c>
      <c r="N289">
        <v>7</v>
      </c>
      <c r="O289" t="s">
        <v>3053</v>
      </c>
      <c r="P289" t="s">
        <v>3331</v>
      </c>
      <c r="Q289">
        <v>0.2616</v>
      </c>
    </row>
    <row r="290" spans="1:17" x14ac:dyDescent="0.35">
      <c r="A290" t="s">
        <v>304</v>
      </c>
      <c r="B290" t="s">
        <v>1794</v>
      </c>
      <c r="C290">
        <v>21</v>
      </c>
      <c r="D290" t="s">
        <v>2990</v>
      </c>
      <c r="E290" t="s">
        <v>3004</v>
      </c>
      <c r="G290">
        <v>25</v>
      </c>
      <c r="H290">
        <v>1655153</v>
      </c>
      <c r="I290">
        <v>254231</v>
      </c>
      <c r="J290">
        <v>19.63</v>
      </c>
      <c r="K290">
        <v>48</v>
      </c>
      <c r="M290">
        <v>798</v>
      </c>
      <c r="N290">
        <v>5</v>
      </c>
      <c r="O290" t="s">
        <v>3054</v>
      </c>
      <c r="P290" t="s">
        <v>3332</v>
      </c>
      <c r="Q290">
        <v>0.15359999999999999</v>
      </c>
    </row>
    <row r="291" spans="1:17" x14ac:dyDescent="0.35">
      <c r="A291" t="s">
        <v>305</v>
      </c>
      <c r="B291" t="s">
        <v>1795</v>
      </c>
      <c r="C291">
        <v>41</v>
      </c>
      <c r="D291" t="s">
        <v>2990</v>
      </c>
      <c r="E291" t="s">
        <v>3005</v>
      </c>
      <c r="F291" t="s">
        <v>3019</v>
      </c>
      <c r="G291">
        <v>11</v>
      </c>
      <c r="H291">
        <v>557539</v>
      </c>
      <c r="I291">
        <v>65475</v>
      </c>
      <c r="J291">
        <v>11.49</v>
      </c>
      <c r="K291">
        <v>60</v>
      </c>
      <c r="L291" t="s">
        <v>3050</v>
      </c>
      <c r="M291">
        <v>805</v>
      </c>
      <c r="N291">
        <v>0</v>
      </c>
      <c r="O291" t="s">
        <v>3055</v>
      </c>
      <c r="P291" t="s">
        <v>3333</v>
      </c>
      <c r="Q291">
        <v>0.1174</v>
      </c>
    </row>
    <row r="292" spans="1:17" x14ac:dyDescent="0.35">
      <c r="A292" t="s">
        <v>306</v>
      </c>
      <c r="B292" t="s">
        <v>1796</v>
      </c>
      <c r="C292">
        <v>58</v>
      </c>
      <c r="D292" t="s">
        <v>2990</v>
      </c>
      <c r="E292" t="s">
        <v>3000</v>
      </c>
      <c r="F292" t="s">
        <v>3021</v>
      </c>
      <c r="G292">
        <v>8</v>
      </c>
      <c r="H292">
        <v>643937</v>
      </c>
      <c r="I292">
        <v>484310</v>
      </c>
      <c r="J292">
        <v>12.8</v>
      </c>
      <c r="K292">
        <v>36</v>
      </c>
      <c r="L292" t="s">
        <v>3051</v>
      </c>
      <c r="M292">
        <v>430</v>
      </c>
      <c r="N292">
        <v>7</v>
      </c>
      <c r="O292" t="s">
        <v>3053</v>
      </c>
      <c r="P292" t="s">
        <v>3334</v>
      </c>
      <c r="Q292">
        <v>0.75209999999999999</v>
      </c>
    </row>
    <row r="293" spans="1:17" x14ac:dyDescent="0.35">
      <c r="A293" t="s">
        <v>307</v>
      </c>
      <c r="B293" t="s">
        <v>1797</v>
      </c>
      <c r="C293">
        <v>30</v>
      </c>
      <c r="D293" t="s">
        <v>2990</v>
      </c>
      <c r="E293" t="s">
        <v>3002</v>
      </c>
      <c r="F293" t="s">
        <v>3020</v>
      </c>
      <c r="G293">
        <v>7</v>
      </c>
      <c r="H293">
        <v>1013731</v>
      </c>
      <c r="I293">
        <v>542710</v>
      </c>
      <c r="J293">
        <v>11.62</v>
      </c>
      <c r="K293">
        <v>60</v>
      </c>
      <c r="L293" t="s">
        <v>3046</v>
      </c>
      <c r="M293">
        <v>650</v>
      </c>
      <c r="N293">
        <v>1</v>
      </c>
      <c r="O293" t="s">
        <v>3055</v>
      </c>
      <c r="P293" t="s">
        <v>3335</v>
      </c>
      <c r="Q293">
        <v>0.53539999999999999</v>
      </c>
    </row>
    <row r="294" spans="1:17" x14ac:dyDescent="0.35">
      <c r="A294" t="s">
        <v>308</v>
      </c>
      <c r="B294" t="s">
        <v>1798</v>
      </c>
      <c r="C294">
        <v>45</v>
      </c>
      <c r="D294" t="s">
        <v>2990</v>
      </c>
      <c r="E294" t="s">
        <v>3004</v>
      </c>
      <c r="F294" t="s">
        <v>3021</v>
      </c>
      <c r="G294">
        <v>24</v>
      </c>
      <c r="H294">
        <v>240545</v>
      </c>
      <c r="I294">
        <v>262188</v>
      </c>
      <c r="J294">
        <v>18.89</v>
      </c>
      <c r="K294">
        <v>36</v>
      </c>
      <c r="L294" t="s">
        <v>3051</v>
      </c>
      <c r="M294">
        <v>478</v>
      </c>
      <c r="N294">
        <v>6</v>
      </c>
      <c r="O294" t="s">
        <v>3054</v>
      </c>
      <c r="P294" t="s">
        <v>3336</v>
      </c>
      <c r="Q294">
        <v>1.0900000000000001</v>
      </c>
    </row>
    <row r="295" spans="1:17" x14ac:dyDescent="0.35">
      <c r="A295" t="s">
        <v>309</v>
      </c>
      <c r="B295" t="s">
        <v>1799</v>
      </c>
      <c r="C295">
        <v>36</v>
      </c>
      <c r="D295" t="s">
        <v>2992</v>
      </c>
      <c r="E295" t="s">
        <v>3007</v>
      </c>
      <c r="F295" t="s">
        <v>3020</v>
      </c>
      <c r="G295">
        <v>20</v>
      </c>
      <c r="H295">
        <v>1477638</v>
      </c>
      <c r="I295">
        <v>306479</v>
      </c>
      <c r="J295">
        <v>8.42</v>
      </c>
      <c r="K295">
        <v>36</v>
      </c>
      <c r="L295" t="s">
        <v>3050</v>
      </c>
      <c r="N295">
        <v>6</v>
      </c>
      <c r="O295" t="s">
        <v>3055</v>
      </c>
      <c r="P295" t="s">
        <v>3337</v>
      </c>
      <c r="Q295">
        <v>0.2074</v>
      </c>
    </row>
    <row r="296" spans="1:17" x14ac:dyDescent="0.35">
      <c r="A296" t="s">
        <v>310</v>
      </c>
      <c r="B296" t="s">
        <v>1800</v>
      </c>
      <c r="C296">
        <v>36</v>
      </c>
      <c r="D296" t="s">
        <v>2992</v>
      </c>
      <c r="E296" t="s">
        <v>3005</v>
      </c>
      <c r="F296" t="s">
        <v>3019</v>
      </c>
      <c r="G296">
        <v>7</v>
      </c>
      <c r="H296">
        <v>994037</v>
      </c>
      <c r="I296">
        <v>107051</v>
      </c>
      <c r="J296">
        <v>21.51</v>
      </c>
      <c r="K296">
        <v>60</v>
      </c>
      <c r="L296" t="s">
        <v>3046</v>
      </c>
      <c r="M296">
        <v>404</v>
      </c>
      <c r="N296">
        <v>0</v>
      </c>
      <c r="O296" t="s">
        <v>3057</v>
      </c>
      <c r="P296" t="s">
        <v>3139</v>
      </c>
      <c r="Q296">
        <v>0.1077</v>
      </c>
    </row>
    <row r="297" spans="1:17" x14ac:dyDescent="0.35">
      <c r="A297" t="s">
        <v>311</v>
      </c>
      <c r="B297" t="s">
        <v>1801</v>
      </c>
      <c r="C297">
        <v>22</v>
      </c>
      <c r="D297" t="s">
        <v>2992</v>
      </c>
      <c r="E297" t="s">
        <v>3012</v>
      </c>
      <c r="G297">
        <v>1</v>
      </c>
      <c r="H297">
        <v>1239325</v>
      </c>
      <c r="I297">
        <v>399270</v>
      </c>
      <c r="J297">
        <v>20.98</v>
      </c>
      <c r="K297">
        <v>12</v>
      </c>
      <c r="L297" t="s">
        <v>3046</v>
      </c>
      <c r="M297">
        <v>522</v>
      </c>
      <c r="N297">
        <v>3</v>
      </c>
      <c r="O297" t="s">
        <v>3055</v>
      </c>
      <c r="P297" t="s">
        <v>3338</v>
      </c>
      <c r="Q297">
        <v>0.32219999999999999</v>
      </c>
    </row>
    <row r="298" spans="1:17" x14ac:dyDescent="0.35">
      <c r="A298" t="s">
        <v>312</v>
      </c>
      <c r="B298" t="s">
        <v>1802</v>
      </c>
      <c r="C298">
        <v>52</v>
      </c>
      <c r="D298" t="s">
        <v>2992</v>
      </c>
      <c r="E298" t="s">
        <v>3001</v>
      </c>
      <c r="F298" t="s">
        <v>3018</v>
      </c>
      <c r="G298">
        <v>13</v>
      </c>
      <c r="H298">
        <v>1729302</v>
      </c>
      <c r="I298">
        <v>441217</v>
      </c>
      <c r="J298">
        <v>26.77</v>
      </c>
      <c r="K298">
        <v>60</v>
      </c>
      <c r="L298" t="s">
        <v>3047</v>
      </c>
      <c r="M298">
        <v>390</v>
      </c>
      <c r="N298">
        <v>6</v>
      </c>
      <c r="O298" t="s">
        <v>3056</v>
      </c>
      <c r="P298" t="s">
        <v>3339</v>
      </c>
      <c r="Q298">
        <v>0.25509999999999999</v>
      </c>
    </row>
    <row r="299" spans="1:17" x14ac:dyDescent="0.35">
      <c r="A299" t="s">
        <v>313</v>
      </c>
      <c r="B299" t="s">
        <v>1803</v>
      </c>
      <c r="C299">
        <v>60</v>
      </c>
      <c r="D299" t="s">
        <v>2996</v>
      </c>
      <c r="E299" t="s">
        <v>3000</v>
      </c>
      <c r="F299" t="s">
        <v>3021</v>
      </c>
      <c r="G299">
        <v>20</v>
      </c>
      <c r="H299">
        <v>676758</v>
      </c>
      <c r="I299">
        <v>318335</v>
      </c>
      <c r="J299">
        <v>16.36</v>
      </c>
      <c r="K299">
        <v>36</v>
      </c>
      <c r="L299" t="s">
        <v>3051</v>
      </c>
      <c r="M299">
        <v>761</v>
      </c>
      <c r="N299">
        <v>7</v>
      </c>
      <c r="O299" t="s">
        <v>3053</v>
      </c>
      <c r="P299" t="s">
        <v>3340</v>
      </c>
      <c r="Q299">
        <v>0.47039999999999998</v>
      </c>
    </row>
    <row r="300" spans="1:17" x14ac:dyDescent="0.35">
      <c r="A300" t="s">
        <v>314</v>
      </c>
      <c r="B300" t="s">
        <v>1804</v>
      </c>
      <c r="C300">
        <v>54</v>
      </c>
      <c r="D300" t="s">
        <v>2990</v>
      </c>
      <c r="E300" t="s">
        <v>3001</v>
      </c>
      <c r="F300" t="s">
        <v>3021</v>
      </c>
      <c r="G300">
        <v>26</v>
      </c>
      <c r="H300">
        <v>1183171</v>
      </c>
      <c r="I300">
        <v>721160</v>
      </c>
      <c r="J300">
        <v>12.33</v>
      </c>
      <c r="K300">
        <v>60</v>
      </c>
      <c r="L300" t="s">
        <v>3050</v>
      </c>
      <c r="M300">
        <v>548</v>
      </c>
      <c r="N300">
        <v>3</v>
      </c>
      <c r="O300" t="s">
        <v>3056</v>
      </c>
      <c r="P300" t="s">
        <v>3341</v>
      </c>
      <c r="Q300">
        <v>0.60950000000000004</v>
      </c>
    </row>
    <row r="301" spans="1:17" x14ac:dyDescent="0.35">
      <c r="A301" t="s">
        <v>315</v>
      </c>
      <c r="B301" t="s">
        <v>1805</v>
      </c>
      <c r="C301">
        <v>24</v>
      </c>
      <c r="D301" t="s">
        <v>2990</v>
      </c>
      <c r="E301" t="s">
        <v>3001</v>
      </c>
      <c r="F301" t="s">
        <v>3020</v>
      </c>
      <c r="G301">
        <v>14</v>
      </c>
      <c r="H301">
        <v>1801219</v>
      </c>
      <c r="I301">
        <v>96361</v>
      </c>
      <c r="J301">
        <v>26.82</v>
      </c>
      <c r="K301">
        <v>48</v>
      </c>
      <c r="L301" t="s">
        <v>3048</v>
      </c>
      <c r="M301">
        <v>451</v>
      </c>
      <c r="N301">
        <v>2</v>
      </c>
      <c r="O301" t="s">
        <v>3053</v>
      </c>
      <c r="P301" t="s">
        <v>3328</v>
      </c>
      <c r="Q301">
        <v>5.3499999999999999E-2</v>
      </c>
    </row>
    <row r="302" spans="1:17" x14ac:dyDescent="0.35">
      <c r="A302" t="s">
        <v>316</v>
      </c>
      <c r="B302" t="s">
        <v>1806</v>
      </c>
      <c r="C302">
        <v>64</v>
      </c>
      <c r="D302" t="s">
        <v>2992</v>
      </c>
      <c r="E302" t="s">
        <v>3005</v>
      </c>
      <c r="F302" t="s">
        <v>3021</v>
      </c>
      <c r="G302">
        <v>26</v>
      </c>
      <c r="H302">
        <v>622061</v>
      </c>
      <c r="I302">
        <v>754983</v>
      </c>
      <c r="J302">
        <v>19.940000000000001</v>
      </c>
      <c r="K302">
        <v>36</v>
      </c>
      <c r="L302" t="s">
        <v>3048</v>
      </c>
      <c r="M302">
        <v>414</v>
      </c>
      <c r="N302">
        <v>6</v>
      </c>
      <c r="O302" t="s">
        <v>3054</v>
      </c>
      <c r="P302" t="s">
        <v>3342</v>
      </c>
      <c r="Q302">
        <v>1.2137</v>
      </c>
    </row>
    <row r="303" spans="1:17" x14ac:dyDescent="0.35">
      <c r="A303" t="s">
        <v>317</v>
      </c>
      <c r="B303" t="s">
        <v>1807</v>
      </c>
      <c r="C303">
        <v>48</v>
      </c>
      <c r="D303" t="s">
        <v>2992</v>
      </c>
      <c r="E303" t="s">
        <v>3001</v>
      </c>
      <c r="F303" t="s">
        <v>3021</v>
      </c>
      <c r="G303">
        <v>12</v>
      </c>
      <c r="H303">
        <v>690370</v>
      </c>
      <c r="I303">
        <v>563898</v>
      </c>
      <c r="J303">
        <v>12.08</v>
      </c>
      <c r="K303">
        <v>12</v>
      </c>
      <c r="L303" t="s">
        <v>3051</v>
      </c>
      <c r="M303">
        <v>585</v>
      </c>
      <c r="N303">
        <v>4</v>
      </c>
      <c r="O303" t="s">
        <v>3053</v>
      </c>
      <c r="P303" t="s">
        <v>3343</v>
      </c>
      <c r="Q303">
        <v>0.81679999999999997</v>
      </c>
    </row>
    <row r="304" spans="1:17" x14ac:dyDescent="0.35">
      <c r="A304" t="s">
        <v>318</v>
      </c>
      <c r="B304" t="s">
        <v>1808</v>
      </c>
      <c r="C304">
        <v>22</v>
      </c>
      <c r="D304" t="s">
        <v>2992</v>
      </c>
      <c r="E304" t="s">
        <v>3002</v>
      </c>
      <c r="F304" t="s">
        <v>3019</v>
      </c>
      <c r="G304">
        <v>19</v>
      </c>
      <c r="I304">
        <v>134397</v>
      </c>
      <c r="J304">
        <v>19.899999999999999</v>
      </c>
      <c r="K304">
        <v>12</v>
      </c>
      <c r="L304" t="s">
        <v>3049</v>
      </c>
      <c r="M304">
        <v>353</v>
      </c>
      <c r="N304">
        <v>4</v>
      </c>
      <c r="O304" t="s">
        <v>3057</v>
      </c>
      <c r="P304" t="s">
        <v>3344</v>
      </c>
      <c r="Q304">
        <v>0.63</v>
      </c>
    </row>
    <row r="305" spans="1:17" x14ac:dyDescent="0.35">
      <c r="A305" t="s">
        <v>319</v>
      </c>
      <c r="B305" t="s">
        <v>1809</v>
      </c>
      <c r="C305">
        <v>52</v>
      </c>
      <c r="D305" t="s">
        <v>2992</v>
      </c>
      <c r="E305" t="s">
        <v>3000</v>
      </c>
      <c r="F305" t="s">
        <v>3021</v>
      </c>
      <c r="G305">
        <v>10</v>
      </c>
      <c r="H305">
        <v>290155</v>
      </c>
      <c r="I305">
        <v>399413</v>
      </c>
      <c r="J305">
        <v>25.52</v>
      </c>
      <c r="K305">
        <v>24</v>
      </c>
      <c r="L305" t="s">
        <v>3048</v>
      </c>
      <c r="M305">
        <v>775</v>
      </c>
      <c r="N305">
        <v>2</v>
      </c>
      <c r="O305" t="s">
        <v>3055</v>
      </c>
      <c r="P305" t="s">
        <v>3345</v>
      </c>
      <c r="Q305">
        <v>1.3766</v>
      </c>
    </row>
    <row r="306" spans="1:17" x14ac:dyDescent="0.35">
      <c r="A306" t="s">
        <v>320</v>
      </c>
      <c r="B306" t="s">
        <v>1810</v>
      </c>
      <c r="C306">
        <v>31</v>
      </c>
      <c r="D306" t="s">
        <v>2990</v>
      </c>
      <c r="E306" t="s">
        <v>3001</v>
      </c>
      <c r="F306" t="s">
        <v>3019</v>
      </c>
      <c r="G306">
        <v>11</v>
      </c>
      <c r="H306">
        <v>491955</v>
      </c>
      <c r="I306">
        <v>96709</v>
      </c>
      <c r="J306">
        <v>15.16</v>
      </c>
      <c r="K306">
        <v>36</v>
      </c>
      <c r="L306" t="s">
        <v>3050</v>
      </c>
      <c r="M306">
        <v>727</v>
      </c>
      <c r="N306">
        <v>0</v>
      </c>
      <c r="O306" t="s">
        <v>3055</v>
      </c>
      <c r="P306" t="s">
        <v>3245</v>
      </c>
      <c r="Q306">
        <v>0.1966</v>
      </c>
    </row>
    <row r="307" spans="1:17" x14ac:dyDescent="0.35">
      <c r="A307" t="s">
        <v>321</v>
      </c>
      <c r="B307" t="s">
        <v>1811</v>
      </c>
      <c r="C307">
        <v>49</v>
      </c>
      <c r="D307" t="s">
        <v>2990</v>
      </c>
      <c r="E307" t="s">
        <v>3006</v>
      </c>
      <c r="F307" t="s">
        <v>3020</v>
      </c>
      <c r="G307">
        <v>11</v>
      </c>
      <c r="H307">
        <v>594299</v>
      </c>
      <c r="I307">
        <v>621982</v>
      </c>
      <c r="J307">
        <v>16.71</v>
      </c>
      <c r="K307">
        <v>24</v>
      </c>
      <c r="L307" t="s">
        <v>3051</v>
      </c>
      <c r="M307">
        <v>739</v>
      </c>
      <c r="N307">
        <v>4</v>
      </c>
      <c r="O307" t="s">
        <v>3055</v>
      </c>
      <c r="P307" t="s">
        <v>3346</v>
      </c>
      <c r="Q307">
        <v>1.0466</v>
      </c>
    </row>
    <row r="308" spans="1:17" x14ac:dyDescent="0.35">
      <c r="A308" t="s">
        <v>322</v>
      </c>
      <c r="B308" t="s">
        <v>1812</v>
      </c>
      <c r="C308">
        <v>46</v>
      </c>
      <c r="D308" t="s">
        <v>2990</v>
      </c>
      <c r="E308" t="s">
        <v>3014</v>
      </c>
      <c r="F308" t="s">
        <v>3020</v>
      </c>
      <c r="G308">
        <v>17</v>
      </c>
      <c r="H308">
        <v>496205</v>
      </c>
      <c r="I308">
        <v>519797</v>
      </c>
      <c r="J308">
        <v>11.26</v>
      </c>
      <c r="K308">
        <v>36</v>
      </c>
      <c r="L308" t="s">
        <v>3046</v>
      </c>
      <c r="M308">
        <v>502</v>
      </c>
      <c r="N308">
        <v>3</v>
      </c>
      <c r="O308" t="s">
        <v>3052</v>
      </c>
      <c r="P308" t="s">
        <v>3347</v>
      </c>
      <c r="Q308">
        <v>1.0475000000000001</v>
      </c>
    </row>
    <row r="309" spans="1:17" x14ac:dyDescent="0.35">
      <c r="A309" t="s">
        <v>323</v>
      </c>
      <c r="B309" t="s">
        <v>1813</v>
      </c>
      <c r="C309">
        <v>25</v>
      </c>
      <c r="D309" t="s">
        <v>2992</v>
      </c>
      <c r="E309" t="s">
        <v>3002</v>
      </c>
      <c r="F309" t="s">
        <v>3021</v>
      </c>
      <c r="G309">
        <v>13</v>
      </c>
      <c r="H309">
        <v>2072064</v>
      </c>
      <c r="I309">
        <v>328617</v>
      </c>
      <c r="J309">
        <v>21.24</v>
      </c>
      <c r="K309">
        <v>60</v>
      </c>
      <c r="L309" t="s">
        <v>3048</v>
      </c>
      <c r="M309">
        <v>528</v>
      </c>
      <c r="N309">
        <v>2</v>
      </c>
      <c r="O309" t="s">
        <v>3055</v>
      </c>
      <c r="P309" t="s">
        <v>3348</v>
      </c>
      <c r="Q309">
        <v>0.15859999999999999</v>
      </c>
    </row>
    <row r="310" spans="1:17" x14ac:dyDescent="0.35">
      <c r="A310" t="s">
        <v>324</v>
      </c>
      <c r="B310" t="s">
        <v>1814</v>
      </c>
      <c r="C310">
        <v>46</v>
      </c>
      <c r="D310" t="s">
        <v>2990</v>
      </c>
      <c r="E310" t="s">
        <v>3005</v>
      </c>
      <c r="F310" t="s">
        <v>3018</v>
      </c>
      <c r="G310">
        <v>21</v>
      </c>
      <c r="H310">
        <v>736110</v>
      </c>
      <c r="I310">
        <v>712924</v>
      </c>
      <c r="J310">
        <v>13.69</v>
      </c>
      <c r="K310">
        <v>36</v>
      </c>
      <c r="L310" t="s">
        <v>3051</v>
      </c>
      <c r="M310">
        <v>598</v>
      </c>
      <c r="N310">
        <v>0</v>
      </c>
      <c r="O310" t="s">
        <v>3053</v>
      </c>
      <c r="P310" t="s">
        <v>3349</v>
      </c>
      <c r="Q310">
        <v>0.96850000000000003</v>
      </c>
    </row>
    <row r="311" spans="1:17" x14ac:dyDescent="0.35">
      <c r="A311" t="s">
        <v>325</v>
      </c>
      <c r="B311" t="s">
        <v>1815</v>
      </c>
      <c r="C311">
        <v>25</v>
      </c>
      <c r="E311" t="s">
        <v>3004</v>
      </c>
      <c r="F311" t="s">
        <v>3019</v>
      </c>
      <c r="G311">
        <v>12</v>
      </c>
      <c r="H311">
        <v>206806</v>
      </c>
      <c r="I311">
        <v>381719</v>
      </c>
      <c r="J311">
        <v>18.82</v>
      </c>
      <c r="K311">
        <v>24</v>
      </c>
      <c r="L311" t="s">
        <v>3049</v>
      </c>
      <c r="M311">
        <v>545</v>
      </c>
      <c r="N311">
        <v>3</v>
      </c>
      <c r="O311" t="s">
        <v>3054</v>
      </c>
      <c r="P311" t="s">
        <v>3350</v>
      </c>
      <c r="Q311">
        <v>1.8458000000000001</v>
      </c>
    </row>
    <row r="312" spans="1:17" x14ac:dyDescent="0.35">
      <c r="A312" t="s">
        <v>326</v>
      </c>
      <c r="B312" t="s">
        <v>1816</v>
      </c>
      <c r="C312">
        <v>33</v>
      </c>
      <c r="D312" t="s">
        <v>2992</v>
      </c>
      <c r="E312" t="s">
        <v>3001</v>
      </c>
      <c r="F312" t="s">
        <v>3019</v>
      </c>
      <c r="G312">
        <v>5</v>
      </c>
      <c r="H312">
        <v>1151248</v>
      </c>
      <c r="I312">
        <v>628814</v>
      </c>
      <c r="J312">
        <v>21.19</v>
      </c>
      <c r="K312">
        <v>60</v>
      </c>
      <c r="L312" t="s">
        <v>3046</v>
      </c>
      <c r="M312">
        <v>509</v>
      </c>
      <c r="N312">
        <v>0</v>
      </c>
      <c r="O312" t="s">
        <v>3055</v>
      </c>
      <c r="P312" t="s">
        <v>3351</v>
      </c>
      <c r="Q312">
        <v>0.54620000000000002</v>
      </c>
    </row>
    <row r="313" spans="1:17" x14ac:dyDescent="0.35">
      <c r="A313" t="s">
        <v>327</v>
      </c>
      <c r="B313" t="s">
        <v>1817</v>
      </c>
      <c r="C313">
        <v>63</v>
      </c>
      <c r="D313" t="s">
        <v>2990</v>
      </c>
      <c r="E313" t="s">
        <v>3003</v>
      </c>
      <c r="F313" t="s">
        <v>3020</v>
      </c>
      <c r="G313">
        <v>24</v>
      </c>
      <c r="H313">
        <v>814457</v>
      </c>
      <c r="I313">
        <v>159227</v>
      </c>
      <c r="J313">
        <v>10.71</v>
      </c>
      <c r="K313">
        <v>12</v>
      </c>
      <c r="M313">
        <v>655</v>
      </c>
      <c r="N313">
        <v>6</v>
      </c>
      <c r="O313" t="s">
        <v>3054</v>
      </c>
      <c r="P313" t="s">
        <v>3352</v>
      </c>
      <c r="Q313">
        <v>0.19550000000000001</v>
      </c>
    </row>
    <row r="314" spans="1:17" x14ac:dyDescent="0.35">
      <c r="A314" t="s">
        <v>328</v>
      </c>
      <c r="B314" t="s">
        <v>1818</v>
      </c>
      <c r="C314">
        <v>57</v>
      </c>
      <c r="D314" t="s">
        <v>2992</v>
      </c>
      <c r="E314" t="s">
        <v>3002</v>
      </c>
      <c r="F314" t="s">
        <v>3021</v>
      </c>
      <c r="G314">
        <v>12</v>
      </c>
      <c r="H314">
        <v>2100444</v>
      </c>
      <c r="I314">
        <v>512750</v>
      </c>
      <c r="J314">
        <v>8.01</v>
      </c>
      <c r="K314">
        <v>60</v>
      </c>
      <c r="L314" t="s">
        <v>3046</v>
      </c>
      <c r="M314">
        <v>842</v>
      </c>
      <c r="N314">
        <v>1</v>
      </c>
      <c r="O314" t="s">
        <v>3055</v>
      </c>
      <c r="P314" t="s">
        <v>3353</v>
      </c>
      <c r="Q314">
        <v>0.24410000000000001</v>
      </c>
    </row>
    <row r="315" spans="1:17" x14ac:dyDescent="0.35">
      <c r="A315" t="s">
        <v>329</v>
      </c>
      <c r="B315" t="s">
        <v>1819</v>
      </c>
      <c r="C315">
        <v>55</v>
      </c>
      <c r="D315" t="s">
        <v>2990</v>
      </c>
      <c r="E315" t="s">
        <v>3005</v>
      </c>
      <c r="F315" t="s">
        <v>3019</v>
      </c>
      <c r="G315">
        <v>10</v>
      </c>
      <c r="H315">
        <v>1523862</v>
      </c>
      <c r="I315">
        <v>754275</v>
      </c>
      <c r="J315">
        <v>24.67</v>
      </c>
      <c r="K315">
        <v>12</v>
      </c>
      <c r="L315" t="s">
        <v>3047</v>
      </c>
      <c r="M315">
        <v>589</v>
      </c>
      <c r="N315">
        <v>0</v>
      </c>
      <c r="O315" t="s">
        <v>3056</v>
      </c>
      <c r="P315" t="s">
        <v>3354</v>
      </c>
      <c r="Q315">
        <v>0.495</v>
      </c>
    </row>
    <row r="316" spans="1:17" x14ac:dyDescent="0.35">
      <c r="A316" t="s">
        <v>330</v>
      </c>
      <c r="B316" t="s">
        <v>1820</v>
      </c>
      <c r="C316">
        <v>64</v>
      </c>
      <c r="D316" t="s">
        <v>2992</v>
      </c>
      <c r="E316" t="s">
        <v>3007</v>
      </c>
      <c r="F316" t="s">
        <v>3021</v>
      </c>
      <c r="G316">
        <v>23</v>
      </c>
      <c r="H316">
        <v>425546</v>
      </c>
      <c r="I316">
        <v>358365</v>
      </c>
      <c r="J316">
        <v>22.57</v>
      </c>
      <c r="K316">
        <v>48</v>
      </c>
      <c r="L316" t="s">
        <v>3046</v>
      </c>
      <c r="M316">
        <v>345</v>
      </c>
      <c r="N316">
        <v>0</v>
      </c>
      <c r="O316" t="s">
        <v>3056</v>
      </c>
      <c r="P316" t="s">
        <v>3076</v>
      </c>
      <c r="Q316">
        <v>0.84209999999999996</v>
      </c>
    </row>
    <row r="317" spans="1:17" x14ac:dyDescent="0.35">
      <c r="A317" t="s">
        <v>331</v>
      </c>
      <c r="B317" t="s">
        <v>1821</v>
      </c>
      <c r="C317">
        <v>36</v>
      </c>
      <c r="D317" t="s">
        <v>2992</v>
      </c>
      <c r="E317" t="s">
        <v>3005</v>
      </c>
      <c r="F317" t="s">
        <v>3021</v>
      </c>
      <c r="G317">
        <v>15</v>
      </c>
      <c r="H317">
        <v>414386</v>
      </c>
      <c r="I317">
        <v>458242</v>
      </c>
      <c r="J317">
        <v>13.88</v>
      </c>
      <c r="K317">
        <v>36</v>
      </c>
      <c r="L317" t="s">
        <v>3051</v>
      </c>
      <c r="M317">
        <v>655</v>
      </c>
      <c r="N317">
        <v>6</v>
      </c>
      <c r="O317" t="s">
        <v>3056</v>
      </c>
      <c r="P317" t="s">
        <v>3355</v>
      </c>
      <c r="Q317">
        <v>1.1057999999999999</v>
      </c>
    </row>
    <row r="318" spans="1:17" x14ac:dyDescent="0.35">
      <c r="A318" t="s">
        <v>332</v>
      </c>
      <c r="B318" t="s">
        <v>1822</v>
      </c>
      <c r="C318">
        <v>22</v>
      </c>
      <c r="D318" t="s">
        <v>2992</v>
      </c>
      <c r="E318" t="s">
        <v>3003</v>
      </c>
      <c r="F318" t="s">
        <v>3020</v>
      </c>
      <c r="G318">
        <v>1</v>
      </c>
      <c r="H318">
        <v>1306798</v>
      </c>
      <c r="I318">
        <v>323664</v>
      </c>
      <c r="J318">
        <v>19.649999999999999</v>
      </c>
      <c r="K318">
        <v>60</v>
      </c>
      <c r="L318" t="s">
        <v>3049</v>
      </c>
      <c r="M318">
        <v>759</v>
      </c>
      <c r="N318">
        <v>5</v>
      </c>
      <c r="O318" t="s">
        <v>3052</v>
      </c>
      <c r="P318" t="s">
        <v>3273</v>
      </c>
      <c r="Q318">
        <v>0.2477</v>
      </c>
    </row>
    <row r="319" spans="1:17" x14ac:dyDescent="0.35">
      <c r="A319" t="s">
        <v>333</v>
      </c>
      <c r="B319" t="s">
        <v>1823</v>
      </c>
      <c r="C319">
        <v>27</v>
      </c>
      <c r="E319" t="s">
        <v>2998</v>
      </c>
      <c r="F319" t="s">
        <v>3018</v>
      </c>
      <c r="G319">
        <v>9</v>
      </c>
      <c r="H319">
        <v>1240899</v>
      </c>
      <c r="I319">
        <v>634741</v>
      </c>
      <c r="J319">
        <v>9.6300000000000008</v>
      </c>
      <c r="K319">
        <v>60</v>
      </c>
      <c r="L319" t="s">
        <v>3047</v>
      </c>
      <c r="M319">
        <v>839</v>
      </c>
      <c r="N319">
        <v>6</v>
      </c>
      <c r="O319" t="s">
        <v>3054</v>
      </c>
      <c r="P319" t="s">
        <v>3356</v>
      </c>
      <c r="Q319">
        <v>0.51149999999999995</v>
      </c>
    </row>
    <row r="320" spans="1:17" x14ac:dyDescent="0.35">
      <c r="A320" t="s">
        <v>334</v>
      </c>
      <c r="B320" t="s">
        <v>1824</v>
      </c>
      <c r="C320">
        <v>43</v>
      </c>
      <c r="D320" t="s">
        <v>2990</v>
      </c>
      <c r="E320" t="s">
        <v>3002</v>
      </c>
      <c r="F320" t="s">
        <v>3020</v>
      </c>
      <c r="G320">
        <v>8</v>
      </c>
      <c r="H320">
        <v>413782</v>
      </c>
      <c r="I320">
        <v>85942</v>
      </c>
      <c r="J320" t="s">
        <v>3027</v>
      </c>
      <c r="K320">
        <v>48</v>
      </c>
      <c r="L320" t="s">
        <v>3051</v>
      </c>
      <c r="M320">
        <v>619</v>
      </c>
      <c r="N320">
        <v>2</v>
      </c>
      <c r="O320" t="s">
        <v>3054</v>
      </c>
      <c r="P320" t="s">
        <v>3302</v>
      </c>
      <c r="Q320">
        <v>0.2077</v>
      </c>
    </row>
    <row r="321" spans="1:17" x14ac:dyDescent="0.35">
      <c r="A321" t="s">
        <v>335</v>
      </c>
      <c r="B321" t="s">
        <v>1825</v>
      </c>
      <c r="C321">
        <v>44</v>
      </c>
      <c r="D321" t="s">
        <v>2990</v>
      </c>
      <c r="E321" t="s">
        <v>2999</v>
      </c>
      <c r="F321" t="s">
        <v>3020</v>
      </c>
      <c r="G321">
        <v>8</v>
      </c>
      <c r="H321">
        <v>729148</v>
      </c>
      <c r="I321">
        <v>775612</v>
      </c>
      <c r="J321">
        <v>15.6</v>
      </c>
      <c r="K321">
        <v>12</v>
      </c>
      <c r="L321" t="s">
        <v>3049</v>
      </c>
      <c r="M321">
        <v>776</v>
      </c>
      <c r="N321">
        <v>7</v>
      </c>
      <c r="O321" t="s">
        <v>3055</v>
      </c>
      <c r="P321" t="s">
        <v>3357</v>
      </c>
      <c r="Q321">
        <v>1.0637000000000001</v>
      </c>
    </row>
    <row r="322" spans="1:17" x14ac:dyDescent="0.35">
      <c r="A322" t="s">
        <v>336</v>
      </c>
      <c r="B322" t="s">
        <v>1826</v>
      </c>
      <c r="C322">
        <v>45</v>
      </c>
      <c r="D322" t="s">
        <v>2992</v>
      </c>
      <c r="E322" t="s">
        <v>3005</v>
      </c>
      <c r="F322" t="s">
        <v>3021</v>
      </c>
      <c r="G322">
        <v>26</v>
      </c>
      <c r="H322">
        <v>1999822</v>
      </c>
      <c r="I322">
        <v>70081</v>
      </c>
      <c r="J322">
        <v>18.93</v>
      </c>
      <c r="K322">
        <v>48</v>
      </c>
      <c r="L322" t="s">
        <v>3046</v>
      </c>
      <c r="M322">
        <v>683</v>
      </c>
      <c r="N322">
        <v>2</v>
      </c>
      <c r="O322" t="s">
        <v>3055</v>
      </c>
      <c r="P322" t="s">
        <v>3358</v>
      </c>
      <c r="Q322">
        <v>3.5000000000000003E-2</v>
      </c>
    </row>
    <row r="323" spans="1:17" x14ac:dyDescent="0.35">
      <c r="A323" t="s">
        <v>337</v>
      </c>
      <c r="B323" t="s">
        <v>1827</v>
      </c>
      <c r="C323">
        <v>23</v>
      </c>
      <c r="D323" t="s">
        <v>2992</v>
      </c>
      <c r="E323" t="s">
        <v>3005</v>
      </c>
      <c r="F323" t="s">
        <v>3021</v>
      </c>
      <c r="G323">
        <v>15</v>
      </c>
      <c r="H323">
        <v>686079</v>
      </c>
      <c r="I323">
        <v>140263</v>
      </c>
      <c r="J323">
        <v>15.49</v>
      </c>
      <c r="K323">
        <v>12</v>
      </c>
      <c r="L323" t="s">
        <v>3049</v>
      </c>
      <c r="M323">
        <v>1200</v>
      </c>
      <c r="N323">
        <v>7</v>
      </c>
      <c r="O323" t="s">
        <v>3054</v>
      </c>
      <c r="P323" t="s">
        <v>3359</v>
      </c>
      <c r="Q323">
        <v>0.2044</v>
      </c>
    </row>
    <row r="324" spans="1:17" x14ac:dyDescent="0.35">
      <c r="A324" t="s">
        <v>338</v>
      </c>
      <c r="B324" t="s">
        <v>1828</v>
      </c>
      <c r="C324">
        <v>60</v>
      </c>
      <c r="D324" t="s">
        <v>2990</v>
      </c>
      <c r="E324" t="s">
        <v>3004</v>
      </c>
      <c r="F324" t="s">
        <v>3019</v>
      </c>
      <c r="G324">
        <v>23</v>
      </c>
      <c r="H324">
        <v>652501</v>
      </c>
      <c r="I324">
        <v>563576</v>
      </c>
      <c r="J324">
        <v>21.8</v>
      </c>
      <c r="K324">
        <v>24</v>
      </c>
      <c r="M324">
        <v>496</v>
      </c>
      <c r="N324">
        <v>7</v>
      </c>
      <c r="O324" t="s">
        <v>3056</v>
      </c>
      <c r="P324" t="s">
        <v>3360</v>
      </c>
      <c r="Q324">
        <v>0.86370000000000002</v>
      </c>
    </row>
    <row r="325" spans="1:17" x14ac:dyDescent="0.35">
      <c r="A325" t="s">
        <v>339</v>
      </c>
      <c r="B325" t="s">
        <v>1829</v>
      </c>
      <c r="C325">
        <v>46</v>
      </c>
      <c r="D325" t="s">
        <v>2990</v>
      </c>
      <c r="E325" t="s">
        <v>3002</v>
      </c>
      <c r="F325" t="s">
        <v>3021</v>
      </c>
      <c r="G325">
        <v>13</v>
      </c>
      <c r="H325">
        <v>2164117</v>
      </c>
      <c r="I325">
        <v>639955</v>
      </c>
      <c r="J325">
        <v>10.47</v>
      </c>
      <c r="K325">
        <v>48</v>
      </c>
      <c r="L325" t="s">
        <v>3047</v>
      </c>
      <c r="M325">
        <v>821</v>
      </c>
      <c r="N325">
        <v>3</v>
      </c>
      <c r="O325" t="s">
        <v>3055</v>
      </c>
      <c r="P325" t="s">
        <v>3361</v>
      </c>
      <c r="Q325">
        <v>0.29570000000000002</v>
      </c>
    </row>
    <row r="326" spans="1:17" x14ac:dyDescent="0.35">
      <c r="A326" t="s">
        <v>340</v>
      </c>
      <c r="B326" t="s">
        <v>1830</v>
      </c>
      <c r="C326">
        <v>25</v>
      </c>
      <c r="D326" t="s">
        <v>2990</v>
      </c>
      <c r="E326" t="s">
        <v>3000</v>
      </c>
      <c r="F326" t="s">
        <v>3021</v>
      </c>
      <c r="G326">
        <v>17</v>
      </c>
      <c r="H326">
        <v>1710814</v>
      </c>
      <c r="I326">
        <v>755430</v>
      </c>
      <c r="J326">
        <v>27.85</v>
      </c>
      <c r="K326">
        <v>24</v>
      </c>
      <c r="M326">
        <v>462</v>
      </c>
      <c r="N326">
        <v>6</v>
      </c>
      <c r="O326" t="s">
        <v>3052</v>
      </c>
      <c r="P326" t="s">
        <v>3362</v>
      </c>
      <c r="Q326">
        <v>0.44159999999999999</v>
      </c>
    </row>
    <row r="327" spans="1:17" x14ac:dyDescent="0.35">
      <c r="A327" t="s">
        <v>341</v>
      </c>
      <c r="B327" t="s">
        <v>1831</v>
      </c>
      <c r="C327">
        <v>55</v>
      </c>
      <c r="D327" t="s">
        <v>2995</v>
      </c>
      <c r="E327" t="s">
        <v>3003</v>
      </c>
      <c r="F327" t="s">
        <v>3021</v>
      </c>
      <c r="G327">
        <v>9</v>
      </c>
      <c r="H327">
        <v>1617188</v>
      </c>
      <c r="I327">
        <v>513814</v>
      </c>
      <c r="J327">
        <v>12.41</v>
      </c>
      <c r="K327">
        <v>48</v>
      </c>
      <c r="L327" t="s">
        <v>3047</v>
      </c>
      <c r="M327">
        <v>381</v>
      </c>
      <c r="N327">
        <v>5</v>
      </c>
      <c r="O327" t="s">
        <v>3052</v>
      </c>
      <c r="P327" t="s">
        <v>3363</v>
      </c>
      <c r="Q327">
        <v>0.31769999999999998</v>
      </c>
    </row>
    <row r="328" spans="1:17" x14ac:dyDescent="0.35">
      <c r="A328" t="s">
        <v>342</v>
      </c>
      <c r="B328" t="s">
        <v>1832</v>
      </c>
      <c r="C328">
        <v>46</v>
      </c>
      <c r="D328" t="s">
        <v>2990</v>
      </c>
      <c r="E328" t="s">
        <v>3015</v>
      </c>
      <c r="F328" t="s">
        <v>3020</v>
      </c>
      <c r="G328">
        <v>26</v>
      </c>
      <c r="H328">
        <v>1844221</v>
      </c>
      <c r="I328">
        <v>156643</v>
      </c>
      <c r="J328">
        <v>9</v>
      </c>
      <c r="K328">
        <v>60</v>
      </c>
      <c r="L328" t="s">
        <v>3047</v>
      </c>
      <c r="M328">
        <v>310</v>
      </c>
      <c r="N328">
        <v>7</v>
      </c>
      <c r="O328" t="s">
        <v>3056</v>
      </c>
      <c r="P328" t="s">
        <v>3364</v>
      </c>
      <c r="Q328">
        <v>8.4900000000000003E-2</v>
      </c>
    </row>
    <row r="329" spans="1:17" x14ac:dyDescent="0.35">
      <c r="A329" t="s">
        <v>343</v>
      </c>
      <c r="B329" t="s">
        <v>1833</v>
      </c>
      <c r="C329">
        <v>29</v>
      </c>
      <c r="D329" t="s">
        <v>2992</v>
      </c>
      <c r="E329" t="s">
        <v>3001</v>
      </c>
      <c r="F329" t="s">
        <v>3021</v>
      </c>
      <c r="G329">
        <v>12</v>
      </c>
      <c r="H329">
        <v>551233</v>
      </c>
      <c r="I329">
        <v>720636</v>
      </c>
      <c r="J329">
        <v>16.16</v>
      </c>
      <c r="K329">
        <v>12</v>
      </c>
      <c r="L329" t="s">
        <v>3047</v>
      </c>
      <c r="M329">
        <v>457</v>
      </c>
      <c r="N329">
        <v>2</v>
      </c>
      <c r="O329" t="s">
        <v>3052</v>
      </c>
      <c r="P329" t="s">
        <v>3365</v>
      </c>
      <c r="Q329">
        <v>1.3072999999999999</v>
      </c>
    </row>
    <row r="330" spans="1:17" x14ac:dyDescent="0.35">
      <c r="A330" t="s">
        <v>344</v>
      </c>
      <c r="B330" t="s">
        <v>1834</v>
      </c>
      <c r="C330">
        <v>42</v>
      </c>
      <c r="D330" t="s">
        <v>2992</v>
      </c>
      <c r="E330" t="s">
        <v>3007</v>
      </c>
      <c r="F330" t="s">
        <v>3019</v>
      </c>
      <c r="G330">
        <v>12</v>
      </c>
      <c r="H330">
        <v>814122</v>
      </c>
      <c r="I330">
        <v>218784</v>
      </c>
      <c r="J330">
        <v>24.65</v>
      </c>
      <c r="K330">
        <v>48</v>
      </c>
      <c r="L330" t="s">
        <v>3050</v>
      </c>
      <c r="M330">
        <v>445</v>
      </c>
      <c r="N330">
        <v>1</v>
      </c>
      <c r="O330" t="s">
        <v>3053</v>
      </c>
      <c r="P330" t="s">
        <v>3366</v>
      </c>
      <c r="Q330">
        <v>0.26869999999999999</v>
      </c>
    </row>
    <row r="331" spans="1:17" x14ac:dyDescent="0.35">
      <c r="A331" t="s">
        <v>345</v>
      </c>
      <c r="B331" t="s">
        <v>1835</v>
      </c>
      <c r="C331">
        <v>33</v>
      </c>
      <c r="D331" t="s">
        <v>2992</v>
      </c>
      <c r="E331" t="s">
        <v>3004</v>
      </c>
      <c r="F331" t="s">
        <v>3019</v>
      </c>
      <c r="G331">
        <v>2</v>
      </c>
      <c r="H331">
        <v>2319980</v>
      </c>
      <c r="I331">
        <v>146479</v>
      </c>
      <c r="J331">
        <v>13.87</v>
      </c>
      <c r="K331">
        <v>60</v>
      </c>
      <c r="L331" t="s">
        <v>3049</v>
      </c>
      <c r="M331">
        <v>463</v>
      </c>
      <c r="N331">
        <v>1</v>
      </c>
      <c r="O331" t="s">
        <v>3054</v>
      </c>
      <c r="P331" t="s">
        <v>3124</v>
      </c>
      <c r="Q331">
        <v>6.3100000000000003E-2</v>
      </c>
    </row>
    <row r="332" spans="1:17" x14ac:dyDescent="0.35">
      <c r="A332" t="s">
        <v>346</v>
      </c>
      <c r="B332" t="s">
        <v>1836</v>
      </c>
      <c r="C332">
        <v>42</v>
      </c>
      <c r="D332" t="s">
        <v>2992</v>
      </c>
      <c r="E332" t="s">
        <v>3000</v>
      </c>
      <c r="F332" t="s">
        <v>3019</v>
      </c>
      <c r="G332">
        <v>8</v>
      </c>
      <c r="H332">
        <v>1319664</v>
      </c>
      <c r="I332">
        <v>712459</v>
      </c>
      <c r="J332">
        <v>15.87</v>
      </c>
      <c r="K332">
        <v>24</v>
      </c>
      <c r="L332" t="s">
        <v>3049</v>
      </c>
      <c r="M332">
        <v>394</v>
      </c>
      <c r="N332">
        <v>7</v>
      </c>
      <c r="O332" t="s">
        <v>3054</v>
      </c>
      <c r="P332" t="s">
        <v>3065</v>
      </c>
      <c r="Q332">
        <v>0.53990000000000005</v>
      </c>
    </row>
    <row r="333" spans="1:17" x14ac:dyDescent="0.35">
      <c r="A333" t="s">
        <v>347</v>
      </c>
      <c r="B333" t="s">
        <v>1837</v>
      </c>
      <c r="C333">
        <v>24</v>
      </c>
      <c r="D333" t="s">
        <v>2990</v>
      </c>
      <c r="E333" t="s">
        <v>3004</v>
      </c>
      <c r="F333" t="s">
        <v>3021</v>
      </c>
      <c r="G333">
        <v>11</v>
      </c>
      <c r="H333">
        <v>1554572</v>
      </c>
      <c r="I333">
        <v>254104</v>
      </c>
      <c r="J333">
        <v>12.09</v>
      </c>
      <c r="K333">
        <v>24</v>
      </c>
      <c r="L333" t="s">
        <v>3048</v>
      </c>
      <c r="M333">
        <v>821</v>
      </c>
      <c r="N333">
        <v>4</v>
      </c>
      <c r="O333" t="s">
        <v>3052</v>
      </c>
      <c r="P333" t="s">
        <v>3367</v>
      </c>
      <c r="Q333">
        <v>0.16350000000000001</v>
      </c>
    </row>
    <row r="334" spans="1:17" x14ac:dyDescent="0.35">
      <c r="A334" t="s">
        <v>348</v>
      </c>
      <c r="B334" t="s">
        <v>1838</v>
      </c>
      <c r="C334">
        <v>60</v>
      </c>
      <c r="D334" t="s">
        <v>2992</v>
      </c>
      <c r="E334" t="s">
        <v>3005</v>
      </c>
      <c r="F334" t="s">
        <v>3020</v>
      </c>
      <c r="G334">
        <v>22</v>
      </c>
      <c r="H334">
        <v>968768</v>
      </c>
      <c r="I334">
        <v>371181</v>
      </c>
      <c r="J334">
        <v>26.63</v>
      </c>
      <c r="K334">
        <v>60</v>
      </c>
      <c r="L334" t="s">
        <v>3051</v>
      </c>
      <c r="N334">
        <v>3</v>
      </c>
      <c r="O334" t="s">
        <v>3057</v>
      </c>
      <c r="P334" t="s">
        <v>3368</v>
      </c>
      <c r="Q334">
        <v>0.3831</v>
      </c>
    </row>
    <row r="335" spans="1:17" x14ac:dyDescent="0.35">
      <c r="A335" t="s">
        <v>349</v>
      </c>
      <c r="B335" t="s">
        <v>1839</v>
      </c>
      <c r="C335">
        <v>27</v>
      </c>
      <c r="D335" t="s">
        <v>2992</v>
      </c>
      <c r="E335" t="s">
        <v>3005</v>
      </c>
      <c r="F335" t="s">
        <v>3020</v>
      </c>
      <c r="G335">
        <v>6</v>
      </c>
      <c r="H335">
        <v>1734510</v>
      </c>
      <c r="I335">
        <v>531511</v>
      </c>
      <c r="J335">
        <v>19.32</v>
      </c>
      <c r="K335">
        <v>60</v>
      </c>
      <c r="L335" t="s">
        <v>3047</v>
      </c>
      <c r="M335">
        <v>539</v>
      </c>
      <c r="N335">
        <v>7</v>
      </c>
      <c r="O335" t="s">
        <v>3054</v>
      </c>
      <c r="P335" t="s">
        <v>3369</v>
      </c>
      <c r="Q335">
        <v>0.30640000000000001</v>
      </c>
    </row>
    <row r="336" spans="1:17" x14ac:dyDescent="0.35">
      <c r="A336" t="s">
        <v>350</v>
      </c>
      <c r="B336" t="s">
        <v>1840</v>
      </c>
      <c r="C336">
        <v>55</v>
      </c>
      <c r="D336" t="s">
        <v>2990</v>
      </c>
      <c r="E336" t="s">
        <v>3007</v>
      </c>
      <c r="F336" t="s">
        <v>3020</v>
      </c>
      <c r="G336">
        <v>15</v>
      </c>
      <c r="H336">
        <v>1303994</v>
      </c>
      <c r="I336">
        <v>186277</v>
      </c>
      <c r="J336">
        <v>23.39</v>
      </c>
      <c r="K336">
        <v>48</v>
      </c>
      <c r="L336" t="s">
        <v>3049</v>
      </c>
      <c r="N336">
        <v>5</v>
      </c>
      <c r="O336" t="s">
        <v>3052</v>
      </c>
      <c r="P336" t="s">
        <v>3181</v>
      </c>
      <c r="Q336">
        <v>0.1429</v>
      </c>
    </row>
    <row r="337" spans="1:17" x14ac:dyDescent="0.35">
      <c r="A337" t="s">
        <v>351</v>
      </c>
      <c r="B337" t="s">
        <v>1841</v>
      </c>
      <c r="C337">
        <v>32</v>
      </c>
      <c r="D337" t="s">
        <v>2992</v>
      </c>
      <c r="E337" t="s">
        <v>3005</v>
      </c>
      <c r="F337" t="s">
        <v>3019</v>
      </c>
      <c r="G337">
        <v>22</v>
      </c>
      <c r="H337">
        <v>2012684</v>
      </c>
      <c r="I337">
        <v>66101</v>
      </c>
      <c r="J337">
        <v>12.36</v>
      </c>
      <c r="K337">
        <v>24</v>
      </c>
      <c r="L337" t="s">
        <v>3048</v>
      </c>
      <c r="N337">
        <v>6</v>
      </c>
      <c r="O337" t="s">
        <v>3056</v>
      </c>
      <c r="P337" t="s">
        <v>3370</v>
      </c>
      <c r="Q337">
        <v>3.2800000000000003E-2</v>
      </c>
    </row>
    <row r="338" spans="1:17" x14ac:dyDescent="0.35">
      <c r="A338" t="s">
        <v>352</v>
      </c>
      <c r="B338" t="s">
        <v>1842</v>
      </c>
      <c r="C338">
        <v>63</v>
      </c>
      <c r="D338" t="s">
        <v>2990</v>
      </c>
      <c r="E338" t="s">
        <v>2998</v>
      </c>
      <c r="F338" t="s">
        <v>3021</v>
      </c>
      <c r="G338">
        <v>24</v>
      </c>
      <c r="H338">
        <v>1158836</v>
      </c>
      <c r="I338">
        <v>295049</v>
      </c>
      <c r="J338">
        <v>11.27</v>
      </c>
      <c r="K338">
        <v>36</v>
      </c>
      <c r="L338" t="s">
        <v>3051</v>
      </c>
      <c r="M338">
        <v>432</v>
      </c>
      <c r="N338">
        <v>1</v>
      </c>
      <c r="O338" t="s">
        <v>3054</v>
      </c>
      <c r="P338" t="s">
        <v>3371</v>
      </c>
      <c r="Q338">
        <v>0.25459999999999999</v>
      </c>
    </row>
    <row r="339" spans="1:17" x14ac:dyDescent="0.35">
      <c r="A339" t="s">
        <v>353</v>
      </c>
      <c r="B339" t="s">
        <v>1843</v>
      </c>
      <c r="C339">
        <v>22</v>
      </c>
      <c r="D339" t="s">
        <v>2992</v>
      </c>
      <c r="E339" t="s">
        <v>3001</v>
      </c>
      <c r="F339" t="s">
        <v>3019</v>
      </c>
      <c r="G339">
        <v>29</v>
      </c>
      <c r="H339">
        <v>1270805</v>
      </c>
      <c r="I339">
        <v>359384</v>
      </c>
      <c r="J339">
        <v>10.33</v>
      </c>
      <c r="K339">
        <v>24</v>
      </c>
      <c r="L339" t="s">
        <v>3048</v>
      </c>
      <c r="M339">
        <v>519</v>
      </c>
      <c r="N339">
        <v>0</v>
      </c>
      <c r="O339" t="s">
        <v>3054</v>
      </c>
      <c r="P339" t="s">
        <v>3372</v>
      </c>
      <c r="Q339">
        <v>0.2828</v>
      </c>
    </row>
    <row r="340" spans="1:17" x14ac:dyDescent="0.35">
      <c r="A340" t="s">
        <v>354</v>
      </c>
      <c r="B340" t="s">
        <v>1844</v>
      </c>
      <c r="C340">
        <v>47</v>
      </c>
      <c r="D340" t="s">
        <v>2992</v>
      </c>
      <c r="E340" t="s">
        <v>3005</v>
      </c>
      <c r="F340" t="s">
        <v>3021</v>
      </c>
      <c r="G340">
        <v>27</v>
      </c>
      <c r="H340">
        <v>1245923</v>
      </c>
      <c r="I340">
        <v>201517</v>
      </c>
      <c r="J340">
        <v>11.73</v>
      </c>
      <c r="K340">
        <v>24</v>
      </c>
      <c r="L340" t="s">
        <v>3048</v>
      </c>
      <c r="M340">
        <v>678</v>
      </c>
      <c r="N340">
        <v>4</v>
      </c>
      <c r="O340" t="s">
        <v>3054</v>
      </c>
      <c r="P340" t="s">
        <v>3373</v>
      </c>
      <c r="Q340">
        <v>0.16170000000000001</v>
      </c>
    </row>
    <row r="341" spans="1:17" x14ac:dyDescent="0.35">
      <c r="A341" t="s">
        <v>355</v>
      </c>
      <c r="B341" t="s">
        <v>1845</v>
      </c>
      <c r="C341">
        <v>48</v>
      </c>
      <c r="D341" t="s">
        <v>2992</v>
      </c>
      <c r="E341" t="s">
        <v>2999</v>
      </c>
      <c r="F341" t="s">
        <v>3018</v>
      </c>
      <c r="G341">
        <v>18</v>
      </c>
      <c r="H341">
        <v>1514742</v>
      </c>
      <c r="I341">
        <v>255419</v>
      </c>
      <c r="J341">
        <v>9.24</v>
      </c>
      <c r="K341">
        <v>36</v>
      </c>
      <c r="L341" t="s">
        <v>3050</v>
      </c>
      <c r="M341">
        <v>630</v>
      </c>
      <c r="N341">
        <v>6</v>
      </c>
      <c r="O341" t="s">
        <v>3053</v>
      </c>
      <c r="P341" t="s">
        <v>3142</v>
      </c>
      <c r="Q341">
        <v>0.1686</v>
      </c>
    </row>
    <row r="342" spans="1:17" x14ac:dyDescent="0.35">
      <c r="A342" t="s">
        <v>356</v>
      </c>
      <c r="B342" t="s">
        <v>1846</v>
      </c>
      <c r="C342">
        <v>53</v>
      </c>
      <c r="D342" t="s">
        <v>2990</v>
      </c>
      <c r="E342" t="s">
        <v>3000</v>
      </c>
      <c r="F342" t="s">
        <v>3020</v>
      </c>
      <c r="G342">
        <v>16</v>
      </c>
      <c r="H342">
        <v>405049</v>
      </c>
      <c r="I342">
        <v>645043</v>
      </c>
      <c r="J342">
        <v>9.91</v>
      </c>
      <c r="K342">
        <v>12</v>
      </c>
      <c r="L342" t="s">
        <v>3051</v>
      </c>
      <c r="M342">
        <v>552</v>
      </c>
      <c r="N342">
        <v>4</v>
      </c>
      <c r="O342" t="s">
        <v>3052</v>
      </c>
      <c r="P342" t="s">
        <v>3252</v>
      </c>
      <c r="Q342">
        <v>1.5925</v>
      </c>
    </row>
    <row r="343" spans="1:17" x14ac:dyDescent="0.35">
      <c r="A343" t="s">
        <v>357</v>
      </c>
      <c r="B343" t="s">
        <v>1847</v>
      </c>
      <c r="C343">
        <v>22</v>
      </c>
      <c r="D343" t="s">
        <v>2990</v>
      </c>
      <c r="E343" t="s">
        <v>3005</v>
      </c>
      <c r="F343" t="s">
        <v>3019</v>
      </c>
      <c r="G343">
        <v>0</v>
      </c>
      <c r="H343">
        <v>1312658</v>
      </c>
      <c r="I343">
        <v>20159</v>
      </c>
      <c r="J343" t="s">
        <v>3028</v>
      </c>
      <c r="K343">
        <v>24</v>
      </c>
      <c r="L343" t="s">
        <v>3050</v>
      </c>
      <c r="M343">
        <v>597</v>
      </c>
      <c r="N343">
        <v>0</v>
      </c>
      <c r="O343" t="s">
        <v>3056</v>
      </c>
      <c r="P343" t="s">
        <v>3374</v>
      </c>
      <c r="Q343">
        <v>1.54E-2</v>
      </c>
    </row>
    <row r="344" spans="1:17" x14ac:dyDescent="0.35">
      <c r="A344" t="s">
        <v>358</v>
      </c>
      <c r="B344" t="s">
        <v>1848</v>
      </c>
      <c r="C344">
        <v>23</v>
      </c>
      <c r="D344" t="s">
        <v>2992</v>
      </c>
      <c r="E344" t="s">
        <v>3005</v>
      </c>
      <c r="F344" t="s">
        <v>3019</v>
      </c>
      <c r="G344">
        <v>9</v>
      </c>
      <c r="H344">
        <v>2298433</v>
      </c>
      <c r="I344">
        <v>441594</v>
      </c>
      <c r="J344">
        <v>14.73</v>
      </c>
      <c r="K344">
        <v>24</v>
      </c>
      <c r="L344" t="s">
        <v>3048</v>
      </c>
      <c r="M344">
        <v>632</v>
      </c>
      <c r="N344">
        <v>3</v>
      </c>
      <c r="O344" t="s">
        <v>3057</v>
      </c>
      <c r="P344" t="s">
        <v>3375</v>
      </c>
      <c r="Q344">
        <v>0.19209999999999999</v>
      </c>
    </row>
    <row r="345" spans="1:17" x14ac:dyDescent="0.35">
      <c r="A345" t="s">
        <v>359</v>
      </c>
      <c r="B345" t="s">
        <v>1849</v>
      </c>
      <c r="C345">
        <v>55</v>
      </c>
      <c r="D345" t="s">
        <v>2990</v>
      </c>
      <c r="E345" t="s">
        <v>3001</v>
      </c>
      <c r="F345" t="s">
        <v>3020</v>
      </c>
      <c r="G345">
        <v>16</v>
      </c>
      <c r="H345">
        <v>714003</v>
      </c>
      <c r="I345">
        <v>271514</v>
      </c>
      <c r="J345">
        <v>21</v>
      </c>
      <c r="K345">
        <v>24</v>
      </c>
      <c r="L345" t="s">
        <v>3051</v>
      </c>
      <c r="M345">
        <v>653</v>
      </c>
      <c r="N345">
        <v>4</v>
      </c>
      <c r="O345" t="s">
        <v>3053</v>
      </c>
      <c r="P345" t="s">
        <v>3376</v>
      </c>
      <c r="Q345">
        <v>0.38030000000000003</v>
      </c>
    </row>
    <row r="346" spans="1:17" x14ac:dyDescent="0.35">
      <c r="A346" t="s">
        <v>360</v>
      </c>
      <c r="B346" t="s">
        <v>1850</v>
      </c>
      <c r="C346">
        <v>40</v>
      </c>
      <c r="D346" t="s">
        <v>2990</v>
      </c>
      <c r="E346" t="s">
        <v>3006</v>
      </c>
      <c r="F346" t="s">
        <v>3020</v>
      </c>
      <c r="G346">
        <v>26</v>
      </c>
      <c r="H346">
        <v>1112883</v>
      </c>
      <c r="I346">
        <v>615131</v>
      </c>
      <c r="J346">
        <v>14.68</v>
      </c>
      <c r="K346">
        <v>24</v>
      </c>
      <c r="L346" t="s">
        <v>3048</v>
      </c>
      <c r="M346">
        <v>582</v>
      </c>
      <c r="N346">
        <v>1</v>
      </c>
      <c r="O346" t="s">
        <v>3053</v>
      </c>
      <c r="P346" t="s">
        <v>3377</v>
      </c>
      <c r="Q346">
        <v>0.55269999999999997</v>
      </c>
    </row>
    <row r="347" spans="1:17" x14ac:dyDescent="0.35">
      <c r="A347" t="s">
        <v>361</v>
      </c>
      <c r="B347" t="s">
        <v>1851</v>
      </c>
      <c r="C347">
        <v>30</v>
      </c>
      <c r="D347" t="s">
        <v>2992</v>
      </c>
      <c r="E347" t="s">
        <v>2998</v>
      </c>
      <c r="F347" t="s">
        <v>3018</v>
      </c>
      <c r="G347">
        <v>7</v>
      </c>
      <c r="H347">
        <v>937771</v>
      </c>
      <c r="I347">
        <v>610504</v>
      </c>
      <c r="J347">
        <v>12.81</v>
      </c>
      <c r="K347">
        <v>60</v>
      </c>
      <c r="L347" t="s">
        <v>3051</v>
      </c>
      <c r="M347">
        <v>778</v>
      </c>
      <c r="N347">
        <v>6</v>
      </c>
      <c r="O347" t="s">
        <v>3053</v>
      </c>
      <c r="P347" t="s">
        <v>3378</v>
      </c>
      <c r="Q347">
        <v>0.65100000000000002</v>
      </c>
    </row>
    <row r="348" spans="1:17" x14ac:dyDescent="0.35">
      <c r="A348" t="s">
        <v>362</v>
      </c>
      <c r="B348" t="s">
        <v>1852</v>
      </c>
      <c r="C348">
        <v>44</v>
      </c>
      <c r="D348" t="s">
        <v>2992</v>
      </c>
      <c r="E348" t="s">
        <v>3007</v>
      </c>
      <c r="F348" t="s">
        <v>3018</v>
      </c>
      <c r="G348">
        <v>22</v>
      </c>
      <c r="H348">
        <v>1906605</v>
      </c>
      <c r="I348">
        <v>729676</v>
      </c>
      <c r="J348">
        <v>13.67</v>
      </c>
      <c r="K348">
        <v>12</v>
      </c>
      <c r="L348" t="s">
        <v>3050</v>
      </c>
      <c r="M348">
        <v>491</v>
      </c>
      <c r="N348">
        <v>0</v>
      </c>
      <c r="O348" t="s">
        <v>3056</v>
      </c>
      <c r="P348" t="s">
        <v>3379</v>
      </c>
      <c r="Q348">
        <v>0.38269999999999998</v>
      </c>
    </row>
    <row r="349" spans="1:17" x14ac:dyDescent="0.35">
      <c r="A349" t="s">
        <v>363</v>
      </c>
      <c r="B349" t="s">
        <v>1853</v>
      </c>
      <c r="C349">
        <v>55</v>
      </c>
      <c r="D349" t="s">
        <v>2992</v>
      </c>
      <c r="E349" t="s">
        <v>3005</v>
      </c>
      <c r="F349" t="s">
        <v>3020</v>
      </c>
      <c r="G349">
        <v>25</v>
      </c>
      <c r="H349">
        <v>643547</v>
      </c>
      <c r="I349">
        <v>421062</v>
      </c>
      <c r="J349">
        <v>16.84</v>
      </c>
      <c r="K349">
        <v>48</v>
      </c>
      <c r="L349" t="s">
        <v>3050</v>
      </c>
      <c r="M349">
        <v>713</v>
      </c>
      <c r="N349">
        <v>3</v>
      </c>
      <c r="O349" t="s">
        <v>3052</v>
      </c>
      <c r="P349" t="s">
        <v>3380</v>
      </c>
      <c r="Q349">
        <v>0.65429999999999999</v>
      </c>
    </row>
    <row r="350" spans="1:17" x14ac:dyDescent="0.35">
      <c r="A350" t="s">
        <v>364</v>
      </c>
      <c r="B350" t="s">
        <v>1854</v>
      </c>
      <c r="C350">
        <v>31</v>
      </c>
      <c r="D350" t="s">
        <v>2990</v>
      </c>
      <c r="E350" t="s">
        <v>3007</v>
      </c>
      <c r="F350" t="s">
        <v>3021</v>
      </c>
      <c r="G350">
        <v>18</v>
      </c>
      <c r="H350">
        <v>997052</v>
      </c>
      <c r="I350">
        <v>271671</v>
      </c>
      <c r="J350">
        <v>10.54</v>
      </c>
      <c r="K350">
        <v>12</v>
      </c>
      <c r="L350" t="s">
        <v>3048</v>
      </c>
      <c r="M350">
        <v>575</v>
      </c>
      <c r="N350">
        <v>3</v>
      </c>
      <c r="O350" t="s">
        <v>3057</v>
      </c>
      <c r="P350" t="s">
        <v>3381</v>
      </c>
      <c r="Q350">
        <v>0.27250000000000002</v>
      </c>
    </row>
    <row r="351" spans="1:17" x14ac:dyDescent="0.35">
      <c r="A351" t="s">
        <v>365</v>
      </c>
      <c r="B351" t="s">
        <v>1855</v>
      </c>
      <c r="C351">
        <v>44</v>
      </c>
      <c r="D351" t="s">
        <v>2990</v>
      </c>
      <c r="E351" t="s">
        <v>3002</v>
      </c>
      <c r="F351" t="s">
        <v>3018</v>
      </c>
      <c r="G351">
        <v>29</v>
      </c>
      <c r="H351">
        <v>1848321</v>
      </c>
      <c r="I351">
        <v>206633</v>
      </c>
      <c r="J351">
        <v>20.63</v>
      </c>
      <c r="K351">
        <v>36</v>
      </c>
      <c r="L351" t="s">
        <v>3050</v>
      </c>
      <c r="M351">
        <v>432</v>
      </c>
      <c r="N351">
        <v>2</v>
      </c>
      <c r="O351" t="s">
        <v>3060</v>
      </c>
      <c r="P351" t="s">
        <v>3382</v>
      </c>
      <c r="Q351">
        <v>0.1118</v>
      </c>
    </row>
    <row r="352" spans="1:17" x14ac:dyDescent="0.35">
      <c r="A352" t="s">
        <v>366</v>
      </c>
      <c r="B352" t="s">
        <v>1856</v>
      </c>
      <c r="C352">
        <v>34</v>
      </c>
      <c r="D352" t="s">
        <v>2990</v>
      </c>
      <c r="E352" t="s">
        <v>2999</v>
      </c>
      <c r="F352" t="s">
        <v>3021</v>
      </c>
      <c r="G352">
        <v>28</v>
      </c>
      <c r="H352">
        <v>1004255</v>
      </c>
      <c r="I352">
        <v>778761</v>
      </c>
      <c r="J352">
        <v>23.32</v>
      </c>
      <c r="K352">
        <v>24</v>
      </c>
      <c r="L352" t="s">
        <v>3051</v>
      </c>
      <c r="M352">
        <v>556</v>
      </c>
      <c r="N352">
        <v>4</v>
      </c>
      <c r="O352" t="s">
        <v>3053</v>
      </c>
      <c r="P352" t="s">
        <v>3383</v>
      </c>
      <c r="Q352">
        <v>0.77549999999999997</v>
      </c>
    </row>
    <row r="353" spans="1:17" x14ac:dyDescent="0.35">
      <c r="A353" t="s">
        <v>367</v>
      </c>
      <c r="B353" t="s">
        <v>1857</v>
      </c>
      <c r="C353">
        <v>37</v>
      </c>
      <c r="D353" t="s">
        <v>2992</v>
      </c>
      <c r="E353" t="s">
        <v>3004</v>
      </c>
      <c r="F353" t="s">
        <v>3021</v>
      </c>
      <c r="G353">
        <v>19</v>
      </c>
      <c r="H353">
        <v>465555</v>
      </c>
      <c r="I353">
        <v>298355</v>
      </c>
      <c r="J353">
        <v>12.69</v>
      </c>
      <c r="K353">
        <v>48</v>
      </c>
      <c r="L353" t="s">
        <v>3049</v>
      </c>
      <c r="M353">
        <v>674</v>
      </c>
      <c r="N353">
        <v>3</v>
      </c>
      <c r="O353" t="s">
        <v>3053</v>
      </c>
      <c r="P353" t="s">
        <v>3384</v>
      </c>
      <c r="Q353">
        <v>0.64090000000000003</v>
      </c>
    </row>
    <row r="354" spans="1:17" x14ac:dyDescent="0.35">
      <c r="A354" t="s">
        <v>368</v>
      </c>
      <c r="B354" t="s">
        <v>1858</v>
      </c>
      <c r="C354">
        <v>39</v>
      </c>
      <c r="D354" t="s">
        <v>2992</v>
      </c>
      <c r="E354" t="s">
        <v>2999</v>
      </c>
      <c r="F354" t="s">
        <v>3019</v>
      </c>
      <c r="G354">
        <v>4</v>
      </c>
      <c r="H354">
        <v>255388</v>
      </c>
      <c r="I354">
        <v>211387</v>
      </c>
      <c r="J354">
        <v>19.12</v>
      </c>
      <c r="K354">
        <v>24</v>
      </c>
      <c r="M354">
        <v>675</v>
      </c>
      <c r="N354">
        <v>2</v>
      </c>
      <c r="O354" t="s">
        <v>3057</v>
      </c>
      <c r="P354" t="s">
        <v>3385</v>
      </c>
      <c r="Q354">
        <v>0.82769999999999999</v>
      </c>
    </row>
    <row r="355" spans="1:17" x14ac:dyDescent="0.35">
      <c r="A355" t="s">
        <v>369</v>
      </c>
      <c r="B355" t="s">
        <v>1859</v>
      </c>
      <c r="C355">
        <v>58</v>
      </c>
      <c r="D355" t="s">
        <v>2992</v>
      </c>
      <c r="E355" t="s">
        <v>2998</v>
      </c>
      <c r="F355" t="s">
        <v>3019</v>
      </c>
      <c r="G355">
        <v>7</v>
      </c>
      <c r="H355">
        <v>1692760</v>
      </c>
      <c r="I355">
        <v>25520</v>
      </c>
      <c r="J355">
        <v>16.010000000000002</v>
      </c>
      <c r="K355">
        <v>60</v>
      </c>
      <c r="L355" t="s">
        <v>3048</v>
      </c>
      <c r="M355">
        <v>406</v>
      </c>
      <c r="N355">
        <v>0</v>
      </c>
      <c r="O355" t="s">
        <v>3054</v>
      </c>
      <c r="P355" t="s">
        <v>3386</v>
      </c>
      <c r="Q355">
        <v>1.5100000000000001E-2</v>
      </c>
    </row>
    <row r="356" spans="1:17" x14ac:dyDescent="0.35">
      <c r="A356" t="s">
        <v>370</v>
      </c>
      <c r="B356" t="s">
        <v>1860</v>
      </c>
      <c r="C356">
        <v>50</v>
      </c>
      <c r="D356" t="s">
        <v>2992</v>
      </c>
      <c r="E356" t="s">
        <v>2998</v>
      </c>
      <c r="F356" t="s">
        <v>3021</v>
      </c>
      <c r="G356">
        <v>13</v>
      </c>
      <c r="H356">
        <v>988258</v>
      </c>
      <c r="I356">
        <v>694943</v>
      </c>
      <c r="J356">
        <v>19.29</v>
      </c>
      <c r="K356">
        <v>24</v>
      </c>
      <c r="L356" t="s">
        <v>3051</v>
      </c>
      <c r="M356">
        <v>496</v>
      </c>
      <c r="N356">
        <v>1</v>
      </c>
      <c r="O356" t="s">
        <v>3055</v>
      </c>
      <c r="P356" t="s">
        <v>3387</v>
      </c>
      <c r="Q356">
        <v>0.70320000000000005</v>
      </c>
    </row>
    <row r="357" spans="1:17" x14ac:dyDescent="0.35">
      <c r="A357" t="s">
        <v>371</v>
      </c>
      <c r="B357" t="s">
        <v>1861</v>
      </c>
      <c r="C357">
        <v>54</v>
      </c>
      <c r="D357" t="s">
        <v>2992</v>
      </c>
      <c r="E357" t="s">
        <v>3004</v>
      </c>
      <c r="F357" t="s">
        <v>3021</v>
      </c>
      <c r="G357">
        <v>17</v>
      </c>
      <c r="H357">
        <v>2276952</v>
      </c>
      <c r="I357">
        <v>234127</v>
      </c>
      <c r="J357">
        <v>12.12</v>
      </c>
      <c r="K357">
        <v>36</v>
      </c>
      <c r="L357" t="s">
        <v>3049</v>
      </c>
      <c r="M357">
        <v>311</v>
      </c>
      <c r="N357">
        <v>6</v>
      </c>
      <c r="O357" t="s">
        <v>3057</v>
      </c>
      <c r="P357" t="s">
        <v>3388</v>
      </c>
      <c r="Q357">
        <v>0.1028</v>
      </c>
    </row>
    <row r="358" spans="1:17" x14ac:dyDescent="0.35">
      <c r="A358" t="s">
        <v>372</v>
      </c>
      <c r="B358" t="s">
        <v>1862</v>
      </c>
      <c r="C358">
        <v>22</v>
      </c>
      <c r="E358" t="s">
        <v>2999</v>
      </c>
      <c r="F358" t="s">
        <v>3021</v>
      </c>
      <c r="G358">
        <v>18</v>
      </c>
      <c r="H358">
        <v>1402471</v>
      </c>
      <c r="I358">
        <v>632181</v>
      </c>
      <c r="J358">
        <v>20.05</v>
      </c>
      <c r="K358">
        <v>12</v>
      </c>
      <c r="L358" t="s">
        <v>3048</v>
      </c>
      <c r="M358">
        <v>747</v>
      </c>
      <c r="N358">
        <v>7</v>
      </c>
      <c r="O358" t="s">
        <v>3055</v>
      </c>
      <c r="P358" t="s">
        <v>3389</v>
      </c>
      <c r="Q358">
        <v>0.45079999999999998</v>
      </c>
    </row>
    <row r="359" spans="1:17" x14ac:dyDescent="0.35">
      <c r="A359" t="s">
        <v>373</v>
      </c>
      <c r="B359" t="s">
        <v>1863</v>
      </c>
      <c r="C359">
        <v>35</v>
      </c>
      <c r="D359" t="s">
        <v>2990</v>
      </c>
      <c r="E359" t="s">
        <v>3002</v>
      </c>
      <c r="F359" t="s">
        <v>3020</v>
      </c>
      <c r="G359">
        <v>10</v>
      </c>
      <c r="H359">
        <v>1887017</v>
      </c>
      <c r="I359">
        <v>425841</v>
      </c>
      <c r="J359">
        <v>16.309999999999999</v>
      </c>
      <c r="K359">
        <v>60</v>
      </c>
      <c r="M359">
        <v>388</v>
      </c>
      <c r="N359">
        <v>3</v>
      </c>
      <c r="O359" t="s">
        <v>3056</v>
      </c>
      <c r="P359" t="s">
        <v>3390</v>
      </c>
      <c r="Q359">
        <v>0.22570000000000001</v>
      </c>
    </row>
    <row r="360" spans="1:17" x14ac:dyDescent="0.35">
      <c r="A360" t="s">
        <v>374</v>
      </c>
      <c r="B360" t="s">
        <v>1864</v>
      </c>
      <c r="C360">
        <v>64</v>
      </c>
      <c r="D360" t="s">
        <v>2990</v>
      </c>
      <c r="E360" t="s">
        <v>2998</v>
      </c>
      <c r="F360" t="s">
        <v>3018</v>
      </c>
      <c r="G360">
        <v>29</v>
      </c>
      <c r="H360">
        <v>1771218</v>
      </c>
      <c r="I360">
        <v>560023</v>
      </c>
      <c r="J360">
        <v>27.06</v>
      </c>
      <c r="K360">
        <v>48</v>
      </c>
      <c r="L360" t="s">
        <v>3051</v>
      </c>
      <c r="M360">
        <v>791</v>
      </c>
      <c r="N360">
        <v>4</v>
      </c>
      <c r="O360" t="s">
        <v>3054</v>
      </c>
      <c r="P360" t="s">
        <v>3391</v>
      </c>
      <c r="Q360">
        <v>0.31619999999999998</v>
      </c>
    </row>
    <row r="361" spans="1:17" x14ac:dyDescent="0.35">
      <c r="A361" t="s">
        <v>375</v>
      </c>
      <c r="B361" t="s">
        <v>1865</v>
      </c>
      <c r="C361">
        <v>33</v>
      </c>
      <c r="D361" t="s">
        <v>2992</v>
      </c>
      <c r="E361" t="s">
        <v>2999</v>
      </c>
      <c r="F361" t="s">
        <v>3020</v>
      </c>
      <c r="G361">
        <v>17</v>
      </c>
      <c r="H361">
        <v>510904</v>
      </c>
      <c r="I361">
        <v>601793</v>
      </c>
      <c r="J361">
        <v>12.93</v>
      </c>
      <c r="K361">
        <v>24</v>
      </c>
      <c r="L361" t="s">
        <v>3050</v>
      </c>
      <c r="M361">
        <v>435</v>
      </c>
      <c r="N361">
        <v>1</v>
      </c>
      <c r="O361" t="s">
        <v>3057</v>
      </c>
      <c r="P361" t="s">
        <v>3392</v>
      </c>
      <c r="Q361">
        <v>1.1778999999999999</v>
      </c>
    </row>
    <row r="362" spans="1:17" x14ac:dyDescent="0.35">
      <c r="A362" t="s">
        <v>376</v>
      </c>
      <c r="B362" t="s">
        <v>1866</v>
      </c>
      <c r="C362">
        <v>62</v>
      </c>
      <c r="D362" t="s">
        <v>2990</v>
      </c>
      <c r="E362" t="s">
        <v>3005</v>
      </c>
      <c r="F362" t="s">
        <v>3020</v>
      </c>
      <c r="G362">
        <v>8</v>
      </c>
      <c r="H362">
        <v>1643807</v>
      </c>
      <c r="I362">
        <v>189530</v>
      </c>
      <c r="J362">
        <v>27.42</v>
      </c>
      <c r="K362">
        <v>60</v>
      </c>
      <c r="L362" t="s">
        <v>3051</v>
      </c>
      <c r="M362">
        <v>628</v>
      </c>
      <c r="N362">
        <v>6</v>
      </c>
      <c r="O362" t="s">
        <v>3055</v>
      </c>
      <c r="P362" t="s">
        <v>3243</v>
      </c>
      <c r="Q362">
        <v>0.1153</v>
      </c>
    </row>
    <row r="363" spans="1:17" x14ac:dyDescent="0.35">
      <c r="A363" t="s">
        <v>377</v>
      </c>
      <c r="B363" t="s">
        <v>1867</v>
      </c>
      <c r="C363">
        <v>28</v>
      </c>
      <c r="D363" t="s">
        <v>2992</v>
      </c>
      <c r="E363" t="s">
        <v>3004</v>
      </c>
      <c r="F363" t="s">
        <v>3020</v>
      </c>
      <c r="G363">
        <v>20</v>
      </c>
      <c r="H363">
        <v>370706</v>
      </c>
      <c r="I363">
        <v>593458</v>
      </c>
      <c r="J363">
        <v>26.69</v>
      </c>
      <c r="K363">
        <v>36</v>
      </c>
      <c r="L363" t="s">
        <v>3046</v>
      </c>
      <c r="M363">
        <v>398</v>
      </c>
      <c r="N363">
        <v>2</v>
      </c>
      <c r="O363" t="s">
        <v>3056</v>
      </c>
      <c r="P363" t="s">
        <v>3393</v>
      </c>
      <c r="Q363">
        <v>1.6009</v>
      </c>
    </row>
    <row r="364" spans="1:17" x14ac:dyDescent="0.35">
      <c r="A364" t="s">
        <v>378</v>
      </c>
      <c r="B364" t="s">
        <v>1868</v>
      </c>
      <c r="C364">
        <v>44</v>
      </c>
      <c r="D364" t="s">
        <v>2990</v>
      </c>
      <c r="E364" t="s">
        <v>3016</v>
      </c>
      <c r="F364" t="s">
        <v>3020</v>
      </c>
      <c r="G364">
        <v>14</v>
      </c>
      <c r="H364">
        <v>2218540</v>
      </c>
      <c r="I364">
        <v>607515</v>
      </c>
      <c r="J364">
        <v>19.48</v>
      </c>
      <c r="K364">
        <v>60</v>
      </c>
      <c r="L364" t="s">
        <v>3050</v>
      </c>
      <c r="M364">
        <v>620</v>
      </c>
      <c r="N364">
        <v>6</v>
      </c>
      <c r="O364" t="s">
        <v>3057</v>
      </c>
      <c r="P364" t="s">
        <v>3394</v>
      </c>
      <c r="Q364">
        <v>0.27379999999999999</v>
      </c>
    </row>
    <row r="365" spans="1:17" x14ac:dyDescent="0.35">
      <c r="A365" t="s">
        <v>379</v>
      </c>
      <c r="B365" t="s">
        <v>1869</v>
      </c>
      <c r="C365">
        <v>55</v>
      </c>
      <c r="D365" t="s">
        <v>2992</v>
      </c>
      <c r="E365" t="s">
        <v>3006</v>
      </c>
      <c r="F365" t="s">
        <v>3018</v>
      </c>
      <c r="G365">
        <v>16</v>
      </c>
      <c r="H365">
        <v>1734094</v>
      </c>
      <c r="I365">
        <v>476331</v>
      </c>
      <c r="J365">
        <v>27.23</v>
      </c>
      <c r="K365">
        <v>12</v>
      </c>
      <c r="L365" t="s">
        <v>3051</v>
      </c>
      <c r="M365">
        <v>727</v>
      </c>
      <c r="N365">
        <v>7</v>
      </c>
      <c r="O365" t="s">
        <v>3054</v>
      </c>
      <c r="P365" t="s">
        <v>3395</v>
      </c>
      <c r="Q365">
        <v>0.2747</v>
      </c>
    </row>
    <row r="366" spans="1:17" x14ac:dyDescent="0.35">
      <c r="A366" t="s">
        <v>380</v>
      </c>
      <c r="B366" t="s">
        <v>1870</v>
      </c>
      <c r="C366">
        <v>27</v>
      </c>
      <c r="D366" t="s">
        <v>2992</v>
      </c>
      <c r="E366" t="s">
        <v>2999</v>
      </c>
      <c r="F366" t="s">
        <v>3020</v>
      </c>
      <c r="G366">
        <v>21</v>
      </c>
      <c r="H366">
        <v>901384</v>
      </c>
      <c r="I366">
        <v>628577</v>
      </c>
      <c r="J366">
        <v>8.57</v>
      </c>
      <c r="K366">
        <v>48</v>
      </c>
      <c r="M366">
        <v>733</v>
      </c>
      <c r="N366">
        <v>7</v>
      </c>
      <c r="O366" t="s">
        <v>3054</v>
      </c>
      <c r="P366" t="s">
        <v>3396</v>
      </c>
      <c r="Q366">
        <v>0.69730000000000003</v>
      </c>
    </row>
    <row r="367" spans="1:17" x14ac:dyDescent="0.35">
      <c r="A367" t="s">
        <v>381</v>
      </c>
      <c r="B367" t="s">
        <v>1871</v>
      </c>
      <c r="C367">
        <v>28</v>
      </c>
      <c r="D367" t="s">
        <v>2990</v>
      </c>
      <c r="E367" t="s">
        <v>3000</v>
      </c>
      <c r="F367" t="s">
        <v>3018</v>
      </c>
      <c r="G367">
        <v>26</v>
      </c>
      <c r="H367">
        <v>1506283</v>
      </c>
      <c r="I367">
        <v>366709</v>
      </c>
      <c r="J367">
        <v>18.63</v>
      </c>
      <c r="K367">
        <v>36</v>
      </c>
      <c r="L367" t="s">
        <v>3049</v>
      </c>
      <c r="M367">
        <v>391</v>
      </c>
      <c r="N367">
        <v>5</v>
      </c>
      <c r="O367" t="s">
        <v>3053</v>
      </c>
      <c r="P367" t="s">
        <v>3385</v>
      </c>
      <c r="Q367">
        <v>0.24349999999999999</v>
      </c>
    </row>
    <row r="368" spans="1:17" x14ac:dyDescent="0.35">
      <c r="A368" t="s">
        <v>382</v>
      </c>
      <c r="B368" t="s">
        <v>1872</v>
      </c>
      <c r="C368">
        <v>28</v>
      </c>
      <c r="D368" t="s">
        <v>2992</v>
      </c>
      <c r="E368" t="s">
        <v>3005</v>
      </c>
      <c r="F368" t="s">
        <v>3021</v>
      </c>
      <c r="G368">
        <v>3</v>
      </c>
      <c r="H368">
        <v>1051808</v>
      </c>
      <c r="I368">
        <v>410452</v>
      </c>
      <c r="J368">
        <v>25.96</v>
      </c>
      <c r="K368">
        <v>12</v>
      </c>
      <c r="L368" t="s">
        <v>3046</v>
      </c>
      <c r="M368">
        <v>774</v>
      </c>
      <c r="N368">
        <v>2</v>
      </c>
      <c r="O368" t="s">
        <v>3057</v>
      </c>
      <c r="P368" t="s">
        <v>3397</v>
      </c>
      <c r="Q368">
        <v>0.39019999999999999</v>
      </c>
    </row>
    <row r="369" spans="1:17" x14ac:dyDescent="0.35">
      <c r="A369" t="s">
        <v>383</v>
      </c>
      <c r="B369" t="s">
        <v>1873</v>
      </c>
      <c r="C369">
        <v>26</v>
      </c>
      <c r="D369" t="s">
        <v>2992</v>
      </c>
      <c r="E369" t="s">
        <v>3002</v>
      </c>
      <c r="F369" t="s">
        <v>3019</v>
      </c>
      <c r="G369">
        <v>9</v>
      </c>
      <c r="H369">
        <v>2347478</v>
      </c>
      <c r="I369">
        <v>798883</v>
      </c>
      <c r="J369">
        <v>15.02</v>
      </c>
      <c r="K369">
        <v>60</v>
      </c>
      <c r="L369" t="s">
        <v>3049</v>
      </c>
      <c r="M369">
        <v>512</v>
      </c>
      <c r="N369">
        <v>4</v>
      </c>
      <c r="O369" t="s">
        <v>3055</v>
      </c>
      <c r="P369" t="s">
        <v>3398</v>
      </c>
      <c r="Q369">
        <v>0.34029999999999999</v>
      </c>
    </row>
    <row r="370" spans="1:17" x14ac:dyDescent="0.35">
      <c r="A370" t="s">
        <v>384</v>
      </c>
      <c r="B370" t="s">
        <v>1874</v>
      </c>
      <c r="C370">
        <v>48</v>
      </c>
      <c r="D370" t="s">
        <v>2990</v>
      </c>
      <c r="E370" t="s">
        <v>3007</v>
      </c>
      <c r="F370" t="s">
        <v>3020</v>
      </c>
      <c r="G370">
        <v>12</v>
      </c>
      <c r="H370">
        <v>1945982</v>
      </c>
      <c r="I370">
        <v>529452</v>
      </c>
      <c r="J370">
        <v>26.18</v>
      </c>
      <c r="K370">
        <v>48</v>
      </c>
      <c r="L370" t="s">
        <v>3047</v>
      </c>
      <c r="M370">
        <v>480</v>
      </c>
      <c r="N370">
        <v>6</v>
      </c>
      <c r="O370" t="s">
        <v>3052</v>
      </c>
      <c r="P370" t="s">
        <v>3357</v>
      </c>
      <c r="Q370">
        <v>0.27210000000000001</v>
      </c>
    </row>
    <row r="371" spans="1:17" x14ac:dyDescent="0.35">
      <c r="A371" t="s">
        <v>385</v>
      </c>
      <c r="B371" t="s">
        <v>1875</v>
      </c>
      <c r="C371">
        <v>35</v>
      </c>
      <c r="D371" t="s">
        <v>2990</v>
      </c>
      <c r="E371" t="s">
        <v>3007</v>
      </c>
      <c r="F371" t="s">
        <v>3018</v>
      </c>
      <c r="G371">
        <v>0</v>
      </c>
      <c r="H371">
        <v>1096383</v>
      </c>
      <c r="I371">
        <v>62056</v>
      </c>
      <c r="J371">
        <v>18.21</v>
      </c>
      <c r="K371">
        <v>24</v>
      </c>
      <c r="L371" t="s">
        <v>3046</v>
      </c>
      <c r="M371">
        <v>516</v>
      </c>
      <c r="N371">
        <v>7</v>
      </c>
      <c r="O371" t="s">
        <v>3057</v>
      </c>
      <c r="P371" t="s">
        <v>3399</v>
      </c>
      <c r="Q371">
        <v>5.6599999999999998E-2</v>
      </c>
    </row>
    <row r="372" spans="1:17" x14ac:dyDescent="0.35">
      <c r="A372" t="s">
        <v>386</v>
      </c>
      <c r="B372" t="s">
        <v>1876</v>
      </c>
      <c r="C372">
        <v>21</v>
      </c>
      <c r="D372" t="s">
        <v>2990</v>
      </c>
      <c r="E372" t="s">
        <v>3004</v>
      </c>
      <c r="F372" t="s">
        <v>3019</v>
      </c>
      <c r="G372">
        <v>21</v>
      </c>
      <c r="H372">
        <v>1232330</v>
      </c>
      <c r="I372">
        <v>376007</v>
      </c>
      <c r="J372">
        <v>13.93</v>
      </c>
      <c r="K372">
        <v>60</v>
      </c>
      <c r="L372" t="s">
        <v>3048</v>
      </c>
      <c r="M372">
        <v>599</v>
      </c>
      <c r="N372">
        <v>5</v>
      </c>
      <c r="O372" t="s">
        <v>3056</v>
      </c>
      <c r="P372" t="s">
        <v>3400</v>
      </c>
      <c r="Q372">
        <v>0.30509999999999998</v>
      </c>
    </row>
    <row r="373" spans="1:17" x14ac:dyDescent="0.35">
      <c r="A373" t="s">
        <v>387</v>
      </c>
      <c r="B373" t="s">
        <v>1877</v>
      </c>
      <c r="C373">
        <v>29</v>
      </c>
      <c r="E373" t="s">
        <v>3004</v>
      </c>
      <c r="F373" t="s">
        <v>3021</v>
      </c>
      <c r="G373">
        <v>18</v>
      </c>
      <c r="H373">
        <v>1920534</v>
      </c>
      <c r="I373">
        <v>613130</v>
      </c>
      <c r="J373">
        <v>18.41</v>
      </c>
      <c r="K373">
        <v>36</v>
      </c>
      <c r="L373" t="s">
        <v>3049</v>
      </c>
      <c r="M373">
        <v>719</v>
      </c>
      <c r="N373">
        <v>3</v>
      </c>
      <c r="O373" t="s">
        <v>3053</v>
      </c>
      <c r="P373" t="s">
        <v>3357</v>
      </c>
      <c r="Q373">
        <v>0.31919999999999998</v>
      </c>
    </row>
    <row r="374" spans="1:17" x14ac:dyDescent="0.35">
      <c r="A374" t="s">
        <v>388</v>
      </c>
      <c r="B374" t="s">
        <v>1878</v>
      </c>
      <c r="C374">
        <v>27</v>
      </c>
      <c r="D374" t="s">
        <v>2992</v>
      </c>
      <c r="E374" t="s">
        <v>3004</v>
      </c>
      <c r="F374" t="s">
        <v>3021</v>
      </c>
      <c r="G374">
        <v>27</v>
      </c>
      <c r="H374">
        <v>1637640</v>
      </c>
      <c r="I374">
        <v>328974</v>
      </c>
      <c r="J374">
        <v>18.91</v>
      </c>
      <c r="K374">
        <v>36</v>
      </c>
      <c r="L374" t="s">
        <v>3049</v>
      </c>
      <c r="M374">
        <v>643</v>
      </c>
      <c r="N374">
        <v>6</v>
      </c>
      <c r="O374" t="s">
        <v>3054</v>
      </c>
      <c r="P374" t="s">
        <v>3401</v>
      </c>
      <c r="Q374">
        <v>0.2009</v>
      </c>
    </row>
    <row r="375" spans="1:17" x14ac:dyDescent="0.35">
      <c r="A375" t="s">
        <v>389</v>
      </c>
      <c r="B375" t="s">
        <v>1879</v>
      </c>
      <c r="C375">
        <v>56</v>
      </c>
      <c r="D375" t="s">
        <v>2992</v>
      </c>
      <c r="E375" t="s">
        <v>3006</v>
      </c>
      <c r="F375" t="s">
        <v>3018</v>
      </c>
      <c r="G375">
        <v>18</v>
      </c>
      <c r="H375">
        <v>1490875</v>
      </c>
      <c r="I375">
        <v>370067</v>
      </c>
      <c r="J375">
        <v>10.79</v>
      </c>
      <c r="K375">
        <v>12</v>
      </c>
      <c r="L375" t="s">
        <v>3048</v>
      </c>
      <c r="M375">
        <v>348</v>
      </c>
      <c r="N375">
        <v>7</v>
      </c>
      <c r="O375" t="s">
        <v>3052</v>
      </c>
      <c r="P375" t="s">
        <v>3367</v>
      </c>
      <c r="Q375">
        <v>0.2482</v>
      </c>
    </row>
    <row r="376" spans="1:17" x14ac:dyDescent="0.35">
      <c r="A376" t="s">
        <v>390</v>
      </c>
      <c r="B376" t="s">
        <v>1880</v>
      </c>
      <c r="C376">
        <v>25</v>
      </c>
      <c r="D376" t="s">
        <v>2992</v>
      </c>
      <c r="E376" t="s">
        <v>2998</v>
      </c>
      <c r="F376" t="s">
        <v>3020</v>
      </c>
      <c r="G376">
        <v>21</v>
      </c>
      <c r="H376">
        <v>1779792</v>
      </c>
      <c r="I376">
        <v>667652</v>
      </c>
      <c r="J376">
        <v>21.38</v>
      </c>
      <c r="K376">
        <v>12</v>
      </c>
      <c r="L376" t="s">
        <v>3050</v>
      </c>
      <c r="M376">
        <v>767</v>
      </c>
      <c r="N376">
        <v>5</v>
      </c>
      <c r="O376" t="s">
        <v>3054</v>
      </c>
      <c r="P376" t="s">
        <v>3402</v>
      </c>
      <c r="Q376">
        <v>0.37509999999999999</v>
      </c>
    </row>
    <row r="377" spans="1:17" x14ac:dyDescent="0.35">
      <c r="A377" t="s">
        <v>391</v>
      </c>
      <c r="B377" t="s">
        <v>1881</v>
      </c>
      <c r="C377">
        <v>32</v>
      </c>
      <c r="D377" t="s">
        <v>2990</v>
      </c>
      <c r="E377" t="s">
        <v>2999</v>
      </c>
      <c r="F377" t="s">
        <v>3018</v>
      </c>
      <c r="G377">
        <v>8</v>
      </c>
      <c r="H377">
        <v>1516092</v>
      </c>
      <c r="I377">
        <v>632439</v>
      </c>
      <c r="J377">
        <v>16.04</v>
      </c>
      <c r="K377">
        <v>36</v>
      </c>
      <c r="L377" t="s">
        <v>3049</v>
      </c>
      <c r="M377">
        <v>303</v>
      </c>
      <c r="N377">
        <v>0</v>
      </c>
      <c r="O377" t="s">
        <v>3056</v>
      </c>
      <c r="P377" t="s">
        <v>3403</v>
      </c>
      <c r="Q377">
        <v>0.41720000000000002</v>
      </c>
    </row>
    <row r="378" spans="1:17" x14ac:dyDescent="0.35">
      <c r="A378" t="s">
        <v>392</v>
      </c>
      <c r="B378" t="s">
        <v>1882</v>
      </c>
      <c r="C378">
        <v>23</v>
      </c>
      <c r="D378" t="s">
        <v>2992</v>
      </c>
      <c r="E378" t="s">
        <v>2998</v>
      </c>
      <c r="F378" t="s">
        <v>3019</v>
      </c>
      <c r="G378">
        <v>23</v>
      </c>
      <c r="H378">
        <v>510170</v>
      </c>
      <c r="I378">
        <v>173837</v>
      </c>
      <c r="J378">
        <v>20.010000000000002</v>
      </c>
      <c r="K378">
        <v>24</v>
      </c>
      <c r="L378" t="s">
        <v>3049</v>
      </c>
      <c r="M378">
        <v>322</v>
      </c>
      <c r="N378">
        <v>6</v>
      </c>
      <c r="O378" t="s">
        <v>3056</v>
      </c>
      <c r="P378" t="s">
        <v>3404</v>
      </c>
      <c r="Q378">
        <v>0.3407</v>
      </c>
    </row>
    <row r="379" spans="1:17" x14ac:dyDescent="0.35">
      <c r="A379" t="s">
        <v>393</v>
      </c>
      <c r="B379" t="s">
        <v>1883</v>
      </c>
      <c r="C379">
        <v>37</v>
      </c>
      <c r="D379" t="s">
        <v>2992</v>
      </c>
      <c r="E379" t="s">
        <v>3007</v>
      </c>
      <c r="F379" t="s">
        <v>3021</v>
      </c>
      <c r="G379">
        <v>9</v>
      </c>
      <c r="H379">
        <v>1150834</v>
      </c>
      <c r="I379">
        <v>768943</v>
      </c>
      <c r="J379">
        <v>12.39</v>
      </c>
      <c r="K379">
        <v>60</v>
      </c>
      <c r="L379" t="s">
        <v>3051</v>
      </c>
      <c r="M379">
        <v>459</v>
      </c>
      <c r="N379">
        <v>3</v>
      </c>
      <c r="O379" t="s">
        <v>3061</v>
      </c>
      <c r="P379" t="s">
        <v>3305</v>
      </c>
      <c r="Q379">
        <v>0.66820000000000002</v>
      </c>
    </row>
    <row r="380" spans="1:17" x14ac:dyDescent="0.35">
      <c r="A380" t="s">
        <v>394</v>
      </c>
      <c r="B380" t="s">
        <v>1884</v>
      </c>
      <c r="C380">
        <v>40</v>
      </c>
      <c r="D380" t="s">
        <v>2990</v>
      </c>
      <c r="E380" t="s">
        <v>3003</v>
      </c>
      <c r="F380" t="s">
        <v>3020</v>
      </c>
      <c r="G380">
        <v>28</v>
      </c>
      <c r="H380">
        <v>1370402</v>
      </c>
      <c r="I380">
        <v>392282</v>
      </c>
      <c r="J380">
        <v>26.92</v>
      </c>
      <c r="K380">
        <v>24</v>
      </c>
      <c r="L380" t="s">
        <v>3050</v>
      </c>
      <c r="M380">
        <v>769</v>
      </c>
      <c r="N380">
        <v>6</v>
      </c>
      <c r="O380" t="s">
        <v>3057</v>
      </c>
      <c r="P380" t="s">
        <v>3405</v>
      </c>
      <c r="Q380">
        <v>0.2863</v>
      </c>
    </row>
    <row r="381" spans="1:17" x14ac:dyDescent="0.35">
      <c r="A381" t="s">
        <v>395</v>
      </c>
      <c r="B381" t="s">
        <v>1885</v>
      </c>
      <c r="C381">
        <v>59</v>
      </c>
      <c r="D381" t="s">
        <v>2992</v>
      </c>
      <c r="E381" t="s">
        <v>3001</v>
      </c>
      <c r="F381" t="s">
        <v>3021</v>
      </c>
      <c r="G381">
        <v>8</v>
      </c>
      <c r="H381">
        <v>516585</v>
      </c>
      <c r="I381">
        <v>452995</v>
      </c>
      <c r="J381">
        <v>17.86</v>
      </c>
      <c r="K381">
        <v>24</v>
      </c>
      <c r="L381" t="s">
        <v>3046</v>
      </c>
      <c r="M381">
        <v>462</v>
      </c>
      <c r="N381">
        <v>4</v>
      </c>
      <c r="O381" t="s">
        <v>3056</v>
      </c>
      <c r="P381" t="s">
        <v>3406</v>
      </c>
      <c r="Q381">
        <v>0.87690000000000001</v>
      </c>
    </row>
    <row r="382" spans="1:17" x14ac:dyDescent="0.35">
      <c r="A382" t="s">
        <v>396</v>
      </c>
      <c r="B382" t="s">
        <v>1886</v>
      </c>
      <c r="C382">
        <v>39</v>
      </c>
      <c r="D382" t="s">
        <v>2990</v>
      </c>
      <c r="E382" t="s">
        <v>3005</v>
      </c>
      <c r="F382" t="s">
        <v>3021</v>
      </c>
      <c r="G382">
        <v>24</v>
      </c>
      <c r="H382">
        <v>2306453</v>
      </c>
      <c r="I382">
        <v>416489</v>
      </c>
      <c r="J382" t="s">
        <v>3029</v>
      </c>
      <c r="K382">
        <v>60</v>
      </c>
      <c r="L382" t="s">
        <v>3051</v>
      </c>
      <c r="M382">
        <v>840</v>
      </c>
      <c r="N382">
        <v>3</v>
      </c>
      <c r="O382" t="s">
        <v>3055</v>
      </c>
      <c r="P382" t="s">
        <v>3407</v>
      </c>
      <c r="Q382">
        <v>0.18060000000000001</v>
      </c>
    </row>
    <row r="383" spans="1:17" x14ac:dyDescent="0.35">
      <c r="A383" t="s">
        <v>397</v>
      </c>
      <c r="B383" t="s">
        <v>1887</v>
      </c>
      <c r="C383">
        <v>52</v>
      </c>
      <c r="D383" t="s">
        <v>2992</v>
      </c>
      <c r="E383" t="s">
        <v>2999</v>
      </c>
      <c r="F383" t="s">
        <v>3020</v>
      </c>
      <c r="G383">
        <v>27</v>
      </c>
      <c r="H383">
        <v>1060412</v>
      </c>
      <c r="I383">
        <v>675258</v>
      </c>
      <c r="J383">
        <v>27.2</v>
      </c>
      <c r="K383">
        <v>36</v>
      </c>
      <c r="L383" t="s">
        <v>3049</v>
      </c>
      <c r="M383">
        <v>699</v>
      </c>
      <c r="N383">
        <v>3</v>
      </c>
      <c r="O383" t="s">
        <v>3055</v>
      </c>
      <c r="P383" t="s">
        <v>3408</v>
      </c>
      <c r="Q383">
        <v>0.63680000000000003</v>
      </c>
    </row>
    <row r="384" spans="1:17" x14ac:dyDescent="0.35">
      <c r="A384" t="s">
        <v>398</v>
      </c>
      <c r="B384" t="s">
        <v>1888</v>
      </c>
      <c r="C384">
        <v>52</v>
      </c>
      <c r="D384" t="s">
        <v>2990</v>
      </c>
      <c r="E384" t="s">
        <v>3007</v>
      </c>
      <c r="F384" t="s">
        <v>3019</v>
      </c>
      <c r="G384">
        <v>24</v>
      </c>
      <c r="H384">
        <v>740881</v>
      </c>
      <c r="I384">
        <v>212003</v>
      </c>
      <c r="J384">
        <v>8.83</v>
      </c>
      <c r="K384">
        <v>60</v>
      </c>
      <c r="M384">
        <v>567</v>
      </c>
      <c r="N384">
        <v>4</v>
      </c>
      <c r="O384" t="s">
        <v>3055</v>
      </c>
      <c r="P384" t="s">
        <v>3409</v>
      </c>
      <c r="Q384">
        <v>0.28610000000000002</v>
      </c>
    </row>
    <row r="385" spans="1:17" x14ac:dyDescent="0.35">
      <c r="A385" t="s">
        <v>399</v>
      </c>
      <c r="B385" t="s">
        <v>1889</v>
      </c>
      <c r="C385">
        <v>41</v>
      </c>
      <c r="D385" t="s">
        <v>2992</v>
      </c>
      <c r="E385" t="s">
        <v>2999</v>
      </c>
      <c r="F385" t="s">
        <v>3019</v>
      </c>
      <c r="G385">
        <v>16</v>
      </c>
      <c r="H385">
        <v>1478266</v>
      </c>
      <c r="I385">
        <v>34743</v>
      </c>
      <c r="J385">
        <v>21.46</v>
      </c>
      <c r="K385">
        <v>12</v>
      </c>
      <c r="L385" t="s">
        <v>3046</v>
      </c>
      <c r="M385">
        <v>762</v>
      </c>
      <c r="N385">
        <v>5</v>
      </c>
      <c r="O385" t="s">
        <v>3055</v>
      </c>
      <c r="P385" t="s">
        <v>3289</v>
      </c>
      <c r="Q385">
        <v>2.35E-2</v>
      </c>
    </row>
    <row r="386" spans="1:17" x14ac:dyDescent="0.35">
      <c r="A386" t="s">
        <v>400</v>
      </c>
      <c r="B386" t="s">
        <v>1890</v>
      </c>
      <c r="C386">
        <v>40</v>
      </c>
      <c r="D386" t="s">
        <v>2992</v>
      </c>
      <c r="E386" t="s">
        <v>3006</v>
      </c>
      <c r="F386" t="s">
        <v>3020</v>
      </c>
      <c r="G386">
        <v>21</v>
      </c>
      <c r="H386">
        <v>1477991</v>
      </c>
      <c r="I386">
        <v>134091</v>
      </c>
      <c r="J386">
        <v>27.45</v>
      </c>
      <c r="K386">
        <v>24</v>
      </c>
      <c r="L386" t="s">
        <v>3049</v>
      </c>
      <c r="M386">
        <v>719</v>
      </c>
      <c r="N386">
        <v>7</v>
      </c>
      <c r="O386" t="s">
        <v>3054</v>
      </c>
      <c r="P386" t="s">
        <v>3410</v>
      </c>
      <c r="Q386">
        <v>9.0700000000000003E-2</v>
      </c>
    </row>
    <row r="387" spans="1:17" x14ac:dyDescent="0.35">
      <c r="A387" t="s">
        <v>401</v>
      </c>
      <c r="B387" t="s">
        <v>1891</v>
      </c>
      <c r="C387">
        <v>57</v>
      </c>
      <c r="D387" t="s">
        <v>2992</v>
      </c>
      <c r="E387" t="s">
        <v>3004</v>
      </c>
      <c r="F387" t="s">
        <v>3020</v>
      </c>
      <c r="G387">
        <v>23</v>
      </c>
      <c r="H387">
        <v>1488507</v>
      </c>
      <c r="I387">
        <v>312575</v>
      </c>
      <c r="J387">
        <v>18.649999999999999</v>
      </c>
      <c r="K387">
        <v>48</v>
      </c>
      <c r="L387" t="s">
        <v>3049</v>
      </c>
      <c r="M387">
        <v>617</v>
      </c>
      <c r="N387">
        <v>2</v>
      </c>
      <c r="O387" t="s">
        <v>3054</v>
      </c>
      <c r="P387" t="s">
        <v>3411</v>
      </c>
      <c r="Q387">
        <v>0.21</v>
      </c>
    </row>
    <row r="388" spans="1:17" x14ac:dyDescent="0.35">
      <c r="A388" t="s">
        <v>402</v>
      </c>
      <c r="B388" t="s">
        <v>1892</v>
      </c>
      <c r="C388">
        <v>64</v>
      </c>
      <c r="D388" t="s">
        <v>2990</v>
      </c>
      <c r="E388" t="s">
        <v>3001</v>
      </c>
      <c r="F388" t="s">
        <v>3021</v>
      </c>
      <c r="G388">
        <v>23</v>
      </c>
      <c r="H388">
        <v>1419444</v>
      </c>
      <c r="I388">
        <v>105178</v>
      </c>
      <c r="J388">
        <v>16.190000000000001</v>
      </c>
      <c r="K388">
        <v>60</v>
      </c>
      <c r="L388" t="s">
        <v>3047</v>
      </c>
      <c r="M388">
        <v>482</v>
      </c>
      <c r="N388">
        <v>5</v>
      </c>
      <c r="O388" t="s">
        <v>3055</v>
      </c>
      <c r="P388" t="s">
        <v>3412</v>
      </c>
      <c r="Q388">
        <v>7.4099999999999999E-2</v>
      </c>
    </row>
    <row r="389" spans="1:17" x14ac:dyDescent="0.35">
      <c r="A389" t="s">
        <v>403</v>
      </c>
      <c r="B389" t="s">
        <v>1893</v>
      </c>
      <c r="C389">
        <v>45</v>
      </c>
      <c r="D389" t="s">
        <v>2992</v>
      </c>
      <c r="E389" t="s">
        <v>3000</v>
      </c>
      <c r="F389" t="s">
        <v>3021</v>
      </c>
      <c r="G389">
        <v>3</v>
      </c>
      <c r="H389">
        <v>900488</v>
      </c>
      <c r="I389">
        <v>81215</v>
      </c>
      <c r="J389">
        <v>17.510000000000002</v>
      </c>
      <c r="K389">
        <v>12</v>
      </c>
      <c r="L389" t="s">
        <v>3050</v>
      </c>
      <c r="M389">
        <v>393</v>
      </c>
      <c r="N389">
        <v>1</v>
      </c>
      <c r="O389" t="s">
        <v>3057</v>
      </c>
      <c r="P389" t="s">
        <v>3413</v>
      </c>
      <c r="Q389">
        <v>9.0200000000000002E-2</v>
      </c>
    </row>
    <row r="390" spans="1:17" x14ac:dyDescent="0.35">
      <c r="A390" t="s">
        <v>404</v>
      </c>
      <c r="B390" t="s">
        <v>1894</v>
      </c>
      <c r="C390">
        <v>31</v>
      </c>
      <c r="D390" t="s">
        <v>2990</v>
      </c>
      <c r="E390" t="s">
        <v>3002</v>
      </c>
      <c r="F390" t="s">
        <v>3021</v>
      </c>
      <c r="G390">
        <v>4</v>
      </c>
      <c r="H390">
        <v>1629796</v>
      </c>
      <c r="I390">
        <v>89300</v>
      </c>
      <c r="J390">
        <v>21.55</v>
      </c>
      <c r="K390">
        <v>24</v>
      </c>
      <c r="L390" t="s">
        <v>3046</v>
      </c>
      <c r="M390">
        <v>539</v>
      </c>
      <c r="N390">
        <v>7</v>
      </c>
      <c r="O390" t="s">
        <v>3058</v>
      </c>
      <c r="P390" t="s">
        <v>3414</v>
      </c>
      <c r="Q390">
        <v>5.4800000000000001E-2</v>
      </c>
    </row>
    <row r="391" spans="1:17" x14ac:dyDescent="0.35">
      <c r="A391" t="s">
        <v>405</v>
      </c>
      <c r="B391" t="s">
        <v>1895</v>
      </c>
      <c r="C391">
        <v>49</v>
      </c>
      <c r="D391" t="s">
        <v>2992</v>
      </c>
      <c r="E391" t="s">
        <v>3007</v>
      </c>
      <c r="F391" t="s">
        <v>3018</v>
      </c>
      <c r="G391">
        <v>13</v>
      </c>
      <c r="H391">
        <v>742060</v>
      </c>
      <c r="I391">
        <v>360912</v>
      </c>
      <c r="J391">
        <v>22.15</v>
      </c>
      <c r="K391">
        <v>36</v>
      </c>
      <c r="L391" t="s">
        <v>3050</v>
      </c>
      <c r="M391">
        <v>358</v>
      </c>
      <c r="N391">
        <v>2</v>
      </c>
      <c r="O391" t="s">
        <v>3053</v>
      </c>
      <c r="P391" t="s">
        <v>3415</v>
      </c>
      <c r="Q391">
        <v>0.4864</v>
      </c>
    </row>
    <row r="392" spans="1:17" x14ac:dyDescent="0.35">
      <c r="A392" t="s">
        <v>406</v>
      </c>
      <c r="B392" t="s">
        <v>1896</v>
      </c>
      <c r="C392">
        <v>46</v>
      </c>
      <c r="D392" t="s">
        <v>2990</v>
      </c>
      <c r="E392" t="s">
        <v>3003</v>
      </c>
      <c r="F392" t="s">
        <v>3020</v>
      </c>
      <c r="G392">
        <v>9</v>
      </c>
      <c r="H392">
        <v>1172382</v>
      </c>
      <c r="I392">
        <v>538420</v>
      </c>
      <c r="J392">
        <v>25.67</v>
      </c>
      <c r="K392">
        <v>60</v>
      </c>
      <c r="L392" t="s">
        <v>3049</v>
      </c>
      <c r="M392">
        <v>755</v>
      </c>
      <c r="N392">
        <v>1</v>
      </c>
      <c r="O392" t="s">
        <v>3057</v>
      </c>
      <c r="P392" t="s">
        <v>3416</v>
      </c>
      <c r="Q392">
        <v>0.45929999999999999</v>
      </c>
    </row>
    <row r="393" spans="1:17" x14ac:dyDescent="0.35">
      <c r="A393" t="s">
        <v>407</v>
      </c>
      <c r="B393" t="s">
        <v>1897</v>
      </c>
      <c r="C393">
        <v>57</v>
      </c>
      <c r="D393" t="s">
        <v>2992</v>
      </c>
      <c r="E393" t="s">
        <v>3012</v>
      </c>
      <c r="F393" t="s">
        <v>3020</v>
      </c>
      <c r="G393">
        <v>4</v>
      </c>
      <c r="H393">
        <v>1594821</v>
      </c>
      <c r="I393">
        <v>265739</v>
      </c>
      <c r="J393">
        <v>26.09</v>
      </c>
      <c r="K393">
        <v>60</v>
      </c>
      <c r="L393" t="s">
        <v>3047</v>
      </c>
      <c r="M393">
        <v>776</v>
      </c>
      <c r="N393">
        <v>4</v>
      </c>
      <c r="O393" t="s">
        <v>3052</v>
      </c>
      <c r="P393" t="s">
        <v>3417</v>
      </c>
      <c r="Q393">
        <v>0.1666</v>
      </c>
    </row>
    <row r="394" spans="1:17" x14ac:dyDescent="0.35">
      <c r="A394" t="s">
        <v>408</v>
      </c>
      <c r="B394" t="s">
        <v>1898</v>
      </c>
      <c r="C394">
        <v>57</v>
      </c>
      <c r="D394" t="s">
        <v>2992</v>
      </c>
      <c r="E394" t="s">
        <v>3004</v>
      </c>
      <c r="F394" t="s">
        <v>3021</v>
      </c>
      <c r="G394">
        <v>16</v>
      </c>
      <c r="H394">
        <v>1319929</v>
      </c>
      <c r="I394">
        <v>188017</v>
      </c>
      <c r="J394">
        <v>21.94</v>
      </c>
      <c r="K394">
        <v>48</v>
      </c>
      <c r="L394" t="s">
        <v>3048</v>
      </c>
      <c r="M394">
        <v>709</v>
      </c>
      <c r="N394">
        <v>1</v>
      </c>
      <c r="O394" t="s">
        <v>3056</v>
      </c>
      <c r="P394" t="s">
        <v>3418</v>
      </c>
      <c r="Q394">
        <v>0.1424</v>
      </c>
    </row>
    <row r="395" spans="1:17" x14ac:dyDescent="0.35">
      <c r="A395" t="s">
        <v>409</v>
      </c>
      <c r="B395" t="s">
        <v>1899</v>
      </c>
      <c r="C395">
        <v>63</v>
      </c>
      <c r="D395" t="s">
        <v>2992</v>
      </c>
      <c r="E395" t="s">
        <v>3001</v>
      </c>
      <c r="F395" t="s">
        <v>3021</v>
      </c>
      <c r="G395">
        <v>11</v>
      </c>
      <c r="H395">
        <v>722015</v>
      </c>
      <c r="I395">
        <v>790326</v>
      </c>
      <c r="J395">
        <v>12.53</v>
      </c>
      <c r="K395">
        <v>24</v>
      </c>
      <c r="L395" t="s">
        <v>3047</v>
      </c>
      <c r="M395">
        <v>636</v>
      </c>
      <c r="N395">
        <v>4</v>
      </c>
      <c r="O395" t="s">
        <v>3052</v>
      </c>
      <c r="P395" t="s">
        <v>3419</v>
      </c>
      <c r="Q395">
        <v>1.0946</v>
      </c>
    </row>
    <row r="396" spans="1:17" x14ac:dyDescent="0.35">
      <c r="A396" t="s">
        <v>410</v>
      </c>
      <c r="B396" t="s">
        <v>1900</v>
      </c>
      <c r="C396">
        <v>22</v>
      </c>
      <c r="D396" t="s">
        <v>2992</v>
      </c>
      <c r="E396" t="s">
        <v>3005</v>
      </c>
      <c r="F396" t="s">
        <v>3018</v>
      </c>
      <c r="G396">
        <v>14</v>
      </c>
      <c r="H396">
        <v>844468</v>
      </c>
      <c r="I396">
        <v>305960</v>
      </c>
      <c r="J396">
        <v>13.43</v>
      </c>
      <c r="K396">
        <v>48</v>
      </c>
      <c r="M396">
        <v>847</v>
      </c>
      <c r="N396">
        <v>0</v>
      </c>
      <c r="O396" t="s">
        <v>3054</v>
      </c>
      <c r="P396" t="s">
        <v>3420</v>
      </c>
      <c r="Q396">
        <v>0.36230000000000001</v>
      </c>
    </row>
    <row r="397" spans="1:17" x14ac:dyDescent="0.35">
      <c r="A397" t="s">
        <v>411</v>
      </c>
      <c r="B397" t="s">
        <v>1901</v>
      </c>
      <c r="C397">
        <v>28</v>
      </c>
      <c r="D397" t="s">
        <v>2990</v>
      </c>
      <c r="E397" t="s">
        <v>3007</v>
      </c>
      <c r="F397" t="s">
        <v>3018</v>
      </c>
      <c r="G397">
        <v>1</v>
      </c>
      <c r="H397">
        <v>1497191</v>
      </c>
      <c r="I397">
        <v>512148</v>
      </c>
      <c r="J397" t="s">
        <v>3030</v>
      </c>
      <c r="K397">
        <v>36</v>
      </c>
      <c r="L397" t="s">
        <v>3049</v>
      </c>
      <c r="M397">
        <v>685</v>
      </c>
      <c r="N397">
        <v>5</v>
      </c>
      <c r="O397" t="s">
        <v>3054</v>
      </c>
      <c r="P397" t="s">
        <v>3421</v>
      </c>
      <c r="Q397">
        <v>0.34210000000000002</v>
      </c>
    </row>
    <row r="398" spans="1:17" x14ac:dyDescent="0.35">
      <c r="A398" t="s">
        <v>412</v>
      </c>
      <c r="B398" t="s">
        <v>1902</v>
      </c>
      <c r="C398">
        <v>34</v>
      </c>
      <c r="D398" t="s">
        <v>2992</v>
      </c>
      <c r="E398" t="s">
        <v>3003</v>
      </c>
      <c r="F398" t="s">
        <v>3021</v>
      </c>
      <c r="G398">
        <v>4</v>
      </c>
      <c r="H398">
        <v>2361906</v>
      </c>
      <c r="I398">
        <v>661593</v>
      </c>
      <c r="J398">
        <v>24.78</v>
      </c>
      <c r="K398">
        <v>24</v>
      </c>
      <c r="L398" t="s">
        <v>3050</v>
      </c>
      <c r="M398">
        <v>507</v>
      </c>
      <c r="N398">
        <v>3</v>
      </c>
      <c r="O398" t="s">
        <v>3055</v>
      </c>
      <c r="P398" t="s">
        <v>3422</v>
      </c>
      <c r="Q398">
        <v>0.28010000000000002</v>
      </c>
    </row>
    <row r="399" spans="1:17" x14ac:dyDescent="0.35">
      <c r="A399" t="s">
        <v>413</v>
      </c>
      <c r="B399" t="s">
        <v>1903</v>
      </c>
      <c r="C399">
        <v>30</v>
      </c>
      <c r="D399" t="s">
        <v>2992</v>
      </c>
      <c r="E399" t="s">
        <v>3001</v>
      </c>
      <c r="F399" t="s">
        <v>3019</v>
      </c>
      <c r="G399">
        <v>19</v>
      </c>
      <c r="H399">
        <v>1909057</v>
      </c>
      <c r="I399">
        <v>95277</v>
      </c>
      <c r="J399" t="s">
        <v>3031</v>
      </c>
      <c r="K399">
        <v>24</v>
      </c>
      <c r="L399" t="s">
        <v>3046</v>
      </c>
      <c r="M399">
        <v>302</v>
      </c>
      <c r="N399">
        <v>4</v>
      </c>
      <c r="O399" t="s">
        <v>3055</v>
      </c>
      <c r="P399" t="s">
        <v>3423</v>
      </c>
      <c r="Q399">
        <v>4.99E-2</v>
      </c>
    </row>
    <row r="400" spans="1:17" x14ac:dyDescent="0.35">
      <c r="A400" t="s">
        <v>414</v>
      </c>
      <c r="B400" t="s">
        <v>1904</v>
      </c>
      <c r="C400">
        <v>50</v>
      </c>
      <c r="D400" t="s">
        <v>2992</v>
      </c>
      <c r="E400" t="s">
        <v>3003</v>
      </c>
      <c r="F400" t="s">
        <v>3021</v>
      </c>
      <c r="G400">
        <v>0</v>
      </c>
      <c r="H400">
        <v>1297195</v>
      </c>
      <c r="I400">
        <v>559376</v>
      </c>
      <c r="J400">
        <v>21.53</v>
      </c>
      <c r="K400">
        <v>12</v>
      </c>
      <c r="L400" t="s">
        <v>3051</v>
      </c>
      <c r="M400">
        <v>745</v>
      </c>
      <c r="N400">
        <v>2</v>
      </c>
      <c r="O400" t="s">
        <v>3053</v>
      </c>
      <c r="P400" t="s">
        <v>3424</v>
      </c>
      <c r="Q400">
        <v>0.43120000000000003</v>
      </c>
    </row>
    <row r="401" spans="1:17" x14ac:dyDescent="0.35">
      <c r="A401" t="s">
        <v>415</v>
      </c>
      <c r="B401" t="s">
        <v>1905</v>
      </c>
      <c r="C401">
        <v>42</v>
      </c>
      <c r="D401" t="s">
        <v>2990</v>
      </c>
      <c r="E401" t="s">
        <v>3004</v>
      </c>
      <c r="F401" t="s">
        <v>3019</v>
      </c>
      <c r="G401">
        <v>23</v>
      </c>
      <c r="H401">
        <v>386487</v>
      </c>
      <c r="I401">
        <v>696473</v>
      </c>
      <c r="J401">
        <v>27.94</v>
      </c>
      <c r="K401">
        <v>48</v>
      </c>
      <c r="L401" t="s">
        <v>3048</v>
      </c>
      <c r="M401">
        <v>448</v>
      </c>
      <c r="N401">
        <v>1</v>
      </c>
      <c r="O401" t="s">
        <v>3056</v>
      </c>
      <c r="P401" t="s">
        <v>3425</v>
      </c>
      <c r="Q401">
        <v>1.8021</v>
      </c>
    </row>
    <row r="402" spans="1:17" x14ac:dyDescent="0.35">
      <c r="A402" t="s">
        <v>416</v>
      </c>
      <c r="B402" t="s">
        <v>1906</v>
      </c>
      <c r="C402">
        <v>43</v>
      </c>
      <c r="D402" t="s">
        <v>2992</v>
      </c>
      <c r="E402" t="s">
        <v>3000</v>
      </c>
      <c r="F402" t="s">
        <v>3019</v>
      </c>
      <c r="G402">
        <v>24</v>
      </c>
      <c r="H402">
        <v>1920687</v>
      </c>
      <c r="I402">
        <v>554391</v>
      </c>
      <c r="J402">
        <v>23.95</v>
      </c>
      <c r="K402">
        <v>24</v>
      </c>
      <c r="L402" t="s">
        <v>3047</v>
      </c>
      <c r="M402">
        <v>733</v>
      </c>
      <c r="N402">
        <v>2</v>
      </c>
      <c r="O402" t="s">
        <v>3052</v>
      </c>
      <c r="P402" t="s">
        <v>3144</v>
      </c>
      <c r="Q402">
        <v>0.28860000000000002</v>
      </c>
    </row>
    <row r="403" spans="1:17" x14ac:dyDescent="0.35">
      <c r="A403" t="s">
        <v>417</v>
      </c>
      <c r="B403" t="s">
        <v>1907</v>
      </c>
      <c r="C403">
        <v>49</v>
      </c>
      <c r="D403" t="s">
        <v>2992</v>
      </c>
      <c r="E403" t="s">
        <v>2998</v>
      </c>
      <c r="F403" t="s">
        <v>3018</v>
      </c>
      <c r="G403">
        <v>15</v>
      </c>
      <c r="H403">
        <v>1697509</v>
      </c>
      <c r="I403">
        <v>110306</v>
      </c>
      <c r="J403">
        <v>24.11</v>
      </c>
      <c r="K403">
        <v>12</v>
      </c>
      <c r="L403" t="s">
        <v>3050</v>
      </c>
      <c r="M403">
        <v>480</v>
      </c>
      <c r="N403">
        <v>1</v>
      </c>
      <c r="O403" t="s">
        <v>3052</v>
      </c>
      <c r="P403" t="s">
        <v>3426</v>
      </c>
      <c r="Q403">
        <v>6.5000000000000002E-2</v>
      </c>
    </row>
    <row r="404" spans="1:17" x14ac:dyDescent="0.35">
      <c r="A404" t="s">
        <v>418</v>
      </c>
      <c r="B404" t="s">
        <v>1908</v>
      </c>
      <c r="C404">
        <v>25</v>
      </c>
      <c r="E404" t="s">
        <v>3007</v>
      </c>
      <c r="F404" t="s">
        <v>3019</v>
      </c>
      <c r="G404">
        <v>15</v>
      </c>
      <c r="H404">
        <v>1873439</v>
      </c>
      <c r="I404">
        <v>590508</v>
      </c>
      <c r="J404">
        <v>24.27</v>
      </c>
      <c r="K404">
        <v>12</v>
      </c>
      <c r="L404" t="s">
        <v>3046</v>
      </c>
      <c r="M404">
        <v>318</v>
      </c>
      <c r="N404">
        <v>1</v>
      </c>
      <c r="O404" t="s">
        <v>3056</v>
      </c>
      <c r="P404" t="s">
        <v>3427</v>
      </c>
      <c r="Q404">
        <v>0.31519999999999998</v>
      </c>
    </row>
    <row r="405" spans="1:17" x14ac:dyDescent="0.35">
      <c r="A405" t="s">
        <v>419</v>
      </c>
      <c r="B405" t="s">
        <v>1909</v>
      </c>
      <c r="C405">
        <v>60</v>
      </c>
      <c r="D405" t="s">
        <v>2992</v>
      </c>
      <c r="E405" t="s">
        <v>3007</v>
      </c>
      <c r="F405" t="s">
        <v>3020</v>
      </c>
      <c r="G405">
        <v>7</v>
      </c>
      <c r="H405">
        <v>922296</v>
      </c>
      <c r="I405">
        <v>157686</v>
      </c>
      <c r="J405">
        <v>13.52</v>
      </c>
      <c r="K405">
        <v>12</v>
      </c>
      <c r="L405" t="s">
        <v>3046</v>
      </c>
      <c r="M405">
        <v>464</v>
      </c>
      <c r="N405">
        <v>5</v>
      </c>
      <c r="O405" t="s">
        <v>3062</v>
      </c>
      <c r="P405" t="s">
        <v>3428</v>
      </c>
      <c r="Q405">
        <v>0.17100000000000001</v>
      </c>
    </row>
    <row r="406" spans="1:17" x14ac:dyDescent="0.35">
      <c r="A406" t="s">
        <v>420</v>
      </c>
      <c r="B406" t="s">
        <v>1910</v>
      </c>
      <c r="C406">
        <v>28</v>
      </c>
      <c r="D406" t="s">
        <v>2990</v>
      </c>
      <c r="E406" t="s">
        <v>3001</v>
      </c>
      <c r="F406" t="s">
        <v>3019</v>
      </c>
      <c r="G406">
        <v>17</v>
      </c>
      <c r="H406">
        <v>2140826</v>
      </c>
      <c r="I406">
        <v>38990</v>
      </c>
      <c r="J406">
        <v>21.16</v>
      </c>
      <c r="K406">
        <v>24</v>
      </c>
      <c r="L406" t="s">
        <v>3049</v>
      </c>
      <c r="M406">
        <v>495</v>
      </c>
      <c r="N406">
        <v>3</v>
      </c>
      <c r="O406" t="s">
        <v>3052</v>
      </c>
      <c r="P406" t="s">
        <v>3429</v>
      </c>
      <c r="Q406">
        <v>1.8200000000000001E-2</v>
      </c>
    </row>
    <row r="407" spans="1:17" x14ac:dyDescent="0.35">
      <c r="A407" t="s">
        <v>155</v>
      </c>
      <c r="B407" t="s">
        <v>1646</v>
      </c>
      <c r="C407">
        <v>55</v>
      </c>
      <c r="D407" t="s">
        <v>2990</v>
      </c>
      <c r="E407" t="s">
        <v>3001</v>
      </c>
      <c r="F407" t="s">
        <v>3019</v>
      </c>
      <c r="G407">
        <v>29</v>
      </c>
      <c r="H407">
        <v>345575</v>
      </c>
      <c r="I407">
        <v>212029</v>
      </c>
      <c r="J407">
        <v>19.54</v>
      </c>
      <c r="K407">
        <v>36</v>
      </c>
      <c r="L407" t="s">
        <v>3049</v>
      </c>
      <c r="M407">
        <v>461</v>
      </c>
      <c r="N407">
        <v>5</v>
      </c>
      <c r="O407" t="s">
        <v>3055</v>
      </c>
      <c r="P407" t="s">
        <v>3196</v>
      </c>
      <c r="Q407">
        <v>0.61360000000000003</v>
      </c>
    </row>
    <row r="408" spans="1:17" x14ac:dyDescent="0.35">
      <c r="A408" t="s">
        <v>421</v>
      </c>
      <c r="B408" t="s">
        <v>1911</v>
      </c>
      <c r="C408">
        <v>25</v>
      </c>
      <c r="D408" t="s">
        <v>2990</v>
      </c>
      <c r="E408" t="s">
        <v>3007</v>
      </c>
      <c r="F408" t="s">
        <v>3020</v>
      </c>
      <c r="G408">
        <v>17</v>
      </c>
      <c r="H408">
        <v>1528207</v>
      </c>
      <c r="I408">
        <v>503455</v>
      </c>
      <c r="J408">
        <v>17.55</v>
      </c>
      <c r="K408">
        <v>60</v>
      </c>
      <c r="L408" t="s">
        <v>3046</v>
      </c>
      <c r="M408">
        <v>764</v>
      </c>
      <c r="N408">
        <v>7</v>
      </c>
      <c r="O408" t="s">
        <v>3055</v>
      </c>
      <c r="P408" t="s">
        <v>3430</v>
      </c>
      <c r="Q408">
        <v>0.32940000000000003</v>
      </c>
    </row>
    <row r="409" spans="1:17" x14ac:dyDescent="0.35">
      <c r="A409" t="s">
        <v>422</v>
      </c>
      <c r="B409" t="s">
        <v>1912</v>
      </c>
      <c r="C409">
        <v>24</v>
      </c>
      <c r="D409" t="s">
        <v>2992</v>
      </c>
      <c r="E409" t="s">
        <v>3005</v>
      </c>
      <c r="F409" t="s">
        <v>3018</v>
      </c>
      <c r="G409">
        <v>23</v>
      </c>
      <c r="H409">
        <v>1036047</v>
      </c>
      <c r="I409">
        <v>96848</v>
      </c>
      <c r="J409">
        <v>24.78</v>
      </c>
      <c r="K409">
        <v>12</v>
      </c>
      <c r="L409" t="s">
        <v>3048</v>
      </c>
      <c r="M409">
        <v>337</v>
      </c>
      <c r="N409">
        <v>2</v>
      </c>
      <c r="O409" t="s">
        <v>3052</v>
      </c>
      <c r="P409" t="s">
        <v>3335</v>
      </c>
      <c r="Q409">
        <v>9.35E-2</v>
      </c>
    </row>
    <row r="410" spans="1:17" x14ac:dyDescent="0.35">
      <c r="A410" t="s">
        <v>423</v>
      </c>
      <c r="B410" t="s">
        <v>1913</v>
      </c>
      <c r="C410">
        <v>56</v>
      </c>
      <c r="D410" t="s">
        <v>2992</v>
      </c>
      <c r="E410" t="s">
        <v>3005</v>
      </c>
      <c r="F410" t="s">
        <v>3018</v>
      </c>
      <c r="G410">
        <v>17</v>
      </c>
      <c r="H410">
        <v>895472</v>
      </c>
      <c r="I410">
        <v>356227</v>
      </c>
      <c r="J410">
        <v>21.27</v>
      </c>
      <c r="K410">
        <v>36</v>
      </c>
      <c r="L410" t="s">
        <v>3046</v>
      </c>
      <c r="M410">
        <v>830</v>
      </c>
      <c r="N410">
        <v>6</v>
      </c>
      <c r="O410" t="s">
        <v>3054</v>
      </c>
      <c r="P410" t="s">
        <v>3431</v>
      </c>
      <c r="Q410">
        <v>0.39779999999999999</v>
      </c>
    </row>
    <row r="411" spans="1:17" x14ac:dyDescent="0.35">
      <c r="A411" t="s">
        <v>424</v>
      </c>
      <c r="B411" t="s">
        <v>1914</v>
      </c>
      <c r="C411">
        <v>43</v>
      </c>
      <c r="D411" t="s">
        <v>2990</v>
      </c>
      <c r="E411" t="s">
        <v>3017</v>
      </c>
      <c r="F411" t="s">
        <v>3018</v>
      </c>
      <c r="G411">
        <v>22</v>
      </c>
      <c r="H411">
        <v>1774918</v>
      </c>
      <c r="I411">
        <v>165406</v>
      </c>
      <c r="J411">
        <v>22.79</v>
      </c>
      <c r="K411">
        <v>48</v>
      </c>
      <c r="L411" t="s">
        <v>3047</v>
      </c>
      <c r="M411">
        <v>475</v>
      </c>
      <c r="N411">
        <v>2</v>
      </c>
      <c r="O411" t="s">
        <v>3053</v>
      </c>
      <c r="P411" t="s">
        <v>3432</v>
      </c>
      <c r="Q411">
        <v>9.3200000000000005E-2</v>
      </c>
    </row>
    <row r="412" spans="1:17" x14ac:dyDescent="0.35">
      <c r="A412" t="s">
        <v>425</v>
      </c>
      <c r="B412" t="s">
        <v>1915</v>
      </c>
      <c r="C412">
        <v>56</v>
      </c>
      <c r="E412" t="s">
        <v>2999</v>
      </c>
      <c r="F412" t="s">
        <v>3020</v>
      </c>
      <c r="G412">
        <v>20</v>
      </c>
      <c r="H412">
        <v>1462789</v>
      </c>
      <c r="I412">
        <v>301696</v>
      </c>
      <c r="J412">
        <v>19.690000000000001</v>
      </c>
      <c r="K412">
        <v>36</v>
      </c>
      <c r="L412" t="s">
        <v>3046</v>
      </c>
      <c r="M412">
        <v>695</v>
      </c>
      <c r="N412">
        <v>7</v>
      </c>
      <c r="O412" t="s">
        <v>3052</v>
      </c>
      <c r="P412" t="s">
        <v>3433</v>
      </c>
      <c r="Q412">
        <v>0.20619999999999999</v>
      </c>
    </row>
    <row r="413" spans="1:17" x14ac:dyDescent="0.35">
      <c r="A413" t="s">
        <v>426</v>
      </c>
      <c r="B413" t="s">
        <v>1916</v>
      </c>
      <c r="C413">
        <v>41</v>
      </c>
      <c r="D413" t="s">
        <v>2990</v>
      </c>
      <c r="E413" t="s">
        <v>3009</v>
      </c>
      <c r="F413" t="s">
        <v>3021</v>
      </c>
      <c r="G413">
        <v>8</v>
      </c>
      <c r="H413">
        <v>1872110</v>
      </c>
      <c r="I413">
        <v>743858</v>
      </c>
      <c r="J413">
        <v>9.9600000000000009</v>
      </c>
      <c r="K413">
        <v>12</v>
      </c>
      <c r="L413" t="s">
        <v>3051</v>
      </c>
      <c r="M413">
        <v>312</v>
      </c>
      <c r="N413">
        <v>2</v>
      </c>
      <c r="O413" t="s">
        <v>3052</v>
      </c>
      <c r="P413" t="s">
        <v>3434</v>
      </c>
      <c r="Q413">
        <v>0.39729999999999999</v>
      </c>
    </row>
    <row r="414" spans="1:17" x14ac:dyDescent="0.35">
      <c r="A414" t="s">
        <v>427</v>
      </c>
      <c r="B414" t="s">
        <v>1917</v>
      </c>
      <c r="C414">
        <v>50</v>
      </c>
      <c r="D414" t="s">
        <v>2990</v>
      </c>
      <c r="E414" t="s">
        <v>3006</v>
      </c>
      <c r="F414" t="s">
        <v>3018</v>
      </c>
      <c r="G414">
        <v>10</v>
      </c>
      <c r="H414">
        <v>211585</v>
      </c>
      <c r="I414">
        <v>652336</v>
      </c>
      <c r="J414">
        <v>21.13</v>
      </c>
      <c r="K414">
        <v>60</v>
      </c>
      <c r="L414" t="s">
        <v>3050</v>
      </c>
      <c r="M414">
        <v>310</v>
      </c>
      <c r="N414">
        <v>7</v>
      </c>
      <c r="O414" t="s">
        <v>3055</v>
      </c>
      <c r="P414" t="s">
        <v>3435</v>
      </c>
      <c r="Q414">
        <v>3.0831</v>
      </c>
    </row>
    <row r="415" spans="1:17" x14ac:dyDescent="0.35">
      <c r="A415" t="s">
        <v>428</v>
      </c>
      <c r="B415" t="s">
        <v>1918</v>
      </c>
      <c r="C415">
        <v>23</v>
      </c>
      <c r="D415" t="s">
        <v>2990</v>
      </c>
      <c r="E415" t="s">
        <v>3005</v>
      </c>
      <c r="F415" t="s">
        <v>3021</v>
      </c>
      <c r="G415">
        <v>9</v>
      </c>
      <c r="H415">
        <v>462017</v>
      </c>
      <c r="I415">
        <v>382441</v>
      </c>
      <c r="J415">
        <v>11.58</v>
      </c>
      <c r="K415">
        <v>24</v>
      </c>
      <c r="L415" t="s">
        <v>3048</v>
      </c>
      <c r="M415">
        <v>820</v>
      </c>
      <c r="N415">
        <v>1</v>
      </c>
      <c r="O415" t="s">
        <v>3054</v>
      </c>
      <c r="P415" t="s">
        <v>3436</v>
      </c>
      <c r="Q415">
        <v>0.82779999999999998</v>
      </c>
    </row>
    <row r="416" spans="1:17" x14ac:dyDescent="0.35">
      <c r="A416" t="s">
        <v>429</v>
      </c>
      <c r="B416" t="s">
        <v>1919</v>
      </c>
      <c r="C416">
        <v>41</v>
      </c>
      <c r="D416" t="s">
        <v>2990</v>
      </c>
      <c r="E416" t="s">
        <v>3007</v>
      </c>
      <c r="F416" t="s">
        <v>3020</v>
      </c>
      <c r="G416">
        <v>11</v>
      </c>
      <c r="I416">
        <v>404708</v>
      </c>
      <c r="J416">
        <v>10.97</v>
      </c>
      <c r="K416">
        <v>48</v>
      </c>
      <c r="L416" t="s">
        <v>3046</v>
      </c>
      <c r="M416">
        <v>771</v>
      </c>
      <c r="N416">
        <v>2</v>
      </c>
      <c r="O416" t="s">
        <v>3056</v>
      </c>
      <c r="P416" t="s">
        <v>3117</v>
      </c>
      <c r="Q416">
        <v>0.39040000000000002</v>
      </c>
    </row>
    <row r="417" spans="1:17" x14ac:dyDescent="0.35">
      <c r="A417" t="s">
        <v>430</v>
      </c>
      <c r="B417" t="s">
        <v>1920</v>
      </c>
      <c r="C417">
        <v>43</v>
      </c>
      <c r="D417" t="s">
        <v>2992</v>
      </c>
      <c r="E417" t="s">
        <v>3003</v>
      </c>
      <c r="F417" t="s">
        <v>3019</v>
      </c>
      <c r="G417">
        <v>18</v>
      </c>
      <c r="H417">
        <v>303950</v>
      </c>
      <c r="I417">
        <v>678250</v>
      </c>
      <c r="J417">
        <v>8.2100000000000009</v>
      </c>
      <c r="K417">
        <v>36</v>
      </c>
      <c r="M417">
        <v>615</v>
      </c>
      <c r="N417">
        <v>7</v>
      </c>
      <c r="O417" t="s">
        <v>3055</v>
      </c>
      <c r="P417" t="s">
        <v>3437</v>
      </c>
      <c r="Q417">
        <v>2.2315</v>
      </c>
    </row>
    <row r="418" spans="1:17" x14ac:dyDescent="0.35">
      <c r="A418" t="s">
        <v>431</v>
      </c>
      <c r="B418" t="s">
        <v>1921</v>
      </c>
      <c r="C418">
        <v>28</v>
      </c>
      <c r="D418" t="s">
        <v>2992</v>
      </c>
      <c r="E418" t="s">
        <v>3001</v>
      </c>
      <c r="F418" t="s">
        <v>3021</v>
      </c>
      <c r="G418">
        <v>14</v>
      </c>
      <c r="H418">
        <v>2096545</v>
      </c>
      <c r="I418">
        <v>767852</v>
      </c>
      <c r="J418">
        <v>26.3</v>
      </c>
      <c r="K418">
        <v>60</v>
      </c>
      <c r="L418" t="s">
        <v>3047</v>
      </c>
      <c r="M418">
        <v>808</v>
      </c>
      <c r="N418">
        <v>2</v>
      </c>
      <c r="O418" t="s">
        <v>3052</v>
      </c>
      <c r="P418" t="s">
        <v>3438</v>
      </c>
      <c r="Q418">
        <v>0.36620000000000003</v>
      </c>
    </row>
    <row r="419" spans="1:17" x14ac:dyDescent="0.35">
      <c r="A419" t="s">
        <v>432</v>
      </c>
      <c r="B419" t="s">
        <v>1922</v>
      </c>
      <c r="C419">
        <v>36</v>
      </c>
      <c r="D419" t="s">
        <v>2992</v>
      </c>
      <c r="E419" t="s">
        <v>3000</v>
      </c>
      <c r="F419" t="s">
        <v>3020</v>
      </c>
      <c r="G419">
        <v>1</v>
      </c>
      <c r="H419">
        <v>2258808</v>
      </c>
      <c r="I419">
        <v>315866</v>
      </c>
      <c r="J419">
        <v>27.89</v>
      </c>
      <c r="K419">
        <v>36</v>
      </c>
      <c r="L419" t="s">
        <v>3049</v>
      </c>
      <c r="M419">
        <v>635</v>
      </c>
      <c r="N419">
        <v>7</v>
      </c>
      <c r="O419" t="s">
        <v>3056</v>
      </c>
      <c r="P419" t="s">
        <v>3439</v>
      </c>
      <c r="Q419">
        <v>0.13980000000000001</v>
      </c>
    </row>
    <row r="420" spans="1:17" x14ac:dyDescent="0.35">
      <c r="A420" t="s">
        <v>433</v>
      </c>
      <c r="B420" t="s">
        <v>1923</v>
      </c>
      <c r="C420">
        <v>38</v>
      </c>
      <c r="D420" t="s">
        <v>2992</v>
      </c>
      <c r="E420" t="s">
        <v>3002</v>
      </c>
      <c r="G420">
        <v>8</v>
      </c>
      <c r="H420">
        <v>666275</v>
      </c>
      <c r="I420">
        <v>674587</v>
      </c>
      <c r="J420">
        <v>25.33</v>
      </c>
      <c r="K420">
        <v>12</v>
      </c>
      <c r="L420" t="s">
        <v>3051</v>
      </c>
      <c r="M420">
        <v>746</v>
      </c>
      <c r="N420">
        <v>5</v>
      </c>
      <c r="O420" t="s">
        <v>3053</v>
      </c>
      <c r="P420" t="s">
        <v>3440</v>
      </c>
      <c r="Q420">
        <v>1.0125</v>
      </c>
    </row>
    <row r="421" spans="1:17" x14ac:dyDescent="0.35">
      <c r="A421" t="s">
        <v>434</v>
      </c>
      <c r="B421" t="s">
        <v>1924</v>
      </c>
      <c r="C421">
        <v>54</v>
      </c>
      <c r="D421" t="s">
        <v>2990</v>
      </c>
      <c r="E421" t="s">
        <v>3004</v>
      </c>
      <c r="F421" t="s">
        <v>3021</v>
      </c>
      <c r="G421">
        <v>26</v>
      </c>
      <c r="H421">
        <v>2141977</v>
      </c>
      <c r="I421">
        <v>88323</v>
      </c>
      <c r="J421">
        <v>22.19</v>
      </c>
      <c r="K421">
        <v>36</v>
      </c>
      <c r="L421" t="s">
        <v>3049</v>
      </c>
      <c r="M421">
        <v>601</v>
      </c>
      <c r="N421">
        <v>3</v>
      </c>
      <c r="O421" t="s">
        <v>3052</v>
      </c>
      <c r="P421" t="s">
        <v>3441</v>
      </c>
      <c r="Q421">
        <v>4.1200000000000001E-2</v>
      </c>
    </row>
    <row r="422" spans="1:17" x14ac:dyDescent="0.35">
      <c r="A422" t="s">
        <v>435</v>
      </c>
      <c r="B422" t="s">
        <v>1925</v>
      </c>
      <c r="C422">
        <v>42</v>
      </c>
      <c r="D422" t="s">
        <v>2990</v>
      </c>
      <c r="E422" t="s">
        <v>3006</v>
      </c>
      <c r="F422" t="s">
        <v>3019</v>
      </c>
      <c r="G422">
        <v>16</v>
      </c>
      <c r="H422">
        <v>640494</v>
      </c>
      <c r="I422">
        <v>159883</v>
      </c>
      <c r="J422">
        <v>18.809999999999999</v>
      </c>
      <c r="K422">
        <v>48</v>
      </c>
      <c r="L422" t="s">
        <v>3049</v>
      </c>
      <c r="N422">
        <v>2</v>
      </c>
      <c r="O422" t="s">
        <v>3056</v>
      </c>
      <c r="P422" t="s">
        <v>3442</v>
      </c>
      <c r="Q422">
        <v>0.24959999999999999</v>
      </c>
    </row>
    <row r="423" spans="1:17" x14ac:dyDescent="0.35">
      <c r="A423" t="s">
        <v>436</v>
      </c>
      <c r="B423" t="s">
        <v>1926</v>
      </c>
      <c r="C423">
        <v>25</v>
      </c>
      <c r="D423" t="s">
        <v>2992</v>
      </c>
      <c r="E423" t="s">
        <v>2999</v>
      </c>
      <c r="F423" t="s">
        <v>3020</v>
      </c>
      <c r="G423">
        <v>4</v>
      </c>
      <c r="H423">
        <v>1339608</v>
      </c>
      <c r="I423">
        <v>237980</v>
      </c>
      <c r="J423">
        <v>12.94</v>
      </c>
      <c r="K423">
        <v>24</v>
      </c>
      <c r="L423" t="s">
        <v>3048</v>
      </c>
      <c r="M423">
        <v>367</v>
      </c>
      <c r="N423">
        <v>1</v>
      </c>
      <c r="O423" t="s">
        <v>3057</v>
      </c>
      <c r="P423" t="s">
        <v>3443</v>
      </c>
      <c r="Q423">
        <v>0.17760000000000001</v>
      </c>
    </row>
    <row r="424" spans="1:17" x14ac:dyDescent="0.35">
      <c r="A424" t="s">
        <v>437</v>
      </c>
      <c r="B424" t="s">
        <v>1927</v>
      </c>
      <c r="C424">
        <v>58</v>
      </c>
      <c r="D424" t="s">
        <v>2990</v>
      </c>
      <c r="E424" t="s">
        <v>3013</v>
      </c>
      <c r="F424" t="s">
        <v>3021</v>
      </c>
      <c r="G424">
        <v>15</v>
      </c>
      <c r="H424">
        <v>2349867</v>
      </c>
      <c r="I424">
        <v>608398</v>
      </c>
      <c r="J424">
        <v>21.84</v>
      </c>
      <c r="K424">
        <v>60</v>
      </c>
      <c r="L424" t="s">
        <v>3046</v>
      </c>
      <c r="M424">
        <v>742</v>
      </c>
      <c r="N424">
        <v>5</v>
      </c>
      <c r="O424" t="s">
        <v>3057</v>
      </c>
      <c r="P424" t="s">
        <v>3311</v>
      </c>
      <c r="Q424">
        <v>0.25890000000000002</v>
      </c>
    </row>
    <row r="425" spans="1:17" x14ac:dyDescent="0.35">
      <c r="A425" t="s">
        <v>438</v>
      </c>
      <c r="B425" t="s">
        <v>1928</v>
      </c>
      <c r="C425">
        <v>22</v>
      </c>
      <c r="D425" t="s">
        <v>2992</v>
      </c>
      <c r="E425" t="s">
        <v>3002</v>
      </c>
      <c r="F425" t="s">
        <v>3018</v>
      </c>
      <c r="G425">
        <v>12</v>
      </c>
      <c r="H425">
        <v>696409</v>
      </c>
      <c r="I425">
        <v>456542</v>
      </c>
      <c r="J425" t="s">
        <v>3032</v>
      </c>
      <c r="K425">
        <v>48</v>
      </c>
      <c r="L425" t="s">
        <v>3051</v>
      </c>
      <c r="M425">
        <v>688</v>
      </c>
      <c r="N425">
        <v>2</v>
      </c>
      <c r="O425" t="s">
        <v>3057</v>
      </c>
      <c r="P425" t="s">
        <v>3442</v>
      </c>
      <c r="Q425">
        <v>0.65559999999999996</v>
      </c>
    </row>
    <row r="426" spans="1:17" x14ac:dyDescent="0.35">
      <c r="A426" t="s">
        <v>413</v>
      </c>
      <c r="B426" t="s">
        <v>1903</v>
      </c>
      <c r="C426">
        <v>30</v>
      </c>
      <c r="D426" t="s">
        <v>2992</v>
      </c>
      <c r="E426" t="s">
        <v>3001</v>
      </c>
      <c r="F426" t="s">
        <v>3019</v>
      </c>
      <c r="G426">
        <v>19</v>
      </c>
      <c r="H426">
        <v>1909057</v>
      </c>
      <c r="I426">
        <v>0</v>
      </c>
      <c r="J426">
        <v>27.09</v>
      </c>
      <c r="K426">
        <v>24</v>
      </c>
      <c r="L426" t="s">
        <v>3046</v>
      </c>
      <c r="M426">
        <v>302</v>
      </c>
      <c r="N426">
        <v>4</v>
      </c>
      <c r="O426" t="s">
        <v>3055</v>
      </c>
      <c r="P426" t="s">
        <v>3423</v>
      </c>
      <c r="Q426">
        <v>4.99E-2</v>
      </c>
    </row>
    <row r="427" spans="1:17" x14ac:dyDescent="0.35">
      <c r="A427" t="s">
        <v>439</v>
      </c>
      <c r="B427" t="s">
        <v>1929</v>
      </c>
      <c r="C427">
        <v>45</v>
      </c>
      <c r="D427" t="s">
        <v>2992</v>
      </c>
      <c r="E427" t="s">
        <v>3006</v>
      </c>
      <c r="F427" t="s">
        <v>3020</v>
      </c>
      <c r="G427">
        <v>21</v>
      </c>
      <c r="H427">
        <v>922488</v>
      </c>
      <c r="I427">
        <v>673015</v>
      </c>
      <c r="J427">
        <v>8.7899999999999991</v>
      </c>
      <c r="K427">
        <v>36</v>
      </c>
      <c r="L427" t="s">
        <v>3049</v>
      </c>
      <c r="M427">
        <v>433</v>
      </c>
      <c r="N427">
        <v>2</v>
      </c>
      <c r="O427" t="s">
        <v>3054</v>
      </c>
      <c r="P427" t="s">
        <v>3444</v>
      </c>
      <c r="Q427">
        <v>0.72960000000000003</v>
      </c>
    </row>
    <row r="428" spans="1:17" x14ac:dyDescent="0.35">
      <c r="A428" t="s">
        <v>440</v>
      </c>
      <c r="B428" t="s">
        <v>1930</v>
      </c>
      <c r="C428">
        <v>43</v>
      </c>
      <c r="D428" t="s">
        <v>2990</v>
      </c>
      <c r="E428" t="s">
        <v>3001</v>
      </c>
      <c r="F428" t="s">
        <v>3020</v>
      </c>
      <c r="G428">
        <v>1</v>
      </c>
      <c r="H428">
        <v>960641</v>
      </c>
      <c r="I428">
        <v>237583</v>
      </c>
      <c r="J428">
        <v>26.35</v>
      </c>
      <c r="K428">
        <v>48</v>
      </c>
      <c r="L428" t="s">
        <v>3047</v>
      </c>
      <c r="M428">
        <v>361</v>
      </c>
      <c r="N428">
        <v>1</v>
      </c>
      <c r="O428" t="s">
        <v>3056</v>
      </c>
      <c r="P428" t="s">
        <v>3445</v>
      </c>
      <c r="Q428">
        <v>0.24729999999999999</v>
      </c>
    </row>
    <row r="429" spans="1:17" x14ac:dyDescent="0.35">
      <c r="A429" t="s">
        <v>441</v>
      </c>
      <c r="B429" t="s">
        <v>1931</v>
      </c>
      <c r="C429">
        <v>58</v>
      </c>
      <c r="D429" t="s">
        <v>2990</v>
      </c>
      <c r="E429" t="s">
        <v>3003</v>
      </c>
      <c r="F429" t="s">
        <v>3019</v>
      </c>
      <c r="G429">
        <v>7</v>
      </c>
      <c r="H429">
        <v>1409787</v>
      </c>
      <c r="I429">
        <v>69522</v>
      </c>
      <c r="J429">
        <v>21.51</v>
      </c>
      <c r="K429">
        <v>60</v>
      </c>
      <c r="L429" t="s">
        <v>3046</v>
      </c>
      <c r="M429">
        <v>727</v>
      </c>
      <c r="N429">
        <v>4</v>
      </c>
      <c r="O429" t="s">
        <v>3056</v>
      </c>
      <c r="P429" t="s">
        <v>3446</v>
      </c>
      <c r="Q429">
        <v>4.9299999999999997E-2</v>
      </c>
    </row>
    <row r="430" spans="1:17" x14ac:dyDescent="0.35">
      <c r="A430" t="s">
        <v>442</v>
      </c>
      <c r="B430" t="s">
        <v>1932</v>
      </c>
      <c r="C430">
        <v>25</v>
      </c>
      <c r="D430" t="s">
        <v>2992</v>
      </c>
      <c r="E430" t="s">
        <v>3003</v>
      </c>
      <c r="F430" t="s">
        <v>3019</v>
      </c>
      <c r="G430">
        <v>20</v>
      </c>
      <c r="H430">
        <v>2223338</v>
      </c>
      <c r="I430">
        <v>328112</v>
      </c>
      <c r="J430">
        <v>26.66</v>
      </c>
      <c r="K430">
        <v>48</v>
      </c>
      <c r="L430" t="s">
        <v>3051</v>
      </c>
      <c r="M430">
        <v>440</v>
      </c>
      <c r="N430">
        <v>3</v>
      </c>
      <c r="O430" t="s">
        <v>3054</v>
      </c>
      <c r="P430" t="s">
        <v>3447</v>
      </c>
      <c r="Q430">
        <v>0.14760000000000001</v>
      </c>
    </row>
    <row r="431" spans="1:17" x14ac:dyDescent="0.35">
      <c r="A431" t="s">
        <v>443</v>
      </c>
      <c r="B431" t="s">
        <v>1933</v>
      </c>
      <c r="C431">
        <v>50</v>
      </c>
      <c r="D431" t="s">
        <v>2992</v>
      </c>
      <c r="E431" t="s">
        <v>3006</v>
      </c>
      <c r="F431" t="s">
        <v>3018</v>
      </c>
      <c r="G431">
        <v>6</v>
      </c>
      <c r="H431">
        <v>836951</v>
      </c>
      <c r="I431">
        <v>387003</v>
      </c>
      <c r="J431">
        <v>24.9</v>
      </c>
      <c r="K431">
        <v>48</v>
      </c>
      <c r="M431">
        <v>386</v>
      </c>
      <c r="N431">
        <v>0</v>
      </c>
      <c r="O431" t="s">
        <v>3056</v>
      </c>
      <c r="P431" t="s">
        <v>3448</v>
      </c>
      <c r="Q431">
        <v>0.46239999999999998</v>
      </c>
    </row>
    <row r="432" spans="1:17" x14ac:dyDescent="0.35">
      <c r="A432" t="s">
        <v>444</v>
      </c>
      <c r="B432" t="s">
        <v>1934</v>
      </c>
      <c r="C432">
        <v>22</v>
      </c>
      <c r="D432" t="s">
        <v>2992</v>
      </c>
      <c r="E432" t="s">
        <v>3015</v>
      </c>
      <c r="F432" t="s">
        <v>3021</v>
      </c>
      <c r="G432">
        <v>23</v>
      </c>
      <c r="H432">
        <v>1390209</v>
      </c>
      <c r="I432">
        <v>127507</v>
      </c>
      <c r="J432">
        <v>11.5</v>
      </c>
      <c r="K432">
        <v>60</v>
      </c>
      <c r="L432" t="s">
        <v>3049</v>
      </c>
      <c r="M432">
        <v>498</v>
      </c>
      <c r="N432">
        <v>4</v>
      </c>
      <c r="O432" t="s">
        <v>3053</v>
      </c>
      <c r="P432" t="s">
        <v>3449</v>
      </c>
      <c r="Q432">
        <v>9.1700000000000004E-2</v>
      </c>
    </row>
    <row r="433" spans="1:17" x14ac:dyDescent="0.35">
      <c r="A433" t="s">
        <v>445</v>
      </c>
      <c r="B433" t="s">
        <v>1935</v>
      </c>
      <c r="C433">
        <v>42</v>
      </c>
      <c r="D433" t="s">
        <v>2995</v>
      </c>
      <c r="E433" t="s">
        <v>3007</v>
      </c>
      <c r="F433" t="s">
        <v>3020</v>
      </c>
      <c r="G433">
        <v>9</v>
      </c>
      <c r="H433">
        <v>1436715</v>
      </c>
      <c r="I433">
        <v>667418</v>
      </c>
      <c r="J433">
        <v>14.05</v>
      </c>
      <c r="K433">
        <v>12</v>
      </c>
      <c r="L433" t="s">
        <v>3047</v>
      </c>
      <c r="M433">
        <v>345</v>
      </c>
      <c r="N433">
        <v>2</v>
      </c>
      <c r="O433" t="s">
        <v>3052</v>
      </c>
      <c r="P433" t="s">
        <v>3450</v>
      </c>
      <c r="Q433">
        <v>0.46450000000000002</v>
      </c>
    </row>
    <row r="434" spans="1:17" x14ac:dyDescent="0.35">
      <c r="A434" t="s">
        <v>446</v>
      </c>
      <c r="B434" t="s">
        <v>1936</v>
      </c>
      <c r="C434">
        <v>41</v>
      </c>
      <c r="D434" t="s">
        <v>2992</v>
      </c>
      <c r="E434" t="s">
        <v>3005</v>
      </c>
      <c r="F434" t="s">
        <v>3021</v>
      </c>
      <c r="G434">
        <v>21</v>
      </c>
      <c r="H434">
        <v>400169</v>
      </c>
      <c r="I434">
        <v>781401</v>
      </c>
      <c r="J434">
        <v>18.809999999999999</v>
      </c>
      <c r="K434">
        <v>36</v>
      </c>
      <c r="L434" t="s">
        <v>3048</v>
      </c>
      <c r="M434">
        <v>372</v>
      </c>
      <c r="N434">
        <v>7</v>
      </c>
      <c r="O434" t="s">
        <v>3055</v>
      </c>
      <c r="P434" t="s">
        <v>3451</v>
      </c>
      <c r="Q434">
        <v>1.9527000000000001</v>
      </c>
    </row>
    <row r="435" spans="1:17" x14ac:dyDescent="0.35">
      <c r="A435" t="s">
        <v>447</v>
      </c>
      <c r="B435" t="s">
        <v>1937</v>
      </c>
      <c r="C435">
        <v>31</v>
      </c>
      <c r="D435" t="s">
        <v>2990</v>
      </c>
      <c r="E435" t="s">
        <v>3005</v>
      </c>
      <c r="F435" t="s">
        <v>3021</v>
      </c>
      <c r="G435">
        <v>28</v>
      </c>
      <c r="H435">
        <v>2360521</v>
      </c>
      <c r="I435">
        <v>345203</v>
      </c>
      <c r="J435">
        <v>23.92</v>
      </c>
      <c r="K435">
        <v>60</v>
      </c>
      <c r="L435" t="s">
        <v>3048</v>
      </c>
      <c r="M435">
        <v>565</v>
      </c>
      <c r="N435">
        <v>5</v>
      </c>
      <c r="O435" t="s">
        <v>3054</v>
      </c>
      <c r="P435" t="s">
        <v>3452</v>
      </c>
      <c r="Q435">
        <v>0.1462</v>
      </c>
    </row>
    <row r="436" spans="1:17" x14ac:dyDescent="0.35">
      <c r="A436" t="s">
        <v>448</v>
      </c>
      <c r="B436" t="s">
        <v>1938</v>
      </c>
      <c r="C436">
        <v>35</v>
      </c>
      <c r="D436" t="s">
        <v>2992</v>
      </c>
      <c r="E436" t="s">
        <v>3004</v>
      </c>
      <c r="F436" t="s">
        <v>3019</v>
      </c>
      <c r="G436">
        <v>2</v>
      </c>
      <c r="H436">
        <v>1541871</v>
      </c>
      <c r="I436">
        <v>307710</v>
      </c>
      <c r="J436">
        <v>19.829999999999998</v>
      </c>
      <c r="K436">
        <v>48</v>
      </c>
      <c r="L436" t="s">
        <v>3048</v>
      </c>
      <c r="M436">
        <v>779</v>
      </c>
      <c r="N436">
        <v>6</v>
      </c>
      <c r="O436" t="s">
        <v>3056</v>
      </c>
      <c r="P436" t="s">
        <v>3453</v>
      </c>
      <c r="Q436">
        <v>0.1996</v>
      </c>
    </row>
    <row r="437" spans="1:17" x14ac:dyDescent="0.35">
      <c r="A437" t="s">
        <v>449</v>
      </c>
      <c r="B437" t="s">
        <v>1939</v>
      </c>
      <c r="C437">
        <v>61</v>
      </c>
      <c r="D437" t="s">
        <v>2990</v>
      </c>
      <c r="E437" t="s">
        <v>3001</v>
      </c>
      <c r="F437" t="s">
        <v>3021</v>
      </c>
      <c r="G437">
        <v>20</v>
      </c>
      <c r="H437">
        <v>2126830</v>
      </c>
      <c r="I437">
        <v>132217</v>
      </c>
      <c r="J437">
        <v>15.69</v>
      </c>
      <c r="K437">
        <v>60</v>
      </c>
      <c r="L437" t="s">
        <v>3050</v>
      </c>
      <c r="M437">
        <v>437</v>
      </c>
      <c r="N437">
        <v>3</v>
      </c>
      <c r="O437" t="s">
        <v>3053</v>
      </c>
      <c r="P437" t="s">
        <v>3454</v>
      </c>
      <c r="Q437">
        <v>6.2199999999999998E-2</v>
      </c>
    </row>
    <row r="438" spans="1:17" x14ac:dyDescent="0.35">
      <c r="A438" t="s">
        <v>450</v>
      </c>
      <c r="B438" t="s">
        <v>1940</v>
      </c>
      <c r="C438">
        <v>53</v>
      </c>
      <c r="D438" t="s">
        <v>2992</v>
      </c>
      <c r="E438" t="s">
        <v>2998</v>
      </c>
      <c r="F438" t="s">
        <v>3021</v>
      </c>
      <c r="G438">
        <v>27</v>
      </c>
      <c r="H438">
        <v>1408807</v>
      </c>
      <c r="I438">
        <v>140076</v>
      </c>
      <c r="J438">
        <v>24.92</v>
      </c>
      <c r="K438">
        <v>12</v>
      </c>
      <c r="L438" t="s">
        <v>3049</v>
      </c>
      <c r="M438">
        <v>849</v>
      </c>
      <c r="N438">
        <v>5</v>
      </c>
      <c r="O438" t="s">
        <v>3055</v>
      </c>
      <c r="P438" t="s">
        <v>3455</v>
      </c>
      <c r="Q438">
        <v>9.9400000000000002E-2</v>
      </c>
    </row>
    <row r="439" spans="1:17" x14ac:dyDescent="0.35">
      <c r="A439" t="s">
        <v>451</v>
      </c>
      <c r="B439" t="s">
        <v>1941</v>
      </c>
      <c r="C439">
        <v>35</v>
      </c>
      <c r="D439" t="s">
        <v>2992</v>
      </c>
      <c r="E439" t="s">
        <v>3006</v>
      </c>
      <c r="F439" t="s">
        <v>3021</v>
      </c>
      <c r="G439">
        <v>15</v>
      </c>
      <c r="H439">
        <v>804771</v>
      </c>
      <c r="I439">
        <v>502376</v>
      </c>
      <c r="J439">
        <v>9.4499999999999993</v>
      </c>
      <c r="K439">
        <v>12</v>
      </c>
      <c r="L439" t="s">
        <v>3046</v>
      </c>
      <c r="M439">
        <v>556</v>
      </c>
      <c r="N439">
        <v>1</v>
      </c>
      <c r="O439" t="s">
        <v>3062</v>
      </c>
      <c r="P439" t="s">
        <v>3456</v>
      </c>
      <c r="Q439">
        <v>0.62419999999999998</v>
      </c>
    </row>
    <row r="440" spans="1:17" x14ac:dyDescent="0.35">
      <c r="A440" t="s">
        <v>452</v>
      </c>
      <c r="B440" t="s">
        <v>1942</v>
      </c>
      <c r="C440">
        <v>27</v>
      </c>
      <c r="D440" t="s">
        <v>2992</v>
      </c>
      <c r="E440" t="s">
        <v>3007</v>
      </c>
      <c r="F440" t="s">
        <v>3018</v>
      </c>
      <c r="G440">
        <v>12</v>
      </c>
      <c r="H440">
        <v>310544</v>
      </c>
      <c r="I440">
        <v>427931</v>
      </c>
      <c r="J440">
        <v>16.54</v>
      </c>
      <c r="K440">
        <v>48</v>
      </c>
      <c r="L440" t="s">
        <v>3051</v>
      </c>
      <c r="M440">
        <v>491</v>
      </c>
      <c r="N440">
        <v>1</v>
      </c>
      <c r="O440" t="s">
        <v>3053</v>
      </c>
      <c r="P440" t="s">
        <v>3300</v>
      </c>
      <c r="Q440">
        <v>1.3779999999999999</v>
      </c>
    </row>
    <row r="441" spans="1:17" x14ac:dyDescent="0.35">
      <c r="A441" t="s">
        <v>453</v>
      </c>
      <c r="B441" t="s">
        <v>1943</v>
      </c>
      <c r="C441">
        <v>33</v>
      </c>
      <c r="D441" t="s">
        <v>2990</v>
      </c>
      <c r="E441" t="s">
        <v>3002</v>
      </c>
      <c r="F441" t="s">
        <v>3018</v>
      </c>
      <c r="G441">
        <v>20</v>
      </c>
      <c r="H441">
        <v>827008</v>
      </c>
      <c r="I441">
        <v>520098</v>
      </c>
      <c r="J441">
        <v>11.29</v>
      </c>
      <c r="K441">
        <v>36</v>
      </c>
      <c r="L441" t="s">
        <v>3048</v>
      </c>
      <c r="M441">
        <v>548</v>
      </c>
      <c r="N441">
        <v>1</v>
      </c>
      <c r="O441" t="s">
        <v>3053</v>
      </c>
      <c r="P441" t="s">
        <v>3457</v>
      </c>
      <c r="Q441">
        <v>0.62890000000000001</v>
      </c>
    </row>
    <row r="442" spans="1:17" x14ac:dyDescent="0.35">
      <c r="A442" t="s">
        <v>454</v>
      </c>
      <c r="B442" t="s">
        <v>1944</v>
      </c>
      <c r="C442">
        <v>60</v>
      </c>
      <c r="D442" t="s">
        <v>2990</v>
      </c>
      <c r="E442" t="s">
        <v>3001</v>
      </c>
      <c r="F442" t="s">
        <v>3021</v>
      </c>
      <c r="G442">
        <v>23</v>
      </c>
      <c r="I442">
        <v>420890</v>
      </c>
      <c r="J442">
        <v>10.91</v>
      </c>
      <c r="K442">
        <v>48</v>
      </c>
      <c r="L442" t="s">
        <v>3048</v>
      </c>
      <c r="M442">
        <v>831</v>
      </c>
      <c r="N442">
        <v>2</v>
      </c>
      <c r="O442" t="s">
        <v>3055</v>
      </c>
      <c r="P442" t="s">
        <v>3458</v>
      </c>
      <c r="Q442">
        <v>0.5242</v>
      </c>
    </row>
    <row r="443" spans="1:17" x14ac:dyDescent="0.35">
      <c r="A443" t="s">
        <v>455</v>
      </c>
      <c r="B443" t="s">
        <v>1945</v>
      </c>
      <c r="C443">
        <v>42</v>
      </c>
      <c r="D443" t="s">
        <v>2992</v>
      </c>
      <c r="E443" t="s">
        <v>3002</v>
      </c>
      <c r="F443" t="s">
        <v>3018</v>
      </c>
      <c r="G443">
        <v>26</v>
      </c>
      <c r="H443">
        <v>230098</v>
      </c>
      <c r="I443">
        <v>160148</v>
      </c>
      <c r="J443">
        <v>12.32</v>
      </c>
      <c r="K443">
        <v>24</v>
      </c>
      <c r="L443" t="s">
        <v>3046</v>
      </c>
      <c r="M443">
        <v>318</v>
      </c>
      <c r="N443">
        <v>2</v>
      </c>
      <c r="O443" t="s">
        <v>3057</v>
      </c>
      <c r="P443" t="s">
        <v>3180</v>
      </c>
      <c r="Q443">
        <v>0.69599999999999995</v>
      </c>
    </row>
    <row r="444" spans="1:17" x14ac:dyDescent="0.35">
      <c r="A444" t="s">
        <v>456</v>
      </c>
      <c r="B444" t="s">
        <v>1946</v>
      </c>
      <c r="C444">
        <v>29</v>
      </c>
      <c r="D444" t="s">
        <v>2996</v>
      </c>
      <c r="E444" t="s">
        <v>2998</v>
      </c>
      <c r="F444" t="s">
        <v>3018</v>
      </c>
      <c r="G444">
        <v>2</v>
      </c>
      <c r="H444">
        <v>417199</v>
      </c>
      <c r="I444">
        <v>577242</v>
      </c>
      <c r="J444">
        <v>23.37</v>
      </c>
      <c r="K444">
        <v>12</v>
      </c>
      <c r="L444" t="s">
        <v>3049</v>
      </c>
      <c r="M444">
        <v>314</v>
      </c>
      <c r="N444">
        <v>3</v>
      </c>
      <c r="O444" t="s">
        <v>3052</v>
      </c>
      <c r="P444" t="s">
        <v>3459</v>
      </c>
      <c r="Q444">
        <v>1.3835999999999999</v>
      </c>
    </row>
    <row r="445" spans="1:17" x14ac:dyDescent="0.35">
      <c r="A445" t="s">
        <v>457</v>
      </c>
      <c r="B445" t="s">
        <v>1947</v>
      </c>
      <c r="C445">
        <v>57</v>
      </c>
      <c r="D445" t="s">
        <v>2990</v>
      </c>
      <c r="E445" t="s">
        <v>2999</v>
      </c>
      <c r="F445" t="s">
        <v>3021</v>
      </c>
      <c r="G445">
        <v>12</v>
      </c>
      <c r="H445">
        <v>1496189</v>
      </c>
      <c r="I445">
        <v>108835</v>
      </c>
      <c r="J445">
        <v>21.51</v>
      </c>
      <c r="K445">
        <v>24</v>
      </c>
      <c r="L445" t="s">
        <v>3050</v>
      </c>
      <c r="M445">
        <v>491</v>
      </c>
      <c r="N445">
        <v>3</v>
      </c>
      <c r="O445" t="s">
        <v>3053</v>
      </c>
      <c r="P445" t="s">
        <v>3460</v>
      </c>
      <c r="Q445">
        <v>7.2700000000000001E-2</v>
      </c>
    </row>
    <row r="446" spans="1:17" x14ac:dyDescent="0.35">
      <c r="A446" t="s">
        <v>458</v>
      </c>
      <c r="B446" t="s">
        <v>1948</v>
      </c>
      <c r="C446">
        <v>64</v>
      </c>
      <c r="D446" t="s">
        <v>2992</v>
      </c>
      <c r="E446" t="s">
        <v>3003</v>
      </c>
      <c r="F446" t="s">
        <v>3020</v>
      </c>
      <c r="G446">
        <v>12</v>
      </c>
      <c r="H446">
        <v>847689</v>
      </c>
      <c r="I446">
        <v>759804</v>
      </c>
      <c r="J446">
        <v>9.9</v>
      </c>
      <c r="K446">
        <v>60</v>
      </c>
      <c r="L446" t="s">
        <v>3050</v>
      </c>
      <c r="M446">
        <v>319</v>
      </c>
      <c r="N446">
        <v>4</v>
      </c>
      <c r="O446" t="s">
        <v>3056</v>
      </c>
      <c r="P446" t="s">
        <v>3461</v>
      </c>
      <c r="Q446">
        <v>0.89629999999999999</v>
      </c>
    </row>
    <row r="447" spans="1:17" x14ac:dyDescent="0.35">
      <c r="A447" t="s">
        <v>459</v>
      </c>
      <c r="B447" t="s">
        <v>1949</v>
      </c>
      <c r="C447">
        <v>46</v>
      </c>
      <c r="D447" t="s">
        <v>2990</v>
      </c>
      <c r="E447" t="s">
        <v>3003</v>
      </c>
      <c r="F447" t="s">
        <v>3021</v>
      </c>
      <c r="G447">
        <v>10</v>
      </c>
      <c r="H447">
        <v>1891672</v>
      </c>
      <c r="I447">
        <v>785791</v>
      </c>
      <c r="J447">
        <v>8.48</v>
      </c>
      <c r="K447">
        <v>36</v>
      </c>
      <c r="L447" t="s">
        <v>3051</v>
      </c>
      <c r="N447">
        <v>1</v>
      </c>
      <c r="O447" t="s">
        <v>3061</v>
      </c>
      <c r="P447" t="s">
        <v>3267</v>
      </c>
      <c r="Q447">
        <v>0.41539999999999999</v>
      </c>
    </row>
    <row r="448" spans="1:17" x14ac:dyDescent="0.35">
      <c r="A448" t="s">
        <v>460</v>
      </c>
      <c r="B448" t="s">
        <v>1950</v>
      </c>
      <c r="C448">
        <v>30</v>
      </c>
      <c r="D448" t="s">
        <v>2994</v>
      </c>
      <c r="E448" t="s">
        <v>3003</v>
      </c>
      <c r="F448" t="s">
        <v>3020</v>
      </c>
      <c r="G448">
        <v>7</v>
      </c>
      <c r="H448">
        <v>1629087</v>
      </c>
      <c r="I448">
        <v>106694</v>
      </c>
      <c r="J448">
        <v>18.05</v>
      </c>
      <c r="K448">
        <v>12</v>
      </c>
      <c r="L448" t="s">
        <v>3050</v>
      </c>
      <c r="M448">
        <v>507</v>
      </c>
      <c r="N448">
        <v>1</v>
      </c>
      <c r="O448" t="s">
        <v>3056</v>
      </c>
      <c r="P448" t="s">
        <v>3462</v>
      </c>
      <c r="Q448">
        <v>6.5500000000000003E-2</v>
      </c>
    </row>
    <row r="449" spans="1:17" x14ac:dyDescent="0.35">
      <c r="A449" t="s">
        <v>461</v>
      </c>
      <c r="B449" t="s">
        <v>1951</v>
      </c>
      <c r="C449">
        <v>28</v>
      </c>
      <c r="D449" t="s">
        <v>2992</v>
      </c>
      <c r="E449" t="s">
        <v>3013</v>
      </c>
      <c r="F449" t="s">
        <v>3021</v>
      </c>
      <c r="G449">
        <v>24</v>
      </c>
      <c r="H449">
        <v>401373</v>
      </c>
      <c r="I449">
        <v>464972</v>
      </c>
      <c r="J449">
        <v>15.26</v>
      </c>
      <c r="K449">
        <v>60</v>
      </c>
      <c r="L449" t="s">
        <v>3047</v>
      </c>
      <c r="M449">
        <v>760</v>
      </c>
      <c r="N449">
        <v>2</v>
      </c>
      <c r="O449" t="s">
        <v>3056</v>
      </c>
      <c r="P449" t="s">
        <v>3297</v>
      </c>
      <c r="Q449">
        <v>1.1585000000000001</v>
      </c>
    </row>
    <row r="450" spans="1:17" x14ac:dyDescent="0.35">
      <c r="A450" t="s">
        <v>462</v>
      </c>
      <c r="B450" t="s">
        <v>1952</v>
      </c>
      <c r="C450">
        <v>46</v>
      </c>
      <c r="D450" t="s">
        <v>2990</v>
      </c>
      <c r="E450" t="s">
        <v>2999</v>
      </c>
      <c r="F450" t="s">
        <v>3021</v>
      </c>
      <c r="G450">
        <v>21</v>
      </c>
      <c r="H450">
        <v>1818497</v>
      </c>
      <c r="I450">
        <v>547741</v>
      </c>
      <c r="J450">
        <v>23.16</v>
      </c>
      <c r="K450">
        <v>12</v>
      </c>
      <c r="L450" t="s">
        <v>3050</v>
      </c>
      <c r="M450">
        <v>648</v>
      </c>
      <c r="N450">
        <v>4</v>
      </c>
      <c r="O450" t="s">
        <v>3054</v>
      </c>
      <c r="P450" t="s">
        <v>3463</v>
      </c>
      <c r="Q450">
        <v>0.30120000000000002</v>
      </c>
    </row>
    <row r="451" spans="1:17" x14ac:dyDescent="0.35">
      <c r="A451" t="s">
        <v>463</v>
      </c>
      <c r="B451" t="s">
        <v>1953</v>
      </c>
      <c r="C451">
        <v>30</v>
      </c>
      <c r="D451" t="s">
        <v>2990</v>
      </c>
      <c r="E451" t="s">
        <v>3002</v>
      </c>
      <c r="F451" t="s">
        <v>3021</v>
      </c>
      <c r="G451">
        <v>0</v>
      </c>
      <c r="H451">
        <v>2245153</v>
      </c>
      <c r="I451">
        <v>27415</v>
      </c>
      <c r="J451">
        <v>23.37</v>
      </c>
      <c r="K451">
        <v>12</v>
      </c>
      <c r="L451" t="s">
        <v>3047</v>
      </c>
      <c r="M451">
        <v>424</v>
      </c>
      <c r="N451">
        <v>3</v>
      </c>
      <c r="O451" t="s">
        <v>3053</v>
      </c>
      <c r="P451" t="s">
        <v>3464</v>
      </c>
      <c r="Q451">
        <v>1.2200000000000001E-2</v>
      </c>
    </row>
    <row r="452" spans="1:17" x14ac:dyDescent="0.35">
      <c r="A452" t="s">
        <v>464</v>
      </c>
      <c r="B452" t="s">
        <v>1954</v>
      </c>
      <c r="C452">
        <v>55</v>
      </c>
      <c r="D452" t="s">
        <v>2992</v>
      </c>
      <c r="E452" t="s">
        <v>3003</v>
      </c>
      <c r="F452" t="s">
        <v>3021</v>
      </c>
      <c r="G452">
        <v>26</v>
      </c>
      <c r="H452">
        <v>1360887</v>
      </c>
      <c r="I452">
        <v>247135</v>
      </c>
      <c r="J452">
        <v>27.31</v>
      </c>
      <c r="K452">
        <v>24</v>
      </c>
      <c r="L452" t="s">
        <v>3050</v>
      </c>
      <c r="M452">
        <v>527</v>
      </c>
      <c r="N452">
        <v>4</v>
      </c>
      <c r="O452" t="s">
        <v>3052</v>
      </c>
      <c r="P452" t="s">
        <v>3465</v>
      </c>
      <c r="Q452">
        <v>0.18160000000000001</v>
      </c>
    </row>
    <row r="453" spans="1:17" x14ac:dyDescent="0.35">
      <c r="A453" t="s">
        <v>465</v>
      </c>
      <c r="B453" t="s">
        <v>1955</v>
      </c>
      <c r="C453">
        <v>58</v>
      </c>
      <c r="D453" t="s">
        <v>2990</v>
      </c>
      <c r="E453" t="s">
        <v>3004</v>
      </c>
      <c r="F453" t="s">
        <v>3021</v>
      </c>
      <c r="G453">
        <v>11</v>
      </c>
      <c r="H453">
        <v>735462</v>
      </c>
      <c r="I453">
        <v>265300</v>
      </c>
      <c r="J453">
        <v>23.13</v>
      </c>
      <c r="K453">
        <v>48</v>
      </c>
      <c r="L453" t="s">
        <v>3050</v>
      </c>
      <c r="M453">
        <v>738</v>
      </c>
      <c r="N453">
        <v>3</v>
      </c>
      <c r="O453" t="s">
        <v>3053</v>
      </c>
      <c r="P453" t="s">
        <v>3129</v>
      </c>
      <c r="Q453">
        <v>0.36070000000000002</v>
      </c>
    </row>
    <row r="454" spans="1:17" x14ac:dyDescent="0.35">
      <c r="A454" t="s">
        <v>466</v>
      </c>
      <c r="B454" t="s">
        <v>1956</v>
      </c>
      <c r="C454">
        <v>40</v>
      </c>
      <c r="D454" t="s">
        <v>2990</v>
      </c>
      <c r="E454" t="s">
        <v>3002</v>
      </c>
      <c r="F454" t="s">
        <v>3019</v>
      </c>
      <c r="G454">
        <v>0</v>
      </c>
      <c r="H454">
        <v>-1162469</v>
      </c>
      <c r="I454">
        <v>456679</v>
      </c>
      <c r="J454">
        <v>8.23</v>
      </c>
      <c r="K454">
        <v>60</v>
      </c>
      <c r="L454" t="s">
        <v>3046</v>
      </c>
      <c r="M454">
        <v>424</v>
      </c>
      <c r="N454">
        <v>0</v>
      </c>
      <c r="O454" t="s">
        <v>3055</v>
      </c>
      <c r="P454" t="s">
        <v>3466</v>
      </c>
      <c r="Q454">
        <v>0.39290000000000003</v>
      </c>
    </row>
    <row r="455" spans="1:17" x14ac:dyDescent="0.35">
      <c r="A455" t="s">
        <v>467</v>
      </c>
      <c r="B455" t="s">
        <v>1957</v>
      </c>
      <c r="C455">
        <v>43</v>
      </c>
      <c r="D455" t="s">
        <v>2992</v>
      </c>
      <c r="E455" t="s">
        <v>3007</v>
      </c>
      <c r="F455" t="s">
        <v>3020</v>
      </c>
      <c r="G455">
        <v>14</v>
      </c>
      <c r="H455">
        <v>1669493</v>
      </c>
      <c r="I455">
        <v>701509</v>
      </c>
      <c r="J455">
        <v>27.13</v>
      </c>
      <c r="K455">
        <v>12</v>
      </c>
      <c r="L455" t="s">
        <v>3047</v>
      </c>
      <c r="M455">
        <v>508</v>
      </c>
      <c r="N455">
        <v>5</v>
      </c>
      <c r="O455" t="s">
        <v>3054</v>
      </c>
      <c r="P455" t="s">
        <v>3467</v>
      </c>
      <c r="Q455">
        <v>0.42020000000000002</v>
      </c>
    </row>
    <row r="456" spans="1:17" x14ac:dyDescent="0.35">
      <c r="B456" t="s">
        <v>1958</v>
      </c>
      <c r="C456">
        <v>43</v>
      </c>
      <c r="D456" t="s">
        <v>2990</v>
      </c>
      <c r="E456" t="s">
        <v>3005</v>
      </c>
      <c r="F456" t="s">
        <v>3019</v>
      </c>
      <c r="G456">
        <v>1</v>
      </c>
      <c r="H456">
        <v>1301268</v>
      </c>
      <c r="I456">
        <v>465414</v>
      </c>
      <c r="J456">
        <v>14.75</v>
      </c>
      <c r="K456">
        <v>36</v>
      </c>
      <c r="L456" t="s">
        <v>3049</v>
      </c>
      <c r="M456">
        <v>541</v>
      </c>
      <c r="N456">
        <v>4</v>
      </c>
      <c r="O456" t="s">
        <v>3055</v>
      </c>
      <c r="P456" t="s">
        <v>3468</v>
      </c>
      <c r="Q456">
        <v>0.35770000000000002</v>
      </c>
    </row>
    <row r="457" spans="1:17" x14ac:dyDescent="0.35">
      <c r="A457" t="s">
        <v>468</v>
      </c>
      <c r="B457" t="s">
        <v>1959</v>
      </c>
      <c r="C457">
        <v>32</v>
      </c>
      <c r="D457" t="s">
        <v>2992</v>
      </c>
      <c r="E457" t="s">
        <v>3005</v>
      </c>
      <c r="F457" t="s">
        <v>3019</v>
      </c>
      <c r="G457">
        <v>0</v>
      </c>
      <c r="H457">
        <v>521815</v>
      </c>
      <c r="I457">
        <v>587815</v>
      </c>
      <c r="J457">
        <v>10.93</v>
      </c>
      <c r="K457">
        <v>60</v>
      </c>
      <c r="L457" t="s">
        <v>3046</v>
      </c>
      <c r="M457">
        <v>639</v>
      </c>
      <c r="N457">
        <v>0</v>
      </c>
      <c r="O457" t="s">
        <v>3053</v>
      </c>
      <c r="P457" t="s">
        <v>3282</v>
      </c>
      <c r="Q457">
        <v>1.1265000000000001</v>
      </c>
    </row>
    <row r="458" spans="1:17" x14ac:dyDescent="0.35">
      <c r="A458" t="s">
        <v>469</v>
      </c>
      <c r="B458" t="s">
        <v>1960</v>
      </c>
      <c r="C458">
        <v>41</v>
      </c>
      <c r="D458" t="s">
        <v>2992</v>
      </c>
      <c r="E458" t="s">
        <v>3006</v>
      </c>
      <c r="F458" t="s">
        <v>3018</v>
      </c>
      <c r="G458">
        <v>26</v>
      </c>
      <c r="H458">
        <v>1541303</v>
      </c>
      <c r="I458">
        <v>515236</v>
      </c>
      <c r="J458">
        <v>21.68</v>
      </c>
      <c r="K458">
        <v>12</v>
      </c>
      <c r="L458" t="s">
        <v>3050</v>
      </c>
      <c r="M458">
        <v>431</v>
      </c>
      <c r="N458">
        <v>6</v>
      </c>
      <c r="O458" t="s">
        <v>3054</v>
      </c>
      <c r="P458" t="s">
        <v>3469</v>
      </c>
      <c r="Q458">
        <v>0.33429999999999999</v>
      </c>
    </row>
    <row r="459" spans="1:17" x14ac:dyDescent="0.35">
      <c r="A459" t="s">
        <v>470</v>
      </c>
      <c r="B459" t="s">
        <v>1961</v>
      </c>
      <c r="C459">
        <v>40</v>
      </c>
      <c r="D459" t="s">
        <v>2992</v>
      </c>
      <c r="E459" t="s">
        <v>2999</v>
      </c>
      <c r="F459" t="s">
        <v>3020</v>
      </c>
      <c r="G459">
        <v>29</v>
      </c>
      <c r="H459">
        <v>1658301</v>
      </c>
      <c r="I459">
        <v>267644</v>
      </c>
      <c r="J459">
        <v>11.09</v>
      </c>
      <c r="K459">
        <v>24</v>
      </c>
      <c r="L459" t="s">
        <v>3046</v>
      </c>
      <c r="M459">
        <v>504</v>
      </c>
      <c r="N459">
        <v>7</v>
      </c>
      <c r="O459" t="s">
        <v>3057</v>
      </c>
      <c r="P459" t="s">
        <v>3470</v>
      </c>
      <c r="Q459">
        <v>0.16139999999999999</v>
      </c>
    </row>
    <row r="460" spans="1:17" x14ac:dyDescent="0.35">
      <c r="A460" t="s">
        <v>471</v>
      </c>
      <c r="B460" t="s">
        <v>1962</v>
      </c>
      <c r="C460">
        <v>60</v>
      </c>
      <c r="D460" t="s">
        <v>2990</v>
      </c>
      <c r="E460" t="s">
        <v>3017</v>
      </c>
      <c r="F460" t="s">
        <v>3018</v>
      </c>
      <c r="G460">
        <v>16</v>
      </c>
      <c r="H460">
        <v>1673934</v>
      </c>
      <c r="I460">
        <v>22763</v>
      </c>
      <c r="J460">
        <v>11.78</v>
      </c>
      <c r="K460">
        <v>12</v>
      </c>
      <c r="L460" t="s">
        <v>3047</v>
      </c>
      <c r="M460">
        <v>741</v>
      </c>
      <c r="N460">
        <v>4</v>
      </c>
      <c r="O460" t="s">
        <v>3052</v>
      </c>
      <c r="P460" t="s">
        <v>3471</v>
      </c>
      <c r="Q460">
        <v>1.3599999999999999E-2</v>
      </c>
    </row>
    <row r="461" spans="1:17" x14ac:dyDescent="0.35">
      <c r="A461" t="s">
        <v>472</v>
      </c>
      <c r="B461" t="s">
        <v>1963</v>
      </c>
      <c r="C461">
        <v>52</v>
      </c>
      <c r="D461" t="s">
        <v>2990</v>
      </c>
      <c r="E461" t="s">
        <v>3007</v>
      </c>
      <c r="F461" t="s">
        <v>3020</v>
      </c>
      <c r="G461">
        <v>17</v>
      </c>
      <c r="H461">
        <v>337795</v>
      </c>
      <c r="I461">
        <v>510834</v>
      </c>
      <c r="J461">
        <v>15.09</v>
      </c>
      <c r="K461">
        <v>36</v>
      </c>
      <c r="L461" t="s">
        <v>3049</v>
      </c>
      <c r="M461">
        <v>379</v>
      </c>
      <c r="N461">
        <v>6</v>
      </c>
      <c r="O461" t="s">
        <v>3054</v>
      </c>
      <c r="P461" t="s">
        <v>3472</v>
      </c>
      <c r="Q461">
        <v>1.5123</v>
      </c>
    </row>
    <row r="462" spans="1:17" x14ac:dyDescent="0.35">
      <c r="A462" t="s">
        <v>473</v>
      </c>
      <c r="B462" t="s">
        <v>1964</v>
      </c>
      <c r="C462">
        <v>63</v>
      </c>
      <c r="D462" t="s">
        <v>2992</v>
      </c>
      <c r="E462" t="s">
        <v>2999</v>
      </c>
      <c r="F462" t="s">
        <v>3018</v>
      </c>
      <c r="G462">
        <v>24</v>
      </c>
      <c r="H462">
        <v>1984673</v>
      </c>
      <c r="I462">
        <v>606549</v>
      </c>
      <c r="J462">
        <v>8.14</v>
      </c>
      <c r="K462">
        <v>60</v>
      </c>
      <c r="L462" t="s">
        <v>3049</v>
      </c>
      <c r="M462">
        <v>444</v>
      </c>
      <c r="N462">
        <v>4</v>
      </c>
      <c r="O462" t="s">
        <v>3052</v>
      </c>
      <c r="P462" t="s">
        <v>3281</v>
      </c>
      <c r="Q462">
        <v>0.30559999999999998</v>
      </c>
    </row>
    <row r="463" spans="1:17" x14ac:dyDescent="0.35">
      <c r="A463" t="s">
        <v>474</v>
      </c>
      <c r="B463" t="s">
        <v>1965</v>
      </c>
      <c r="C463">
        <v>35</v>
      </c>
      <c r="D463" t="s">
        <v>2990</v>
      </c>
      <c r="E463" t="s">
        <v>2999</v>
      </c>
      <c r="F463" t="s">
        <v>3020</v>
      </c>
      <c r="G463">
        <v>16</v>
      </c>
      <c r="I463">
        <v>521590</v>
      </c>
      <c r="J463">
        <v>27.36</v>
      </c>
      <c r="K463">
        <v>24</v>
      </c>
      <c r="L463" t="s">
        <v>3047</v>
      </c>
      <c r="M463">
        <v>503</v>
      </c>
      <c r="N463">
        <v>4</v>
      </c>
      <c r="O463" t="s">
        <v>3057</v>
      </c>
      <c r="P463" t="s">
        <v>3473</v>
      </c>
      <c r="Q463">
        <v>0.35560000000000003</v>
      </c>
    </row>
    <row r="464" spans="1:17" x14ac:dyDescent="0.35">
      <c r="A464" t="s">
        <v>475</v>
      </c>
      <c r="B464" t="s">
        <v>1966</v>
      </c>
      <c r="C464">
        <v>51</v>
      </c>
      <c r="D464" t="s">
        <v>2992</v>
      </c>
      <c r="E464" t="s">
        <v>3004</v>
      </c>
      <c r="F464" t="s">
        <v>3019</v>
      </c>
      <c r="G464">
        <v>4</v>
      </c>
      <c r="H464">
        <v>203429</v>
      </c>
      <c r="I464">
        <v>221554</v>
      </c>
      <c r="J464">
        <v>25.46</v>
      </c>
      <c r="K464">
        <v>60</v>
      </c>
      <c r="L464" t="s">
        <v>3051</v>
      </c>
      <c r="M464">
        <v>624</v>
      </c>
      <c r="N464">
        <v>2</v>
      </c>
      <c r="O464" t="s">
        <v>3054</v>
      </c>
      <c r="P464" t="s">
        <v>3474</v>
      </c>
      <c r="Q464">
        <v>1.0891</v>
      </c>
    </row>
    <row r="465" spans="1:17" x14ac:dyDescent="0.35">
      <c r="A465" t="s">
        <v>476</v>
      </c>
      <c r="B465" t="s">
        <v>1967</v>
      </c>
      <c r="C465">
        <v>41</v>
      </c>
      <c r="D465" t="s">
        <v>2990</v>
      </c>
      <c r="E465" t="s">
        <v>3004</v>
      </c>
      <c r="G465">
        <v>16</v>
      </c>
      <c r="H465">
        <v>966261</v>
      </c>
      <c r="I465">
        <v>447214</v>
      </c>
      <c r="J465">
        <v>17.649999999999999</v>
      </c>
      <c r="K465">
        <v>48</v>
      </c>
      <c r="L465" t="s">
        <v>3047</v>
      </c>
      <c r="M465">
        <v>781</v>
      </c>
      <c r="N465">
        <v>1</v>
      </c>
      <c r="O465" t="s">
        <v>3054</v>
      </c>
      <c r="P465" t="s">
        <v>3475</v>
      </c>
      <c r="Q465">
        <v>0.46279999999999999</v>
      </c>
    </row>
    <row r="466" spans="1:17" x14ac:dyDescent="0.35">
      <c r="A466" t="s">
        <v>477</v>
      </c>
      <c r="B466" t="s">
        <v>1968</v>
      </c>
      <c r="C466">
        <v>27</v>
      </c>
      <c r="D466" t="s">
        <v>2992</v>
      </c>
      <c r="E466" t="s">
        <v>3005</v>
      </c>
      <c r="F466" t="s">
        <v>3020</v>
      </c>
      <c r="G466">
        <v>19</v>
      </c>
      <c r="H466">
        <v>2295810</v>
      </c>
      <c r="I466">
        <v>227772</v>
      </c>
      <c r="J466">
        <v>23.67</v>
      </c>
      <c r="K466">
        <v>60</v>
      </c>
      <c r="L466" t="s">
        <v>3047</v>
      </c>
      <c r="M466">
        <v>781</v>
      </c>
      <c r="N466">
        <v>4</v>
      </c>
      <c r="O466" t="s">
        <v>3053</v>
      </c>
      <c r="P466" t="s">
        <v>3476</v>
      </c>
      <c r="Q466">
        <v>9.9199999999999997E-2</v>
      </c>
    </row>
    <row r="467" spans="1:17" x14ac:dyDescent="0.35">
      <c r="A467" t="s">
        <v>478</v>
      </c>
      <c r="B467" t="s">
        <v>1969</v>
      </c>
      <c r="C467">
        <v>24</v>
      </c>
      <c r="D467" t="s">
        <v>2990</v>
      </c>
      <c r="E467" t="s">
        <v>3005</v>
      </c>
      <c r="F467" t="s">
        <v>3020</v>
      </c>
      <c r="G467">
        <v>15</v>
      </c>
      <c r="H467">
        <v>1051877</v>
      </c>
      <c r="I467">
        <v>583370</v>
      </c>
      <c r="J467">
        <v>25.51</v>
      </c>
      <c r="K467">
        <v>24</v>
      </c>
      <c r="L467" t="s">
        <v>3049</v>
      </c>
      <c r="M467">
        <v>372</v>
      </c>
      <c r="N467">
        <v>5</v>
      </c>
      <c r="O467" t="s">
        <v>3053</v>
      </c>
      <c r="P467" t="s">
        <v>3136</v>
      </c>
      <c r="Q467">
        <v>0.55459999999999998</v>
      </c>
    </row>
    <row r="468" spans="1:17" x14ac:dyDescent="0.35">
      <c r="A468" t="s">
        <v>479</v>
      </c>
      <c r="B468" t="s">
        <v>1970</v>
      </c>
      <c r="C468">
        <v>52</v>
      </c>
      <c r="D468" t="s">
        <v>2990</v>
      </c>
      <c r="E468" t="s">
        <v>3006</v>
      </c>
      <c r="F468" t="s">
        <v>3020</v>
      </c>
      <c r="G468">
        <v>10</v>
      </c>
      <c r="H468">
        <v>2118904</v>
      </c>
      <c r="I468">
        <v>584983</v>
      </c>
      <c r="J468">
        <v>26.08</v>
      </c>
      <c r="K468">
        <v>24</v>
      </c>
      <c r="L468" t="s">
        <v>3046</v>
      </c>
      <c r="M468">
        <v>567</v>
      </c>
      <c r="N468">
        <v>3</v>
      </c>
      <c r="O468" t="s">
        <v>3052</v>
      </c>
      <c r="P468" t="s">
        <v>3088</v>
      </c>
      <c r="Q468">
        <v>0.27610000000000001</v>
      </c>
    </row>
    <row r="469" spans="1:17" x14ac:dyDescent="0.35">
      <c r="A469" t="s">
        <v>480</v>
      </c>
      <c r="B469" t="s">
        <v>1971</v>
      </c>
      <c r="C469">
        <v>58</v>
      </c>
      <c r="D469" t="s">
        <v>2992</v>
      </c>
      <c r="E469" t="s">
        <v>3000</v>
      </c>
      <c r="F469" t="s">
        <v>3020</v>
      </c>
      <c r="G469">
        <v>25</v>
      </c>
      <c r="I469">
        <v>257501</v>
      </c>
      <c r="J469">
        <v>20.76</v>
      </c>
      <c r="K469">
        <v>36</v>
      </c>
      <c r="L469" t="s">
        <v>3050</v>
      </c>
      <c r="M469">
        <v>713</v>
      </c>
      <c r="N469">
        <v>1</v>
      </c>
      <c r="O469" t="s">
        <v>3056</v>
      </c>
      <c r="P469" t="s">
        <v>3149</v>
      </c>
      <c r="Q469">
        <v>0.1434</v>
      </c>
    </row>
    <row r="470" spans="1:17" x14ac:dyDescent="0.35">
      <c r="A470" t="s">
        <v>481</v>
      </c>
      <c r="B470" t="s">
        <v>1972</v>
      </c>
      <c r="C470">
        <v>40</v>
      </c>
      <c r="D470" t="s">
        <v>2992</v>
      </c>
      <c r="E470" t="s">
        <v>3003</v>
      </c>
      <c r="F470" t="s">
        <v>3018</v>
      </c>
      <c r="G470">
        <v>11</v>
      </c>
      <c r="H470">
        <v>295359</v>
      </c>
      <c r="I470">
        <v>283844</v>
      </c>
      <c r="J470">
        <v>19.760000000000002</v>
      </c>
      <c r="K470">
        <v>36</v>
      </c>
      <c r="L470" t="s">
        <v>3047</v>
      </c>
      <c r="M470">
        <v>664</v>
      </c>
      <c r="N470">
        <v>7</v>
      </c>
      <c r="O470" t="s">
        <v>3055</v>
      </c>
      <c r="P470" t="s">
        <v>3477</v>
      </c>
      <c r="Q470">
        <v>0.96099999999999997</v>
      </c>
    </row>
    <row r="471" spans="1:17" x14ac:dyDescent="0.35">
      <c r="A471" t="s">
        <v>482</v>
      </c>
      <c r="B471" t="s">
        <v>1973</v>
      </c>
      <c r="C471">
        <v>57</v>
      </c>
      <c r="D471" t="s">
        <v>2990</v>
      </c>
      <c r="E471" t="s">
        <v>3006</v>
      </c>
      <c r="F471" t="s">
        <v>3020</v>
      </c>
      <c r="G471">
        <v>0</v>
      </c>
      <c r="H471">
        <v>1096838</v>
      </c>
      <c r="I471">
        <v>615642</v>
      </c>
      <c r="J471">
        <v>12.29</v>
      </c>
      <c r="K471">
        <v>48</v>
      </c>
      <c r="L471" t="s">
        <v>3047</v>
      </c>
      <c r="M471">
        <v>403</v>
      </c>
      <c r="N471">
        <v>5</v>
      </c>
      <c r="O471" t="s">
        <v>3057</v>
      </c>
      <c r="P471" t="s">
        <v>3478</v>
      </c>
      <c r="Q471">
        <v>0.56130000000000002</v>
      </c>
    </row>
    <row r="472" spans="1:17" x14ac:dyDescent="0.35">
      <c r="A472" t="s">
        <v>483</v>
      </c>
      <c r="B472" t="s">
        <v>1974</v>
      </c>
      <c r="C472">
        <v>39</v>
      </c>
      <c r="D472" t="s">
        <v>2990</v>
      </c>
      <c r="E472" t="s">
        <v>3012</v>
      </c>
      <c r="F472" t="s">
        <v>3021</v>
      </c>
      <c r="G472">
        <v>1</v>
      </c>
      <c r="H472">
        <v>728884</v>
      </c>
      <c r="I472">
        <v>700089</v>
      </c>
      <c r="J472">
        <v>10.98</v>
      </c>
      <c r="K472">
        <v>12</v>
      </c>
      <c r="M472">
        <v>694</v>
      </c>
      <c r="N472">
        <v>4</v>
      </c>
      <c r="O472" t="s">
        <v>3054</v>
      </c>
      <c r="P472" t="s">
        <v>3479</v>
      </c>
      <c r="Q472">
        <v>0.96050000000000002</v>
      </c>
    </row>
    <row r="473" spans="1:17" x14ac:dyDescent="0.35">
      <c r="A473" t="s">
        <v>484</v>
      </c>
      <c r="B473" t="s">
        <v>1975</v>
      </c>
      <c r="C473">
        <v>37</v>
      </c>
      <c r="D473" t="s">
        <v>2990</v>
      </c>
      <c r="E473" t="s">
        <v>3007</v>
      </c>
      <c r="F473" t="s">
        <v>3019</v>
      </c>
      <c r="G473">
        <v>9</v>
      </c>
      <c r="H473">
        <v>2106711</v>
      </c>
      <c r="I473">
        <v>348821</v>
      </c>
      <c r="J473">
        <v>11.32</v>
      </c>
      <c r="K473">
        <v>36</v>
      </c>
      <c r="L473" t="s">
        <v>3051</v>
      </c>
      <c r="M473">
        <v>525</v>
      </c>
      <c r="N473">
        <v>1</v>
      </c>
      <c r="O473" t="s">
        <v>3053</v>
      </c>
      <c r="P473" t="s">
        <v>3480</v>
      </c>
      <c r="Q473">
        <v>0.1656</v>
      </c>
    </row>
    <row r="474" spans="1:17" x14ac:dyDescent="0.35">
      <c r="A474" t="s">
        <v>485</v>
      </c>
      <c r="B474" t="s">
        <v>1976</v>
      </c>
      <c r="C474">
        <v>28</v>
      </c>
      <c r="D474" t="s">
        <v>2990</v>
      </c>
      <c r="E474" t="s">
        <v>3002</v>
      </c>
      <c r="F474" t="s">
        <v>3021</v>
      </c>
      <c r="G474">
        <v>21</v>
      </c>
      <c r="H474">
        <v>640796</v>
      </c>
      <c r="I474">
        <v>789460</v>
      </c>
      <c r="J474">
        <v>24.55</v>
      </c>
      <c r="K474">
        <v>48</v>
      </c>
      <c r="L474" t="s">
        <v>3051</v>
      </c>
      <c r="M474">
        <v>502</v>
      </c>
      <c r="N474">
        <v>0</v>
      </c>
      <c r="O474" t="s">
        <v>3054</v>
      </c>
      <c r="P474" t="s">
        <v>3481</v>
      </c>
      <c r="Q474">
        <v>1.232</v>
      </c>
    </row>
    <row r="475" spans="1:17" x14ac:dyDescent="0.35">
      <c r="A475" t="s">
        <v>486</v>
      </c>
      <c r="B475" t="s">
        <v>1977</v>
      </c>
      <c r="C475">
        <v>62</v>
      </c>
      <c r="D475" t="s">
        <v>2992</v>
      </c>
      <c r="E475" t="s">
        <v>2999</v>
      </c>
      <c r="F475" t="s">
        <v>3020</v>
      </c>
      <c r="G475">
        <v>14</v>
      </c>
      <c r="H475">
        <v>638298</v>
      </c>
      <c r="I475">
        <v>207450</v>
      </c>
      <c r="J475">
        <v>25.41</v>
      </c>
      <c r="K475">
        <v>24</v>
      </c>
      <c r="L475" t="s">
        <v>3047</v>
      </c>
      <c r="M475">
        <v>577</v>
      </c>
      <c r="N475">
        <v>3</v>
      </c>
      <c r="O475" t="s">
        <v>3055</v>
      </c>
      <c r="P475" t="s">
        <v>3482</v>
      </c>
      <c r="Q475">
        <v>0.32500000000000001</v>
      </c>
    </row>
    <row r="476" spans="1:17" x14ac:dyDescent="0.35">
      <c r="A476" t="s">
        <v>487</v>
      </c>
      <c r="B476" t="s">
        <v>1978</v>
      </c>
      <c r="C476">
        <v>63</v>
      </c>
      <c r="D476" t="s">
        <v>2992</v>
      </c>
      <c r="E476" t="s">
        <v>3007</v>
      </c>
      <c r="F476" t="s">
        <v>3019</v>
      </c>
      <c r="G476">
        <v>12</v>
      </c>
      <c r="H476">
        <v>492250</v>
      </c>
      <c r="I476">
        <v>655956</v>
      </c>
      <c r="J476">
        <v>10.82</v>
      </c>
      <c r="K476">
        <v>24</v>
      </c>
      <c r="L476" t="s">
        <v>3046</v>
      </c>
      <c r="M476">
        <v>535</v>
      </c>
      <c r="N476">
        <v>6</v>
      </c>
      <c r="O476" t="s">
        <v>3053</v>
      </c>
      <c r="P476" t="s">
        <v>3483</v>
      </c>
      <c r="Q476">
        <v>1.3326</v>
      </c>
    </row>
    <row r="477" spans="1:17" x14ac:dyDescent="0.35">
      <c r="A477" t="s">
        <v>488</v>
      </c>
      <c r="B477" t="s">
        <v>1979</v>
      </c>
      <c r="C477">
        <v>62</v>
      </c>
      <c r="D477" t="s">
        <v>2990</v>
      </c>
      <c r="E477" t="s">
        <v>3004</v>
      </c>
      <c r="F477" t="s">
        <v>3021</v>
      </c>
      <c r="G477">
        <v>18</v>
      </c>
      <c r="H477">
        <v>966958</v>
      </c>
      <c r="I477">
        <v>234764</v>
      </c>
      <c r="J477">
        <v>18.03</v>
      </c>
      <c r="K477">
        <v>48</v>
      </c>
      <c r="L477" t="s">
        <v>3048</v>
      </c>
      <c r="M477">
        <v>681</v>
      </c>
      <c r="N477">
        <v>5</v>
      </c>
      <c r="O477" t="s">
        <v>3057</v>
      </c>
      <c r="P477" t="s">
        <v>3480</v>
      </c>
      <c r="Q477">
        <v>0.24279999999999999</v>
      </c>
    </row>
    <row r="478" spans="1:17" x14ac:dyDescent="0.35">
      <c r="A478" t="s">
        <v>489</v>
      </c>
      <c r="B478" t="s">
        <v>1980</v>
      </c>
      <c r="C478">
        <v>33</v>
      </c>
      <c r="D478" t="s">
        <v>2990</v>
      </c>
      <c r="E478" t="s">
        <v>3004</v>
      </c>
      <c r="G478">
        <v>19</v>
      </c>
      <c r="H478">
        <v>521207</v>
      </c>
      <c r="I478">
        <v>298495</v>
      </c>
      <c r="J478">
        <v>20.71</v>
      </c>
      <c r="K478">
        <v>24</v>
      </c>
      <c r="L478" t="s">
        <v>3050</v>
      </c>
      <c r="M478">
        <v>443</v>
      </c>
      <c r="N478">
        <v>7</v>
      </c>
      <c r="O478" t="s">
        <v>3053</v>
      </c>
      <c r="P478" t="s">
        <v>3484</v>
      </c>
      <c r="Q478">
        <v>0.57269999999999999</v>
      </c>
    </row>
    <row r="479" spans="1:17" x14ac:dyDescent="0.35">
      <c r="A479" t="s">
        <v>490</v>
      </c>
      <c r="B479" t="s">
        <v>1981</v>
      </c>
      <c r="C479">
        <v>46</v>
      </c>
      <c r="D479" t="s">
        <v>2992</v>
      </c>
      <c r="E479" t="s">
        <v>3004</v>
      </c>
      <c r="F479" t="s">
        <v>3020</v>
      </c>
      <c r="G479">
        <v>11</v>
      </c>
      <c r="H479">
        <v>1524613</v>
      </c>
      <c r="I479">
        <v>538823</v>
      </c>
      <c r="J479">
        <v>17.57</v>
      </c>
      <c r="K479">
        <v>48</v>
      </c>
      <c r="L479" t="s">
        <v>3051</v>
      </c>
      <c r="M479">
        <v>701</v>
      </c>
      <c r="N479">
        <v>4</v>
      </c>
      <c r="O479" t="s">
        <v>3055</v>
      </c>
      <c r="P479" t="s">
        <v>3485</v>
      </c>
      <c r="Q479">
        <v>0.35339999999999999</v>
      </c>
    </row>
    <row r="480" spans="1:17" x14ac:dyDescent="0.35">
      <c r="A480" t="s">
        <v>491</v>
      </c>
      <c r="B480" t="s">
        <v>1982</v>
      </c>
      <c r="C480">
        <v>64</v>
      </c>
      <c r="E480" t="s">
        <v>3001</v>
      </c>
      <c r="F480" t="s">
        <v>3018</v>
      </c>
      <c r="G480">
        <v>4</v>
      </c>
      <c r="H480">
        <v>927419</v>
      </c>
      <c r="I480">
        <v>388226</v>
      </c>
      <c r="J480">
        <v>25.41</v>
      </c>
      <c r="K480">
        <v>36</v>
      </c>
      <c r="L480" t="s">
        <v>3046</v>
      </c>
      <c r="M480">
        <v>570</v>
      </c>
      <c r="N480">
        <v>7</v>
      </c>
      <c r="O480" t="s">
        <v>3057</v>
      </c>
      <c r="P480" t="s">
        <v>3486</v>
      </c>
      <c r="Q480">
        <v>0.41860000000000003</v>
      </c>
    </row>
    <row r="481" spans="1:17" x14ac:dyDescent="0.35">
      <c r="A481" t="s">
        <v>492</v>
      </c>
      <c r="B481" t="s">
        <v>1983</v>
      </c>
      <c r="C481">
        <v>55</v>
      </c>
      <c r="D481" t="s">
        <v>2990</v>
      </c>
      <c r="E481" t="s">
        <v>2999</v>
      </c>
      <c r="F481" t="s">
        <v>3021</v>
      </c>
      <c r="G481">
        <v>2</v>
      </c>
      <c r="H481">
        <v>524855</v>
      </c>
      <c r="I481">
        <v>487835</v>
      </c>
      <c r="J481">
        <v>22.12</v>
      </c>
      <c r="K481">
        <v>60</v>
      </c>
      <c r="L481" t="s">
        <v>3049</v>
      </c>
      <c r="M481">
        <v>330</v>
      </c>
      <c r="N481">
        <v>4</v>
      </c>
      <c r="O481" t="s">
        <v>3056</v>
      </c>
      <c r="P481" t="s">
        <v>3487</v>
      </c>
      <c r="Q481">
        <v>0.92949999999999999</v>
      </c>
    </row>
    <row r="482" spans="1:17" x14ac:dyDescent="0.35">
      <c r="A482" t="s">
        <v>493</v>
      </c>
      <c r="B482" t="s">
        <v>1984</v>
      </c>
      <c r="C482">
        <v>57</v>
      </c>
      <c r="D482" t="s">
        <v>2992</v>
      </c>
      <c r="E482" t="s">
        <v>3005</v>
      </c>
      <c r="F482" t="s">
        <v>3020</v>
      </c>
      <c r="G482">
        <v>14</v>
      </c>
      <c r="H482">
        <v>962877</v>
      </c>
      <c r="I482">
        <v>496111</v>
      </c>
      <c r="J482">
        <v>26.82</v>
      </c>
      <c r="K482">
        <v>24</v>
      </c>
      <c r="L482" t="s">
        <v>3048</v>
      </c>
      <c r="M482">
        <v>453</v>
      </c>
      <c r="N482">
        <v>4</v>
      </c>
      <c r="O482" t="s">
        <v>3057</v>
      </c>
      <c r="P482" t="s">
        <v>3488</v>
      </c>
      <c r="Q482">
        <v>0.51519999999999999</v>
      </c>
    </row>
    <row r="483" spans="1:17" x14ac:dyDescent="0.35">
      <c r="A483" t="s">
        <v>494</v>
      </c>
      <c r="B483" t="s">
        <v>1985</v>
      </c>
      <c r="C483">
        <v>36</v>
      </c>
      <c r="D483" t="s">
        <v>2990</v>
      </c>
      <c r="E483" t="s">
        <v>2999</v>
      </c>
      <c r="F483" t="s">
        <v>3021</v>
      </c>
      <c r="G483">
        <v>16</v>
      </c>
      <c r="H483">
        <v>1863523</v>
      </c>
      <c r="I483">
        <v>233456</v>
      </c>
      <c r="J483">
        <v>22.99</v>
      </c>
      <c r="K483">
        <v>36</v>
      </c>
      <c r="L483" t="s">
        <v>3049</v>
      </c>
      <c r="M483">
        <v>310</v>
      </c>
      <c r="N483">
        <v>3</v>
      </c>
      <c r="O483" t="s">
        <v>3052</v>
      </c>
      <c r="P483" t="s">
        <v>3489</v>
      </c>
      <c r="Q483">
        <v>0.12529999999999999</v>
      </c>
    </row>
    <row r="484" spans="1:17" x14ac:dyDescent="0.35">
      <c r="A484" t="s">
        <v>495</v>
      </c>
      <c r="B484" t="s">
        <v>1986</v>
      </c>
      <c r="C484">
        <v>37</v>
      </c>
      <c r="D484" t="s">
        <v>2992</v>
      </c>
      <c r="E484" t="s">
        <v>2998</v>
      </c>
      <c r="F484" t="s">
        <v>3019</v>
      </c>
      <c r="G484">
        <v>19</v>
      </c>
      <c r="H484">
        <v>1680071</v>
      </c>
      <c r="I484">
        <v>407988</v>
      </c>
      <c r="J484">
        <v>27.16</v>
      </c>
      <c r="K484">
        <v>12</v>
      </c>
      <c r="L484" t="s">
        <v>3046</v>
      </c>
      <c r="M484">
        <v>571</v>
      </c>
      <c r="N484">
        <v>0</v>
      </c>
      <c r="O484" t="s">
        <v>3053</v>
      </c>
      <c r="P484" t="s">
        <v>3490</v>
      </c>
      <c r="Q484">
        <v>0.24279999999999999</v>
      </c>
    </row>
    <row r="485" spans="1:17" x14ac:dyDescent="0.35">
      <c r="A485" t="s">
        <v>496</v>
      </c>
      <c r="B485" t="s">
        <v>1987</v>
      </c>
      <c r="C485">
        <v>21</v>
      </c>
      <c r="D485" t="s">
        <v>2992</v>
      </c>
      <c r="E485" t="s">
        <v>3000</v>
      </c>
      <c r="F485" t="s">
        <v>3021</v>
      </c>
      <c r="G485">
        <v>17</v>
      </c>
      <c r="H485">
        <v>1323657</v>
      </c>
      <c r="I485">
        <v>758464</v>
      </c>
      <c r="J485">
        <v>20.84</v>
      </c>
      <c r="K485">
        <v>48</v>
      </c>
      <c r="L485" t="s">
        <v>3051</v>
      </c>
      <c r="M485">
        <v>425</v>
      </c>
      <c r="N485">
        <v>5</v>
      </c>
      <c r="O485" t="s">
        <v>3054</v>
      </c>
      <c r="P485" t="s">
        <v>3491</v>
      </c>
      <c r="Q485">
        <v>0.57299999999999995</v>
      </c>
    </row>
    <row r="486" spans="1:17" x14ac:dyDescent="0.35">
      <c r="A486" t="s">
        <v>497</v>
      </c>
      <c r="B486" t="s">
        <v>1988</v>
      </c>
      <c r="C486">
        <v>24</v>
      </c>
      <c r="D486" t="s">
        <v>2990</v>
      </c>
      <c r="E486" t="s">
        <v>3005</v>
      </c>
      <c r="F486" t="s">
        <v>3020</v>
      </c>
      <c r="G486">
        <v>23</v>
      </c>
      <c r="H486">
        <v>2303238</v>
      </c>
      <c r="I486">
        <v>766055</v>
      </c>
      <c r="J486">
        <v>24.31</v>
      </c>
      <c r="K486">
        <v>24</v>
      </c>
      <c r="L486" t="s">
        <v>3047</v>
      </c>
      <c r="M486">
        <v>624</v>
      </c>
      <c r="N486">
        <v>4</v>
      </c>
      <c r="O486" t="s">
        <v>3052</v>
      </c>
      <c r="P486" t="s">
        <v>3092</v>
      </c>
      <c r="Q486">
        <v>0.33260000000000001</v>
      </c>
    </row>
    <row r="487" spans="1:17" x14ac:dyDescent="0.35">
      <c r="A487" t="s">
        <v>498</v>
      </c>
      <c r="B487" t="s">
        <v>1989</v>
      </c>
      <c r="C487">
        <v>45</v>
      </c>
      <c r="D487" t="s">
        <v>2990</v>
      </c>
      <c r="E487" t="s">
        <v>3006</v>
      </c>
      <c r="F487" t="s">
        <v>3019</v>
      </c>
      <c r="G487">
        <v>23</v>
      </c>
      <c r="H487">
        <v>1518486</v>
      </c>
      <c r="I487">
        <v>651525</v>
      </c>
      <c r="J487">
        <v>22.62</v>
      </c>
      <c r="K487">
        <v>36</v>
      </c>
      <c r="L487" t="s">
        <v>3046</v>
      </c>
      <c r="M487">
        <v>373</v>
      </c>
      <c r="N487">
        <v>6</v>
      </c>
      <c r="O487" t="s">
        <v>3055</v>
      </c>
      <c r="P487" t="s">
        <v>3492</v>
      </c>
      <c r="Q487">
        <v>0.42909999999999998</v>
      </c>
    </row>
    <row r="488" spans="1:17" x14ac:dyDescent="0.35">
      <c r="A488" t="s">
        <v>499</v>
      </c>
      <c r="B488" t="s">
        <v>1990</v>
      </c>
      <c r="C488">
        <v>41</v>
      </c>
      <c r="D488" t="s">
        <v>2990</v>
      </c>
      <c r="E488" t="s">
        <v>3004</v>
      </c>
      <c r="F488" t="s">
        <v>3020</v>
      </c>
      <c r="G488">
        <v>12</v>
      </c>
      <c r="H488">
        <v>2222999</v>
      </c>
      <c r="I488">
        <v>52441</v>
      </c>
      <c r="J488">
        <v>20.170000000000002</v>
      </c>
      <c r="K488">
        <v>36</v>
      </c>
      <c r="L488" t="s">
        <v>3047</v>
      </c>
      <c r="M488">
        <v>534</v>
      </c>
      <c r="N488">
        <v>2</v>
      </c>
      <c r="O488" t="s">
        <v>3056</v>
      </c>
      <c r="P488" t="s">
        <v>3493</v>
      </c>
      <c r="Q488">
        <v>2.3599999999999999E-2</v>
      </c>
    </row>
    <row r="489" spans="1:17" x14ac:dyDescent="0.35">
      <c r="A489" t="s">
        <v>500</v>
      </c>
      <c r="B489" t="s">
        <v>1991</v>
      </c>
      <c r="C489">
        <v>55</v>
      </c>
      <c r="D489" t="s">
        <v>2990</v>
      </c>
      <c r="E489" t="s">
        <v>3005</v>
      </c>
      <c r="F489" t="s">
        <v>3018</v>
      </c>
      <c r="G489">
        <v>22</v>
      </c>
      <c r="H489">
        <v>933315</v>
      </c>
      <c r="I489">
        <v>133000</v>
      </c>
      <c r="J489">
        <v>16.38</v>
      </c>
      <c r="K489">
        <v>48</v>
      </c>
      <c r="L489" t="s">
        <v>3046</v>
      </c>
      <c r="M489">
        <v>528</v>
      </c>
      <c r="N489">
        <v>0</v>
      </c>
      <c r="O489" t="s">
        <v>3056</v>
      </c>
      <c r="P489" t="s">
        <v>3258</v>
      </c>
      <c r="Q489">
        <v>0.14249999999999999</v>
      </c>
    </row>
    <row r="490" spans="1:17" x14ac:dyDescent="0.35">
      <c r="A490" t="s">
        <v>501</v>
      </c>
      <c r="B490" t="s">
        <v>1992</v>
      </c>
      <c r="C490">
        <v>60</v>
      </c>
      <c r="D490" t="s">
        <v>2990</v>
      </c>
      <c r="E490" t="s">
        <v>3007</v>
      </c>
      <c r="F490" t="s">
        <v>3018</v>
      </c>
      <c r="G490">
        <v>24</v>
      </c>
      <c r="H490">
        <v>977232</v>
      </c>
      <c r="I490">
        <v>624489</v>
      </c>
      <c r="J490">
        <v>23.64</v>
      </c>
      <c r="K490">
        <v>24</v>
      </c>
      <c r="L490" t="s">
        <v>3051</v>
      </c>
      <c r="N490">
        <v>4</v>
      </c>
      <c r="O490" t="s">
        <v>3057</v>
      </c>
      <c r="P490" t="s">
        <v>3494</v>
      </c>
      <c r="Q490">
        <v>0.63900000000000001</v>
      </c>
    </row>
    <row r="491" spans="1:17" x14ac:dyDescent="0.35">
      <c r="A491" t="s">
        <v>502</v>
      </c>
      <c r="B491" t="s">
        <v>1993</v>
      </c>
      <c r="C491">
        <v>32</v>
      </c>
      <c r="D491" t="s">
        <v>2992</v>
      </c>
      <c r="E491" t="s">
        <v>3005</v>
      </c>
      <c r="F491" t="s">
        <v>3019</v>
      </c>
      <c r="G491">
        <v>7</v>
      </c>
      <c r="H491">
        <v>2193321</v>
      </c>
      <c r="I491">
        <v>81842</v>
      </c>
      <c r="J491">
        <v>17.63</v>
      </c>
      <c r="K491">
        <v>48</v>
      </c>
      <c r="L491" t="s">
        <v>3046</v>
      </c>
      <c r="M491">
        <v>763</v>
      </c>
      <c r="N491">
        <v>3</v>
      </c>
      <c r="O491" t="s">
        <v>3055</v>
      </c>
      <c r="P491" t="s">
        <v>3495</v>
      </c>
      <c r="Q491">
        <v>3.73E-2</v>
      </c>
    </row>
    <row r="492" spans="1:17" x14ac:dyDescent="0.35">
      <c r="A492" t="s">
        <v>503</v>
      </c>
      <c r="B492" t="s">
        <v>1994</v>
      </c>
      <c r="C492">
        <v>21</v>
      </c>
      <c r="D492" t="s">
        <v>2990</v>
      </c>
      <c r="E492" t="s">
        <v>3000</v>
      </c>
      <c r="F492" t="s">
        <v>3019</v>
      </c>
      <c r="G492">
        <v>22</v>
      </c>
      <c r="H492">
        <v>199675</v>
      </c>
      <c r="I492">
        <v>444032</v>
      </c>
      <c r="J492">
        <v>19.010000000000002</v>
      </c>
      <c r="K492">
        <v>36</v>
      </c>
      <c r="L492" t="s">
        <v>3049</v>
      </c>
      <c r="M492">
        <v>741</v>
      </c>
      <c r="N492">
        <v>6</v>
      </c>
      <c r="O492" t="s">
        <v>3052</v>
      </c>
      <c r="P492" t="s">
        <v>3496</v>
      </c>
      <c r="Q492">
        <v>2.2238000000000002</v>
      </c>
    </row>
    <row r="493" spans="1:17" x14ac:dyDescent="0.35">
      <c r="A493" t="s">
        <v>504</v>
      </c>
      <c r="B493" t="s">
        <v>1995</v>
      </c>
      <c r="C493">
        <v>49</v>
      </c>
      <c r="E493" t="s">
        <v>3007</v>
      </c>
      <c r="F493" t="s">
        <v>3019</v>
      </c>
      <c r="G493">
        <v>15</v>
      </c>
      <c r="H493">
        <v>1871870</v>
      </c>
      <c r="I493">
        <v>242123</v>
      </c>
      <c r="J493">
        <v>14.86</v>
      </c>
      <c r="K493">
        <v>24</v>
      </c>
      <c r="L493" t="s">
        <v>3051</v>
      </c>
      <c r="M493">
        <v>762</v>
      </c>
      <c r="N493">
        <v>4</v>
      </c>
      <c r="O493" t="s">
        <v>3053</v>
      </c>
      <c r="P493" t="s">
        <v>3497</v>
      </c>
      <c r="Q493">
        <v>0.1293</v>
      </c>
    </row>
    <row r="494" spans="1:17" x14ac:dyDescent="0.35">
      <c r="A494" t="s">
        <v>505</v>
      </c>
      <c r="B494" t="s">
        <v>1996</v>
      </c>
      <c r="C494">
        <v>57</v>
      </c>
      <c r="D494" t="s">
        <v>2992</v>
      </c>
      <c r="E494" t="s">
        <v>3004</v>
      </c>
      <c r="G494">
        <v>6</v>
      </c>
      <c r="H494">
        <v>734399</v>
      </c>
      <c r="I494">
        <v>670443</v>
      </c>
      <c r="J494">
        <v>26.79</v>
      </c>
      <c r="K494">
        <v>36</v>
      </c>
      <c r="L494" t="s">
        <v>3050</v>
      </c>
      <c r="M494">
        <v>741</v>
      </c>
      <c r="N494">
        <v>1</v>
      </c>
      <c r="O494" t="s">
        <v>3052</v>
      </c>
      <c r="P494" t="s">
        <v>3498</v>
      </c>
      <c r="Q494">
        <v>0.91290000000000004</v>
      </c>
    </row>
    <row r="495" spans="1:17" x14ac:dyDescent="0.35">
      <c r="A495" t="s">
        <v>506</v>
      </c>
      <c r="B495" t="s">
        <v>1997</v>
      </c>
      <c r="C495">
        <v>49</v>
      </c>
      <c r="D495" t="s">
        <v>2992</v>
      </c>
      <c r="E495" t="s">
        <v>3004</v>
      </c>
      <c r="F495" t="s">
        <v>3020</v>
      </c>
      <c r="G495">
        <v>18</v>
      </c>
      <c r="H495">
        <v>2300539</v>
      </c>
      <c r="I495">
        <v>274024</v>
      </c>
      <c r="J495">
        <v>19.16</v>
      </c>
      <c r="K495">
        <v>48</v>
      </c>
      <c r="L495" t="s">
        <v>3046</v>
      </c>
      <c r="M495">
        <v>768</v>
      </c>
      <c r="N495">
        <v>7</v>
      </c>
      <c r="O495" t="s">
        <v>3054</v>
      </c>
      <c r="P495" t="s">
        <v>3328</v>
      </c>
      <c r="Q495">
        <v>0.1191</v>
      </c>
    </row>
    <row r="496" spans="1:17" x14ac:dyDescent="0.35">
      <c r="A496" t="s">
        <v>507</v>
      </c>
      <c r="B496" t="s">
        <v>1998</v>
      </c>
      <c r="C496">
        <v>48</v>
      </c>
      <c r="D496" t="s">
        <v>2990</v>
      </c>
      <c r="E496" t="s">
        <v>3002</v>
      </c>
      <c r="F496" t="s">
        <v>3020</v>
      </c>
      <c r="G496">
        <v>24</v>
      </c>
      <c r="H496">
        <v>2207410</v>
      </c>
      <c r="I496">
        <v>329550</v>
      </c>
      <c r="J496">
        <v>19.350000000000001</v>
      </c>
      <c r="K496">
        <v>48</v>
      </c>
      <c r="L496" t="s">
        <v>3046</v>
      </c>
      <c r="M496">
        <v>404</v>
      </c>
      <c r="N496">
        <v>4</v>
      </c>
      <c r="O496" t="s">
        <v>3053</v>
      </c>
      <c r="P496" t="s">
        <v>3499</v>
      </c>
      <c r="Q496">
        <v>0.14929999999999999</v>
      </c>
    </row>
    <row r="497" spans="1:17" x14ac:dyDescent="0.35">
      <c r="A497" t="s">
        <v>508</v>
      </c>
      <c r="B497" t="s">
        <v>1999</v>
      </c>
      <c r="C497">
        <v>34</v>
      </c>
      <c r="D497" t="s">
        <v>2997</v>
      </c>
      <c r="E497" t="s">
        <v>3002</v>
      </c>
      <c r="F497" t="s">
        <v>3021</v>
      </c>
      <c r="G497">
        <v>26</v>
      </c>
      <c r="H497">
        <v>1829729</v>
      </c>
      <c r="I497">
        <v>340815</v>
      </c>
      <c r="J497">
        <v>14.71</v>
      </c>
      <c r="K497">
        <v>48</v>
      </c>
      <c r="L497" t="s">
        <v>3047</v>
      </c>
      <c r="M497">
        <v>651</v>
      </c>
      <c r="N497">
        <v>1</v>
      </c>
      <c r="O497" t="s">
        <v>3053</v>
      </c>
      <c r="P497" t="s">
        <v>3500</v>
      </c>
      <c r="Q497">
        <v>0.18629999999999999</v>
      </c>
    </row>
    <row r="498" spans="1:17" x14ac:dyDescent="0.35">
      <c r="A498" t="s">
        <v>509</v>
      </c>
      <c r="B498" t="s">
        <v>2000</v>
      </c>
      <c r="C498">
        <v>28</v>
      </c>
      <c r="D498" t="s">
        <v>2992</v>
      </c>
      <c r="E498" t="s">
        <v>3000</v>
      </c>
      <c r="F498" t="s">
        <v>3020</v>
      </c>
      <c r="G498">
        <v>28</v>
      </c>
      <c r="H498">
        <v>682420</v>
      </c>
      <c r="I498">
        <v>161880</v>
      </c>
      <c r="J498">
        <v>15.56</v>
      </c>
      <c r="K498">
        <v>60</v>
      </c>
      <c r="L498" t="s">
        <v>3049</v>
      </c>
      <c r="M498">
        <v>749</v>
      </c>
      <c r="N498">
        <v>5</v>
      </c>
      <c r="O498" t="s">
        <v>3053</v>
      </c>
      <c r="P498" t="s">
        <v>3501</v>
      </c>
      <c r="Q498">
        <v>0.23719999999999999</v>
      </c>
    </row>
    <row r="499" spans="1:17" x14ac:dyDescent="0.35">
      <c r="A499" t="s">
        <v>510</v>
      </c>
      <c r="B499" t="s">
        <v>2001</v>
      </c>
      <c r="C499">
        <v>38</v>
      </c>
      <c r="D499" t="s">
        <v>2992</v>
      </c>
      <c r="E499" t="s">
        <v>3005</v>
      </c>
      <c r="F499" t="s">
        <v>3020</v>
      </c>
      <c r="G499">
        <v>22</v>
      </c>
      <c r="H499">
        <v>450914</v>
      </c>
      <c r="I499">
        <v>145829</v>
      </c>
      <c r="J499">
        <v>13.96</v>
      </c>
      <c r="K499">
        <v>24</v>
      </c>
      <c r="L499" t="s">
        <v>3046</v>
      </c>
      <c r="N499">
        <v>3</v>
      </c>
      <c r="O499" t="s">
        <v>3056</v>
      </c>
      <c r="P499" t="s">
        <v>3502</v>
      </c>
      <c r="Q499">
        <v>0.32340000000000002</v>
      </c>
    </row>
    <row r="500" spans="1:17" x14ac:dyDescent="0.35">
      <c r="A500" t="s">
        <v>511</v>
      </c>
      <c r="B500" t="s">
        <v>2002</v>
      </c>
      <c r="C500">
        <v>46</v>
      </c>
      <c r="D500" t="s">
        <v>2990</v>
      </c>
      <c r="E500" t="s">
        <v>3003</v>
      </c>
      <c r="F500" t="s">
        <v>3021</v>
      </c>
      <c r="G500">
        <v>23</v>
      </c>
      <c r="H500">
        <v>664090</v>
      </c>
      <c r="I500">
        <v>636410</v>
      </c>
      <c r="J500">
        <v>24.03</v>
      </c>
      <c r="K500">
        <v>48</v>
      </c>
      <c r="L500" t="s">
        <v>3048</v>
      </c>
      <c r="M500">
        <v>739</v>
      </c>
      <c r="N500">
        <v>5</v>
      </c>
      <c r="O500" t="s">
        <v>3053</v>
      </c>
      <c r="P500" t="s">
        <v>3503</v>
      </c>
      <c r="Q500">
        <v>0.95830000000000004</v>
      </c>
    </row>
    <row r="501" spans="1:17" x14ac:dyDescent="0.35">
      <c r="A501" t="s">
        <v>512</v>
      </c>
      <c r="B501" t="s">
        <v>2003</v>
      </c>
      <c r="C501">
        <v>46</v>
      </c>
      <c r="D501" t="s">
        <v>2990</v>
      </c>
      <c r="E501" t="s">
        <v>3003</v>
      </c>
      <c r="F501" t="s">
        <v>3019</v>
      </c>
      <c r="G501">
        <v>3</v>
      </c>
      <c r="H501">
        <v>1492743</v>
      </c>
      <c r="I501">
        <v>163927</v>
      </c>
      <c r="J501">
        <v>15.99</v>
      </c>
      <c r="K501">
        <v>36</v>
      </c>
      <c r="L501" t="s">
        <v>3050</v>
      </c>
      <c r="M501">
        <v>451</v>
      </c>
      <c r="N501">
        <v>0</v>
      </c>
      <c r="O501" t="s">
        <v>3057</v>
      </c>
      <c r="P501" t="s">
        <v>3504</v>
      </c>
      <c r="Q501">
        <v>0.10979999999999999</v>
      </c>
    </row>
    <row r="502" spans="1:17" x14ac:dyDescent="0.35">
      <c r="A502" t="s">
        <v>513</v>
      </c>
      <c r="B502" t="s">
        <v>2004</v>
      </c>
      <c r="C502">
        <v>42</v>
      </c>
      <c r="D502" t="s">
        <v>2990</v>
      </c>
      <c r="E502" t="s">
        <v>3005</v>
      </c>
      <c r="F502" t="s">
        <v>3020</v>
      </c>
      <c r="G502">
        <v>13</v>
      </c>
      <c r="H502">
        <v>2130013</v>
      </c>
      <c r="I502">
        <v>569523</v>
      </c>
      <c r="J502">
        <v>23.95</v>
      </c>
      <c r="K502">
        <v>36</v>
      </c>
      <c r="L502" t="s">
        <v>3051</v>
      </c>
      <c r="N502">
        <v>3</v>
      </c>
      <c r="O502" t="s">
        <v>3056</v>
      </c>
      <c r="P502" t="s">
        <v>3505</v>
      </c>
      <c r="Q502">
        <v>0.26740000000000003</v>
      </c>
    </row>
    <row r="503" spans="1:17" x14ac:dyDescent="0.35">
      <c r="A503" t="s">
        <v>514</v>
      </c>
      <c r="B503" t="s">
        <v>2005</v>
      </c>
      <c r="C503">
        <v>21</v>
      </c>
      <c r="D503" t="s">
        <v>2990</v>
      </c>
      <c r="E503" t="s">
        <v>3007</v>
      </c>
      <c r="F503" t="s">
        <v>3018</v>
      </c>
      <c r="G503">
        <v>6</v>
      </c>
      <c r="H503">
        <v>280734</v>
      </c>
      <c r="I503">
        <v>75350</v>
      </c>
      <c r="J503">
        <v>19.36</v>
      </c>
      <c r="K503">
        <v>60</v>
      </c>
      <c r="L503" t="s">
        <v>3051</v>
      </c>
      <c r="M503">
        <v>511</v>
      </c>
      <c r="N503">
        <v>3</v>
      </c>
      <c r="O503" t="s">
        <v>3053</v>
      </c>
      <c r="P503" t="s">
        <v>3502</v>
      </c>
      <c r="Q503">
        <v>0.26840000000000003</v>
      </c>
    </row>
    <row r="504" spans="1:17" x14ac:dyDescent="0.35">
      <c r="B504" t="s">
        <v>2006</v>
      </c>
      <c r="C504">
        <v>57</v>
      </c>
      <c r="D504" t="s">
        <v>2990</v>
      </c>
      <c r="E504" t="s">
        <v>3008</v>
      </c>
      <c r="F504" t="s">
        <v>3019</v>
      </c>
      <c r="G504">
        <v>4</v>
      </c>
      <c r="H504">
        <v>718645</v>
      </c>
      <c r="I504">
        <v>723221</v>
      </c>
      <c r="J504">
        <v>25.18</v>
      </c>
      <c r="K504">
        <v>12</v>
      </c>
      <c r="L504" t="s">
        <v>3048</v>
      </c>
      <c r="M504">
        <v>655</v>
      </c>
      <c r="N504">
        <v>7</v>
      </c>
      <c r="O504" t="s">
        <v>3054</v>
      </c>
      <c r="P504" t="s">
        <v>3506</v>
      </c>
      <c r="Q504">
        <v>1.0064</v>
      </c>
    </row>
    <row r="505" spans="1:17" x14ac:dyDescent="0.35">
      <c r="A505" t="s">
        <v>515</v>
      </c>
      <c r="B505" t="s">
        <v>2007</v>
      </c>
      <c r="C505">
        <v>37</v>
      </c>
      <c r="D505" t="s">
        <v>2992</v>
      </c>
      <c r="E505" t="s">
        <v>3004</v>
      </c>
      <c r="F505" t="s">
        <v>3021</v>
      </c>
      <c r="G505">
        <v>29</v>
      </c>
      <c r="H505">
        <v>284195</v>
      </c>
      <c r="I505">
        <v>417674</v>
      </c>
      <c r="J505">
        <v>11.62</v>
      </c>
      <c r="K505">
        <v>24</v>
      </c>
      <c r="L505" t="s">
        <v>3051</v>
      </c>
      <c r="M505">
        <v>371</v>
      </c>
      <c r="N505">
        <v>3</v>
      </c>
      <c r="O505" t="s">
        <v>3056</v>
      </c>
      <c r="P505" t="s">
        <v>3182</v>
      </c>
      <c r="Q505">
        <v>1.4697</v>
      </c>
    </row>
    <row r="506" spans="1:17" x14ac:dyDescent="0.35">
      <c r="A506" t="s">
        <v>516</v>
      </c>
      <c r="B506" t="s">
        <v>2008</v>
      </c>
      <c r="C506">
        <v>52</v>
      </c>
      <c r="D506" t="s">
        <v>2992</v>
      </c>
      <c r="E506" t="s">
        <v>3000</v>
      </c>
      <c r="G506">
        <v>6</v>
      </c>
      <c r="H506">
        <v>977968</v>
      </c>
      <c r="I506">
        <v>0</v>
      </c>
      <c r="J506">
        <v>23.02</v>
      </c>
      <c r="K506">
        <v>48</v>
      </c>
      <c r="L506" t="s">
        <v>3050</v>
      </c>
      <c r="M506">
        <v>661</v>
      </c>
      <c r="N506">
        <v>6</v>
      </c>
      <c r="O506" t="s">
        <v>3057</v>
      </c>
      <c r="P506" t="s">
        <v>3507</v>
      </c>
      <c r="Q506">
        <v>0.14530000000000001</v>
      </c>
    </row>
    <row r="507" spans="1:17" x14ac:dyDescent="0.35">
      <c r="A507" t="s">
        <v>517</v>
      </c>
      <c r="B507" t="s">
        <v>2009</v>
      </c>
      <c r="C507">
        <v>25</v>
      </c>
      <c r="D507" t="s">
        <v>2990</v>
      </c>
      <c r="E507" t="s">
        <v>3002</v>
      </c>
      <c r="F507" t="s">
        <v>3019</v>
      </c>
      <c r="G507">
        <v>28</v>
      </c>
      <c r="H507">
        <v>2039234</v>
      </c>
      <c r="I507">
        <v>45675</v>
      </c>
      <c r="J507">
        <v>24.25</v>
      </c>
      <c r="K507">
        <v>36</v>
      </c>
      <c r="L507" t="s">
        <v>3046</v>
      </c>
      <c r="M507">
        <v>757</v>
      </c>
      <c r="N507">
        <v>6</v>
      </c>
      <c r="O507" t="s">
        <v>3056</v>
      </c>
      <c r="P507" t="s">
        <v>3508</v>
      </c>
      <c r="Q507">
        <v>2.24E-2</v>
      </c>
    </row>
    <row r="508" spans="1:17" x14ac:dyDescent="0.35">
      <c r="A508" t="s">
        <v>518</v>
      </c>
      <c r="B508" t="s">
        <v>2010</v>
      </c>
      <c r="C508">
        <v>56</v>
      </c>
      <c r="D508" t="s">
        <v>2992</v>
      </c>
      <c r="E508" t="s">
        <v>3000</v>
      </c>
      <c r="F508" t="s">
        <v>3018</v>
      </c>
      <c r="G508">
        <v>3</v>
      </c>
      <c r="H508">
        <v>450040</v>
      </c>
      <c r="I508">
        <v>79500</v>
      </c>
      <c r="J508">
        <v>25.23</v>
      </c>
      <c r="K508">
        <v>36</v>
      </c>
      <c r="L508" t="s">
        <v>3048</v>
      </c>
      <c r="M508">
        <v>329</v>
      </c>
      <c r="N508">
        <v>3</v>
      </c>
      <c r="O508" t="s">
        <v>3063</v>
      </c>
      <c r="P508" t="s">
        <v>3509</v>
      </c>
      <c r="Q508">
        <v>0.1767</v>
      </c>
    </row>
    <row r="509" spans="1:17" x14ac:dyDescent="0.35">
      <c r="A509" t="s">
        <v>519</v>
      </c>
      <c r="B509" t="s">
        <v>2011</v>
      </c>
      <c r="C509">
        <v>38</v>
      </c>
      <c r="D509" t="s">
        <v>2990</v>
      </c>
      <c r="E509" t="s">
        <v>3002</v>
      </c>
      <c r="F509" t="s">
        <v>3020</v>
      </c>
      <c r="G509">
        <v>12</v>
      </c>
      <c r="H509">
        <v>1167073</v>
      </c>
      <c r="I509">
        <v>615484</v>
      </c>
      <c r="J509">
        <v>23.5</v>
      </c>
      <c r="K509">
        <v>60</v>
      </c>
      <c r="L509" t="s">
        <v>3051</v>
      </c>
      <c r="M509">
        <v>633</v>
      </c>
      <c r="N509">
        <v>1</v>
      </c>
      <c r="O509" t="s">
        <v>3053</v>
      </c>
      <c r="P509" t="s">
        <v>3510</v>
      </c>
      <c r="Q509">
        <v>0.52739999999999998</v>
      </c>
    </row>
    <row r="510" spans="1:17" x14ac:dyDescent="0.35">
      <c r="A510" t="s">
        <v>520</v>
      </c>
      <c r="B510" t="s">
        <v>2012</v>
      </c>
      <c r="C510">
        <v>52</v>
      </c>
      <c r="D510" t="s">
        <v>2990</v>
      </c>
      <c r="E510" t="s">
        <v>3000</v>
      </c>
      <c r="F510" t="s">
        <v>3020</v>
      </c>
      <c r="G510">
        <v>22</v>
      </c>
      <c r="H510">
        <v>1303389</v>
      </c>
      <c r="I510">
        <v>132701</v>
      </c>
      <c r="J510">
        <v>27.78</v>
      </c>
      <c r="K510">
        <v>12</v>
      </c>
      <c r="L510" t="s">
        <v>3049</v>
      </c>
      <c r="M510">
        <v>488</v>
      </c>
      <c r="N510">
        <v>5</v>
      </c>
      <c r="O510" t="s">
        <v>3055</v>
      </c>
      <c r="P510" t="s">
        <v>3511</v>
      </c>
      <c r="Q510">
        <v>0.1018</v>
      </c>
    </row>
    <row r="511" spans="1:17" x14ac:dyDescent="0.35">
      <c r="A511" t="s">
        <v>521</v>
      </c>
      <c r="B511" t="s">
        <v>1702</v>
      </c>
      <c r="C511">
        <v>32</v>
      </c>
      <c r="D511" t="s">
        <v>2992</v>
      </c>
      <c r="E511" t="s">
        <v>3004</v>
      </c>
      <c r="F511" t="s">
        <v>3019</v>
      </c>
      <c r="G511">
        <v>20</v>
      </c>
      <c r="H511">
        <v>1884597</v>
      </c>
      <c r="I511">
        <v>247189</v>
      </c>
      <c r="J511">
        <v>22.29</v>
      </c>
      <c r="K511">
        <v>36</v>
      </c>
      <c r="L511" t="s">
        <v>3049</v>
      </c>
      <c r="M511">
        <v>313</v>
      </c>
      <c r="N511">
        <v>6</v>
      </c>
      <c r="O511" t="s">
        <v>3052</v>
      </c>
      <c r="P511" t="s">
        <v>3512</v>
      </c>
      <c r="Q511">
        <v>0.13120000000000001</v>
      </c>
    </row>
    <row r="512" spans="1:17" x14ac:dyDescent="0.35">
      <c r="A512" t="s">
        <v>522</v>
      </c>
      <c r="B512" t="s">
        <v>2013</v>
      </c>
      <c r="C512">
        <v>47</v>
      </c>
      <c r="D512" t="s">
        <v>2990</v>
      </c>
      <c r="E512" t="s">
        <v>3003</v>
      </c>
      <c r="F512" t="s">
        <v>3021</v>
      </c>
      <c r="G512">
        <v>4</v>
      </c>
      <c r="H512">
        <v>1445898</v>
      </c>
      <c r="I512">
        <v>153498</v>
      </c>
      <c r="J512">
        <v>25.56</v>
      </c>
      <c r="K512">
        <v>12</v>
      </c>
      <c r="L512" t="s">
        <v>3046</v>
      </c>
      <c r="M512">
        <v>578</v>
      </c>
      <c r="N512">
        <v>0</v>
      </c>
      <c r="O512" t="s">
        <v>3057</v>
      </c>
      <c r="P512" t="s">
        <v>3513</v>
      </c>
      <c r="Q512">
        <v>0.1062</v>
      </c>
    </row>
    <row r="513" spans="1:17" x14ac:dyDescent="0.35">
      <c r="A513" t="s">
        <v>523</v>
      </c>
      <c r="B513" t="s">
        <v>2014</v>
      </c>
      <c r="C513">
        <v>40</v>
      </c>
      <c r="D513" t="s">
        <v>2992</v>
      </c>
      <c r="E513" t="s">
        <v>3001</v>
      </c>
      <c r="F513" t="s">
        <v>3020</v>
      </c>
      <c r="G513">
        <v>6</v>
      </c>
      <c r="H513">
        <v>1268075</v>
      </c>
      <c r="I513">
        <v>213069</v>
      </c>
      <c r="J513">
        <v>24.62</v>
      </c>
      <c r="K513">
        <v>48</v>
      </c>
      <c r="L513" t="s">
        <v>3050</v>
      </c>
      <c r="M513">
        <v>523</v>
      </c>
      <c r="N513">
        <v>4</v>
      </c>
      <c r="O513" t="s">
        <v>3055</v>
      </c>
      <c r="P513" t="s">
        <v>3514</v>
      </c>
      <c r="Q513">
        <v>0.16800000000000001</v>
      </c>
    </row>
    <row r="514" spans="1:17" x14ac:dyDescent="0.35">
      <c r="A514" t="s">
        <v>524</v>
      </c>
      <c r="B514" t="s">
        <v>2015</v>
      </c>
      <c r="C514">
        <v>44</v>
      </c>
      <c r="D514" t="s">
        <v>2992</v>
      </c>
      <c r="E514" t="s">
        <v>3007</v>
      </c>
      <c r="F514" t="s">
        <v>3021</v>
      </c>
      <c r="G514">
        <v>0</v>
      </c>
      <c r="H514">
        <v>883650</v>
      </c>
      <c r="I514">
        <v>255469</v>
      </c>
      <c r="J514">
        <v>8.2100000000000009</v>
      </c>
      <c r="K514">
        <v>24</v>
      </c>
      <c r="L514" t="s">
        <v>3046</v>
      </c>
      <c r="M514">
        <v>632</v>
      </c>
      <c r="N514">
        <v>3</v>
      </c>
      <c r="O514" t="s">
        <v>3056</v>
      </c>
      <c r="P514" t="s">
        <v>3515</v>
      </c>
      <c r="Q514">
        <v>0.28910000000000002</v>
      </c>
    </row>
    <row r="515" spans="1:17" x14ac:dyDescent="0.35">
      <c r="A515" t="s">
        <v>525</v>
      </c>
      <c r="B515" t="s">
        <v>2016</v>
      </c>
      <c r="C515">
        <v>24</v>
      </c>
      <c r="D515" t="s">
        <v>2992</v>
      </c>
      <c r="E515" t="s">
        <v>3004</v>
      </c>
      <c r="F515" t="s">
        <v>3019</v>
      </c>
      <c r="G515">
        <v>3</v>
      </c>
      <c r="H515">
        <v>595384</v>
      </c>
      <c r="I515">
        <v>794168</v>
      </c>
      <c r="J515">
        <v>12.41</v>
      </c>
      <c r="K515">
        <v>48</v>
      </c>
      <c r="L515" t="s">
        <v>3050</v>
      </c>
      <c r="M515">
        <v>616</v>
      </c>
      <c r="N515">
        <v>6</v>
      </c>
      <c r="O515" t="s">
        <v>3052</v>
      </c>
      <c r="P515" t="s">
        <v>3516</v>
      </c>
      <c r="Q515">
        <v>1.3339000000000001</v>
      </c>
    </row>
    <row r="516" spans="1:17" x14ac:dyDescent="0.35">
      <c r="A516" t="s">
        <v>526</v>
      </c>
      <c r="B516" t="s">
        <v>2017</v>
      </c>
      <c r="C516">
        <v>31</v>
      </c>
      <c r="D516" t="s">
        <v>2992</v>
      </c>
      <c r="E516" t="s">
        <v>3003</v>
      </c>
      <c r="F516" t="s">
        <v>3020</v>
      </c>
      <c r="G516">
        <v>26</v>
      </c>
      <c r="H516">
        <v>-1757969</v>
      </c>
      <c r="I516">
        <v>696585</v>
      </c>
      <c r="J516">
        <v>18.27</v>
      </c>
      <c r="K516">
        <v>24</v>
      </c>
      <c r="L516" t="s">
        <v>3047</v>
      </c>
      <c r="M516">
        <v>598</v>
      </c>
      <c r="N516">
        <v>2</v>
      </c>
      <c r="O516" t="s">
        <v>3057</v>
      </c>
      <c r="P516" t="s">
        <v>3233</v>
      </c>
      <c r="Q516">
        <v>0.3962</v>
      </c>
    </row>
    <row r="517" spans="1:17" x14ac:dyDescent="0.35">
      <c r="A517" t="s">
        <v>527</v>
      </c>
      <c r="B517" t="s">
        <v>2018</v>
      </c>
      <c r="C517">
        <v>42</v>
      </c>
      <c r="D517" t="s">
        <v>2992</v>
      </c>
      <c r="E517" t="s">
        <v>2998</v>
      </c>
      <c r="F517" t="s">
        <v>3018</v>
      </c>
      <c r="G517">
        <v>13</v>
      </c>
      <c r="H517">
        <v>1337655</v>
      </c>
      <c r="I517">
        <v>25668</v>
      </c>
      <c r="J517">
        <v>21.84</v>
      </c>
      <c r="K517">
        <v>12</v>
      </c>
      <c r="L517" t="s">
        <v>3050</v>
      </c>
      <c r="M517">
        <v>661</v>
      </c>
      <c r="N517">
        <v>7</v>
      </c>
      <c r="O517" t="s">
        <v>3056</v>
      </c>
      <c r="P517" t="s">
        <v>3517</v>
      </c>
      <c r="Q517">
        <v>1.9199999999999998E-2</v>
      </c>
    </row>
    <row r="518" spans="1:17" x14ac:dyDescent="0.35">
      <c r="A518" t="s">
        <v>528</v>
      </c>
      <c r="B518" t="s">
        <v>2019</v>
      </c>
      <c r="C518">
        <v>35</v>
      </c>
      <c r="D518" t="s">
        <v>2992</v>
      </c>
      <c r="E518" t="s">
        <v>2999</v>
      </c>
      <c r="F518" t="s">
        <v>3021</v>
      </c>
      <c r="G518">
        <v>5</v>
      </c>
      <c r="H518">
        <v>1552236</v>
      </c>
      <c r="I518">
        <v>285471</v>
      </c>
      <c r="J518">
        <v>21.48</v>
      </c>
      <c r="K518">
        <v>60</v>
      </c>
      <c r="L518" t="s">
        <v>3050</v>
      </c>
      <c r="M518">
        <v>771</v>
      </c>
      <c r="N518">
        <v>5</v>
      </c>
      <c r="O518" t="s">
        <v>3054</v>
      </c>
      <c r="P518" t="s">
        <v>3275</v>
      </c>
      <c r="Q518">
        <v>0.18390000000000001</v>
      </c>
    </row>
    <row r="519" spans="1:17" x14ac:dyDescent="0.35">
      <c r="A519" t="s">
        <v>529</v>
      </c>
      <c r="B519" t="s">
        <v>2020</v>
      </c>
      <c r="C519">
        <v>25</v>
      </c>
      <c r="D519" t="s">
        <v>2992</v>
      </c>
      <c r="E519" t="s">
        <v>3017</v>
      </c>
      <c r="F519" t="s">
        <v>3020</v>
      </c>
      <c r="G519">
        <v>27</v>
      </c>
      <c r="H519">
        <v>1779908</v>
      </c>
      <c r="I519">
        <v>241552</v>
      </c>
      <c r="J519">
        <v>9.5399999999999991</v>
      </c>
      <c r="K519">
        <v>48</v>
      </c>
      <c r="L519" t="s">
        <v>3047</v>
      </c>
      <c r="M519">
        <v>495</v>
      </c>
      <c r="N519">
        <v>5</v>
      </c>
      <c r="O519" t="s">
        <v>3057</v>
      </c>
      <c r="P519" t="s">
        <v>3518</v>
      </c>
      <c r="Q519">
        <v>0.13569999999999999</v>
      </c>
    </row>
    <row r="520" spans="1:17" x14ac:dyDescent="0.35">
      <c r="A520" t="s">
        <v>530</v>
      </c>
      <c r="B520" t="s">
        <v>2021</v>
      </c>
      <c r="C520">
        <v>54</v>
      </c>
      <c r="D520" t="s">
        <v>2990</v>
      </c>
      <c r="E520" t="s">
        <v>3004</v>
      </c>
      <c r="F520" t="s">
        <v>3018</v>
      </c>
      <c r="G520">
        <v>4</v>
      </c>
      <c r="H520">
        <v>2077501</v>
      </c>
      <c r="I520">
        <v>299143</v>
      </c>
      <c r="J520">
        <v>9.61</v>
      </c>
      <c r="K520">
        <v>24</v>
      </c>
      <c r="L520" t="s">
        <v>3046</v>
      </c>
      <c r="M520">
        <v>588</v>
      </c>
      <c r="N520">
        <v>0</v>
      </c>
      <c r="O520" t="s">
        <v>3057</v>
      </c>
      <c r="P520" t="s">
        <v>3066</v>
      </c>
      <c r="Q520">
        <v>0.14399999999999999</v>
      </c>
    </row>
    <row r="521" spans="1:17" x14ac:dyDescent="0.35">
      <c r="A521" t="s">
        <v>531</v>
      </c>
      <c r="B521" t="s">
        <v>2022</v>
      </c>
      <c r="C521">
        <v>51</v>
      </c>
      <c r="D521" t="s">
        <v>2990</v>
      </c>
      <c r="E521" t="s">
        <v>2999</v>
      </c>
      <c r="F521" t="s">
        <v>3021</v>
      </c>
      <c r="G521">
        <v>27</v>
      </c>
      <c r="H521">
        <v>701998</v>
      </c>
      <c r="I521">
        <v>233606</v>
      </c>
      <c r="J521">
        <v>21.78</v>
      </c>
      <c r="K521">
        <v>36</v>
      </c>
      <c r="L521" t="s">
        <v>3046</v>
      </c>
      <c r="M521">
        <v>405</v>
      </c>
      <c r="N521">
        <v>6</v>
      </c>
      <c r="O521" t="s">
        <v>3057</v>
      </c>
      <c r="P521" t="s">
        <v>3519</v>
      </c>
      <c r="Q521">
        <v>0.33279999999999998</v>
      </c>
    </row>
    <row r="522" spans="1:17" x14ac:dyDescent="0.35">
      <c r="A522" t="s">
        <v>532</v>
      </c>
      <c r="B522" t="s">
        <v>2023</v>
      </c>
      <c r="C522">
        <v>36</v>
      </c>
      <c r="E522" t="s">
        <v>3001</v>
      </c>
      <c r="F522" t="s">
        <v>3018</v>
      </c>
      <c r="G522">
        <v>2</v>
      </c>
      <c r="H522">
        <v>2264298</v>
      </c>
      <c r="I522">
        <v>435842</v>
      </c>
      <c r="J522">
        <v>11.13</v>
      </c>
      <c r="K522">
        <v>24</v>
      </c>
      <c r="L522" t="s">
        <v>3050</v>
      </c>
      <c r="M522">
        <v>737</v>
      </c>
      <c r="N522">
        <v>2</v>
      </c>
      <c r="O522" t="s">
        <v>3057</v>
      </c>
      <c r="P522" t="s">
        <v>3520</v>
      </c>
      <c r="Q522">
        <v>0.1925</v>
      </c>
    </row>
    <row r="523" spans="1:17" x14ac:dyDescent="0.35">
      <c r="A523" t="s">
        <v>533</v>
      </c>
      <c r="B523" t="s">
        <v>2024</v>
      </c>
      <c r="C523">
        <v>32</v>
      </c>
      <c r="D523" t="s">
        <v>2992</v>
      </c>
      <c r="E523" t="s">
        <v>3003</v>
      </c>
      <c r="F523" t="s">
        <v>3019</v>
      </c>
      <c r="G523">
        <v>1</v>
      </c>
      <c r="H523">
        <v>2335145</v>
      </c>
      <c r="I523">
        <v>367139</v>
      </c>
      <c r="J523">
        <v>20.059999999999999</v>
      </c>
      <c r="K523">
        <v>12</v>
      </c>
      <c r="L523" t="s">
        <v>3046</v>
      </c>
      <c r="M523">
        <v>670</v>
      </c>
      <c r="N523">
        <v>6</v>
      </c>
      <c r="O523" t="s">
        <v>3054</v>
      </c>
      <c r="P523" t="s">
        <v>3521</v>
      </c>
      <c r="Q523">
        <v>0.15720000000000001</v>
      </c>
    </row>
    <row r="524" spans="1:17" x14ac:dyDescent="0.35">
      <c r="A524" t="s">
        <v>534</v>
      </c>
      <c r="B524" t="s">
        <v>2025</v>
      </c>
      <c r="C524">
        <v>25</v>
      </c>
      <c r="D524" t="s">
        <v>2992</v>
      </c>
      <c r="E524" t="s">
        <v>3003</v>
      </c>
      <c r="F524" t="s">
        <v>3019</v>
      </c>
      <c r="G524">
        <v>19</v>
      </c>
      <c r="H524">
        <v>216035</v>
      </c>
      <c r="I524">
        <v>240357</v>
      </c>
      <c r="J524">
        <v>25.02</v>
      </c>
      <c r="K524">
        <v>36</v>
      </c>
      <c r="L524" t="s">
        <v>3049</v>
      </c>
      <c r="M524">
        <v>616</v>
      </c>
      <c r="N524">
        <v>2</v>
      </c>
      <c r="O524" t="s">
        <v>3053</v>
      </c>
      <c r="P524" t="s">
        <v>3522</v>
      </c>
      <c r="Q524">
        <v>1.1126</v>
      </c>
    </row>
    <row r="525" spans="1:17" x14ac:dyDescent="0.35">
      <c r="A525" t="s">
        <v>535</v>
      </c>
      <c r="B525" t="s">
        <v>2026</v>
      </c>
      <c r="C525">
        <v>49</v>
      </c>
      <c r="D525" t="s">
        <v>2992</v>
      </c>
      <c r="E525" t="s">
        <v>3012</v>
      </c>
      <c r="F525" t="s">
        <v>3020</v>
      </c>
      <c r="G525">
        <v>18</v>
      </c>
      <c r="H525">
        <v>2202234</v>
      </c>
      <c r="I525">
        <v>693647</v>
      </c>
      <c r="J525">
        <v>14.54</v>
      </c>
      <c r="K525">
        <v>60</v>
      </c>
      <c r="M525">
        <v>342</v>
      </c>
      <c r="N525">
        <v>4</v>
      </c>
      <c r="O525" t="s">
        <v>3055</v>
      </c>
      <c r="P525" t="s">
        <v>3523</v>
      </c>
      <c r="Q525">
        <v>0.315</v>
      </c>
    </row>
    <row r="526" spans="1:17" x14ac:dyDescent="0.35">
      <c r="A526" t="s">
        <v>536</v>
      </c>
      <c r="B526" t="s">
        <v>2027</v>
      </c>
      <c r="C526">
        <v>56</v>
      </c>
      <c r="D526" t="s">
        <v>2990</v>
      </c>
      <c r="E526" t="s">
        <v>3001</v>
      </c>
      <c r="F526" t="s">
        <v>3020</v>
      </c>
      <c r="G526">
        <v>12</v>
      </c>
      <c r="H526">
        <v>211852</v>
      </c>
      <c r="I526">
        <v>545005</v>
      </c>
      <c r="J526">
        <v>26.91</v>
      </c>
      <c r="K526">
        <v>36</v>
      </c>
      <c r="L526" t="s">
        <v>3051</v>
      </c>
      <c r="M526">
        <v>456</v>
      </c>
      <c r="N526">
        <v>7</v>
      </c>
      <c r="O526" t="s">
        <v>3056</v>
      </c>
      <c r="P526" t="s">
        <v>3524</v>
      </c>
      <c r="Q526">
        <v>2.5726</v>
      </c>
    </row>
    <row r="527" spans="1:17" x14ac:dyDescent="0.35">
      <c r="A527" t="s">
        <v>537</v>
      </c>
      <c r="B527" t="s">
        <v>2028</v>
      </c>
      <c r="C527">
        <v>41</v>
      </c>
      <c r="D527" t="s">
        <v>2990</v>
      </c>
      <c r="E527" t="s">
        <v>3004</v>
      </c>
      <c r="F527" t="s">
        <v>3019</v>
      </c>
      <c r="G527">
        <v>27</v>
      </c>
      <c r="H527">
        <v>1254135</v>
      </c>
      <c r="I527">
        <v>502616</v>
      </c>
      <c r="J527">
        <v>11.71</v>
      </c>
      <c r="K527">
        <v>36</v>
      </c>
      <c r="L527" t="s">
        <v>3051</v>
      </c>
      <c r="M527">
        <v>743</v>
      </c>
      <c r="N527">
        <v>2</v>
      </c>
      <c r="O527" t="s">
        <v>3054</v>
      </c>
      <c r="P527" t="s">
        <v>3525</v>
      </c>
      <c r="Q527">
        <v>0.40079999999999999</v>
      </c>
    </row>
    <row r="528" spans="1:17" x14ac:dyDescent="0.35">
      <c r="A528" t="s">
        <v>538</v>
      </c>
      <c r="B528" t="s">
        <v>2029</v>
      </c>
      <c r="C528">
        <v>32</v>
      </c>
      <c r="D528" t="s">
        <v>2990</v>
      </c>
      <c r="E528" t="s">
        <v>3002</v>
      </c>
      <c r="F528" t="s">
        <v>3018</v>
      </c>
      <c r="G528">
        <v>16</v>
      </c>
      <c r="H528">
        <v>1224327</v>
      </c>
      <c r="I528">
        <v>384986</v>
      </c>
      <c r="J528">
        <v>20.67</v>
      </c>
      <c r="K528">
        <v>60</v>
      </c>
      <c r="M528">
        <v>405</v>
      </c>
      <c r="N528">
        <v>5</v>
      </c>
      <c r="O528" t="s">
        <v>3057</v>
      </c>
      <c r="P528" t="s">
        <v>3526</v>
      </c>
      <c r="Q528">
        <v>0.31440000000000001</v>
      </c>
    </row>
    <row r="529" spans="1:17" x14ac:dyDescent="0.35">
      <c r="A529" t="s">
        <v>539</v>
      </c>
      <c r="B529" t="s">
        <v>2030</v>
      </c>
      <c r="C529">
        <v>60</v>
      </c>
      <c r="D529" t="s">
        <v>2992</v>
      </c>
      <c r="E529" t="s">
        <v>3003</v>
      </c>
      <c r="F529" t="s">
        <v>3020</v>
      </c>
      <c r="G529">
        <v>18</v>
      </c>
      <c r="H529">
        <v>928013</v>
      </c>
      <c r="I529">
        <v>477719</v>
      </c>
      <c r="J529">
        <v>25.91</v>
      </c>
      <c r="K529">
        <v>24</v>
      </c>
      <c r="M529">
        <v>381</v>
      </c>
      <c r="N529">
        <v>1</v>
      </c>
      <c r="O529" t="s">
        <v>3057</v>
      </c>
      <c r="P529" t="s">
        <v>3527</v>
      </c>
      <c r="Q529">
        <v>0.51480000000000004</v>
      </c>
    </row>
    <row r="530" spans="1:17" x14ac:dyDescent="0.35">
      <c r="A530" t="s">
        <v>201</v>
      </c>
      <c r="B530" t="s">
        <v>1692</v>
      </c>
      <c r="C530">
        <v>42</v>
      </c>
      <c r="D530" t="s">
        <v>2990</v>
      </c>
      <c r="E530" t="s">
        <v>3005</v>
      </c>
      <c r="G530">
        <v>20</v>
      </c>
      <c r="H530">
        <v>1365111</v>
      </c>
      <c r="I530">
        <v>343258</v>
      </c>
      <c r="J530">
        <v>11.2</v>
      </c>
      <c r="K530">
        <v>12</v>
      </c>
      <c r="L530" t="s">
        <v>3049</v>
      </c>
      <c r="M530">
        <v>716</v>
      </c>
      <c r="N530">
        <v>3</v>
      </c>
      <c r="O530" t="s">
        <v>3052</v>
      </c>
      <c r="P530" t="s">
        <v>3240</v>
      </c>
      <c r="Q530">
        <v>0.2515</v>
      </c>
    </row>
    <row r="531" spans="1:17" x14ac:dyDescent="0.35">
      <c r="A531" t="s">
        <v>540</v>
      </c>
      <c r="B531" t="s">
        <v>2031</v>
      </c>
      <c r="C531">
        <v>28</v>
      </c>
      <c r="D531" t="s">
        <v>2992</v>
      </c>
      <c r="E531" t="s">
        <v>3002</v>
      </c>
      <c r="F531" t="s">
        <v>3018</v>
      </c>
      <c r="G531">
        <v>12</v>
      </c>
      <c r="H531">
        <v>336498</v>
      </c>
      <c r="I531">
        <v>702773</v>
      </c>
      <c r="J531">
        <v>14.13</v>
      </c>
      <c r="K531">
        <v>60</v>
      </c>
      <c r="L531" t="s">
        <v>3050</v>
      </c>
      <c r="M531">
        <v>350</v>
      </c>
      <c r="N531">
        <v>6</v>
      </c>
      <c r="O531" t="s">
        <v>3055</v>
      </c>
      <c r="P531" t="s">
        <v>3528</v>
      </c>
      <c r="Q531">
        <v>2.0884999999999998</v>
      </c>
    </row>
    <row r="532" spans="1:17" x14ac:dyDescent="0.35">
      <c r="A532" t="s">
        <v>541</v>
      </c>
      <c r="B532" t="s">
        <v>2032</v>
      </c>
      <c r="C532">
        <v>56</v>
      </c>
      <c r="D532" t="s">
        <v>2990</v>
      </c>
      <c r="E532" t="s">
        <v>3003</v>
      </c>
      <c r="F532" t="s">
        <v>3019</v>
      </c>
      <c r="G532">
        <v>18</v>
      </c>
      <c r="H532">
        <v>1558369</v>
      </c>
      <c r="I532">
        <v>372414</v>
      </c>
      <c r="J532">
        <v>9.4</v>
      </c>
      <c r="K532">
        <v>12</v>
      </c>
      <c r="L532" t="s">
        <v>3050</v>
      </c>
      <c r="M532">
        <v>328</v>
      </c>
      <c r="N532">
        <v>2</v>
      </c>
      <c r="O532" t="s">
        <v>3056</v>
      </c>
      <c r="P532" t="s">
        <v>3529</v>
      </c>
      <c r="Q532">
        <v>0.23899999999999999</v>
      </c>
    </row>
    <row r="533" spans="1:17" x14ac:dyDescent="0.35">
      <c r="A533" t="s">
        <v>542</v>
      </c>
      <c r="B533" t="s">
        <v>2033</v>
      </c>
      <c r="C533">
        <v>62</v>
      </c>
      <c r="D533" t="s">
        <v>2992</v>
      </c>
      <c r="E533" t="s">
        <v>3003</v>
      </c>
      <c r="F533" t="s">
        <v>3021</v>
      </c>
      <c r="G533">
        <v>28</v>
      </c>
      <c r="H533">
        <v>1666205</v>
      </c>
      <c r="I533">
        <v>173077</v>
      </c>
      <c r="J533">
        <v>13.31</v>
      </c>
      <c r="K533">
        <v>24</v>
      </c>
      <c r="L533" t="s">
        <v>3050</v>
      </c>
      <c r="M533">
        <v>714</v>
      </c>
      <c r="N533">
        <v>4</v>
      </c>
      <c r="O533" t="s">
        <v>3053</v>
      </c>
      <c r="P533" t="s">
        <v>3530</v>
      </c>
      <c r="Q533">
        <v>0.10390000000000001</v>
      </c>
    </row>
    <row r="534" spans="1:17" x14ac:dyDescent="0.35">
      <c r="A534" t="s">
        <v>543</v>
      </c>
      <c r="B534" t="s">
        <v>2034</v>
      </c>
      <c r="C534">
        <v>40</v>
      </c>
      <c r="D534" t="s">
        <v>2990</v>
      </c>
      <c r="E534" t="s">
        <v>3000</v>
      </c>
      <c r="F534" t="s">
        <v>3021</v>
      </c>
      <c r="G534">
        <v>3</v>
      </c>
      <c r="H534">
        <v>332999</v>
      </c>
      <c r="I534">
        <v>390416</v>
      </c>
      <c r="J534">
        <v>11.14</v>
      </c>
      <c r="K534">
        <v>36</v>
      </c>
      <c r="L534" t="s">
        <v>3046</v>
      </c>
      <c r="M534">
        <v>704</v>
      </c>
      <c r="N534">
        <v>3</v>
      </c>
      <c r="O534" t="s">
        <v>3062</v>
      </c>
      <c r="P534" t="s">
        <v>3318</v>
      </c>
      <c r="Q534">
        <v>1.1724000000000001</v>
      </c>
    </row>
    <row r="535" spans="1:17" x14ac:dyDescent="0.35">
      <c r="A535" t="s">
        <v>544</v>
      </c>
      <c r="B535" t="s">
        <v>2035</v>
      </c>
      <c r="C535">
        <v>44</v>
      </c>
      <c r="D535" t="s">
        <v>2992</v>
      </c>
      <c r="E535" t="s">
        <v>3006</v>
      </c>
      <c r="F535" t="s">
        <v>3020</v>
      </c>
      <c r="G535">
        <v>27</v>
      </c>
      <c r="H535">
        <v>941985</v>
      </c>
      <c r="I535">
        <v>568277</v>
      </c>
      <c r="J535">
        <v>16.260000000000002</v>
      </c>
      <c r="K535">
        <v>24</v>
      </c>
      <c r="L535" t="s">
        <v>3047</v>
      </c>
      <c r="M535">
        <v>374</v>
      </c>
      <c r="N535">
        <v>2</v>
      </c>
      <c r="O535" t="s">
        <v>3057</v>
      </c>
      <c r="P535" t="s">
        <v>3136</v>
      </c>
      <c r="Q535">
        <v>0.60329999999999995</v>
      </c>
    </row>
    <row r="536" spans="1:17" x14ac:dyDescent="0.35">
      <c r="A536" t="s">
        <v>545</v>
      </c>
      <c r="B536" t="s">
        <v>2036</v>
      </c>
      <c r="C536">
        <v>60</v>
      </c>
      <c r="D536" t="s">
        <v>2992</v>
      </c>
      <c r="E536" t="s">
        <v>3003</v>
      </c>
      <c r="F536" t="s">
        <v>3020</v>
      </c>
      <c r="G536">
        <v>27</v>
      </c>
      <c r="H536">
        <v>2094142</v>
      </c>
      <c r="I536">
        <v>622248</v>
      </c>
      <c r="J536">
        <v>8.4700000000000006</v>
      </c>
      <c r="K536">
        <v>12</v>
      </c>
      <c r="L536" t="s">
        <v>3050</v>
      </c>
      <c r="M536">
        <v>629</v>
      </c>
      <c r="N536">
        <v>1</v>
      </c>
      <c r="O536" t="s">
        <v>3052</v>
      </c>
      <c r="P536" t="s">
        <v>3531</v>
      </c>
      <c r="Q536">
        <v>0.29709999999999998</v>
      </c>
    </row>
    <row r="537" spans="1:17" x14ac:dyDescent="0.35">
      <c r="B537" t="s">
        <v>2037</v>
      </c>
      <c r="C537">
        <v>61</v>
      </c>
      <c r="D537" t="s">
        <v>2990</v>
      </c>
      <c r="E537" t="s">
        <v>2999</v>
      </c>
      <c r="F537" t="s">
        <v>3021</v>
      </c>
      <c r="G537">
        <v>22</v>
      </c>
      <c r="H537">
        <v>259141</v>
      </c>
      <c r="I537">
        <v>405893</v>
      </c>
      <c r="J537">
        <v>23.67</v>
      </c>
      <c r="K537">
        <v>36</v>
      </c>
      <c r="L537" t="s">
        <v>3046</v>
      </c>
      <c r="M537">
        <v>686</v>
      </c>
      <c r="N537">
        <v>3</v>
      </c>
      <c r="O537" t="s">
        <v>3052</v>
      </c>
      <c r="P537" t="s">
        <v>3532</v>
      </c>
      <c r="Q537">
        <v>1.5663</v>
      </c>
    </row>
    <row r="538" spans="1:17" x14ac:dyDescent="0.35">
      <c r="A538" t="s">
        <v>546</v>
      </c>
      <c r="B538" t="s">
        <v>2038</v>
      </c>
      <c r="C538">
        <v>25</v>
      </c>
      <c r="D538" t="s">
        <v>2996</v>
      </c>
      <c r="E538" t="s">
        <v>3000</v>
      </c>
      <c r="F538" t="s">
        <v>3020</v>
      </c>
      <c r="G538">
        <v>4</v>
      </c>
      <c r="H538">
        <v>1043403</v>
      </c>
      <c r="I538">
        <v>284064</v>
      </c>
      <c r="J538">
        <v>18.47</v>
      </c>
      <c r="K538">
        <v>24</v>
      </c>
      <c r="L538" t="s">
        <v>3049</v>
      </c>
      <c r="M538">
        <v>637</v>
      </c>
      <c r="N538">
        <v>4</v>
      </c>
      <c r="O538" t="s">
        <v>3059</v>
      </c>
      <c r="P538" t="s">
        <v>3215</v>
      </c>
      <c r="Q538">
        <v>0.2722</v>
      </c>
    </row>
    <row r="539" spans="1:17" x14ac:dyDescent="0.35">
      <c r="A539" t="s">
        <v>547</v>
      </c>
      <c r="B539" t="s">
        <v>2039</v>
      </c>
      <c r="C539">
        <v>34</v>
      </c>
      <c r="D539" t="s">
        <v>2992</v>
      </c>
      <c r="E539" t="s">
        <v>3003</v>
      </c>
      <c r="F539" t="s">
        <v>3019</v>
      </c>
      <c r="G539">
        <v>0</v>
      </c>
      <c r="H539">
        <v>963066</v>
      </c>
      <c r="I539">
        <v>153296</v>
      </c>
      <c r="J539">
        <v>11.21</v>
      </c>
      <c r="K539">
        <v>48</v>
      </c>
      <c r="L539" t="s">
        <v>3049</v>
      </c>
      <c r="M539">
        <v>659</v>
      </c>
      <c r="N539">
        <v>7</v>
      </c>
      <c r="O539" t="s">
        <v>3057</v>
      </c>
      <c r="P539" t="s">
        <v>3103</v>
      </c>
      <c r="Q539">
        <v>0.15920000000000001</v>
      </c>
    </row>
    <row r="540" spans="1:17" x14ac:dyDescent="0.35">
      <c r="A540" t="s">
        <v>548</v>
      </c>
      <c r="B540" t="s">
        <v>2040</v>
      </c>
      <c r="C540">
        <v>150</v>
      </c>
      <c r="D540" t="s">
        <v>2990</v>
      </c>
      <c r="E540" t="s">
        <v>3005</v>
      </c>
      <c r="F540" t="s">
        <v>3018</v>
      </c>
      <c r="G540">
        <v>21</v>
      </c>
      <c r="H540">
        <v>375246</v>
      </c>
      <c r="I540">
        <v>373646</v>
      </c>
      <c r="J540">
        <v>13.06</v>
      </c>
      <c r="K540">
        <v>48</v>
      </c>
      <c r="L540" t="s">
        <v>3048</v>
      </c>
      <c r="M540">
        <v>404</v>
      </c>
      <c r="N540">
        <v>3</v>
      </c>
      <c r="O540" t="s">
        <v>3053</v>
      </c>
      <c r="P540" t="s">
        <v>3533</v>
      </c>
      <c r="Q540">
        <v>0.99570000000000003</v>
      </c>
    </row>
    <row r="541" spans="1:17" x14ac:dyDescent="0.35">
      <c r="A541" t="s">
        <v>549</v>
      </c>
      <c r="B541" t="s">
        <v>2041</v>
      </c>
      <c r="C541">
        <v>46</v>
      </c>
      <c r="D541" t="s">
        <v>2992</v>
      </c>
      <c r="E541" t="s">
        <v>3003</v>
      </c>
      <c r="F541" t="s">
        <v>3019</v>
      </c>
      <c r="G541">
        <v>26</v>
      </c>
      <c r="H541">
        <v>858250</v>
      </c>
      <c r="I541">
        <v>340752</v>
      </c>
      <c r="J541">
        <v>17.329999999999998</v>
      </c>
      <c r="K541">
        <v>36</v>
      </c>
      <c r="L541" t="s">
        <v>3046</v>
      </c>
      <c r="M541">
        <v>743</v>
      </c>
      <c r="N541">
        <v>5</v>
      </c>
      <c r="O541" t="s">
        <v>3057</v>
      </c>
      <c r="P541" t="s">
        <v>3125</v>
      </c>
      <c r="Q541">
        <v>0.39700000000000002</v>
      </c>
    </row>
    <row r="542" spans="1:17" x14ac:dyDescent="0.35">
      <c r="A542" t="s">
        <v>550</v>
      </c>
      <c r="B542" t="s">
        <v>2042</v>
      </c>
      <c r="C542">
        <v>43</v>
      </c>
      <c r="D542" t="s">
        <v>2990</v>
      </c>
      <c r="E542" t="s">
        <v>3001</v>
      </c>
      <c r="F542" t="s">
        <v>3021</v>
      </c>
      <c r="G542">
        <v>0</v>
      </c>
      <c r="H542">
        <v>2267342</v>
      </c>
      <c r="I542">
        <v>106724</v>
      </c>
      <c r="J542">
        <v>23.27</v>
      </c>
      <c r="K542">
        <v>12</v>
      </c>
      <c r="L542" t="s">
        <v>3048</v>
      </c>
      <c r="M542">
        <v>748</v>
      </c>
      <c r="N542">
        <v>2</v>
      </c>
      <c r="O542" t="s">
        <v>3054</v>
      </c>
      <c r="P542" t="s">
        <v>3534</v>
      </c>
      <c r="Q542">
        <v>4.7100000000000003E-2</v>
      </c>
    </row>
    <row r="543" spans="1:17" x14ac:dyDescent="0.35">
      <c r="A543" t="s">
        <v>551</v>
      </c>
      <c r="B543" t="s">
        <v>2043</v>
      </c>
      <c r="C543">
        <v>47</v>
      </c>
      <c r="D543" t="s">
        <v>2994</v>
      </c>
      <c r="E543" t="s">
        <v>3004</v>
      </c>
      <c r="F543" t="s">
        <v>3019</v>
      </c>
      <c r="G543">
        <v>9</v>
      </c>
      <c r="H543">
        <v>1289004</v>
      </c>
      <c r="I543">
        <v>508765</v>
      </c>
      <c r="J543">
        <v>27.95</v>
      </c>
      <c r="K543">
        <v>24</v>
      </c>
      <c r="L543" t="s">
        <v>3050</v>
      </c>
      <c r="M543">
        <v>538</v>
      </c>
      <c r="N543">
        <v>1</v>
      </c>
      <c r="O543" t="s">
        <v>3055</v>
      </c>
      <c r="P543" t="s">
        <v>3535</v>
      </c>
      <c r="Q543">
        <v>0.3947</v>
      </c>
    </row>
    <row r="544" spans="1:17" x14ac:dyDescent="0.35">
      <c r="A544" t="s">
        <v>552</v>
      </c>
      <c r="B544" t="s">
        <v>2044</v>
      </c>
      <c r="C544">
        <v>52</v>
      </c>
      <c r="D544" t="s">
        <v>2990</v>
      </c>
      <c r="E544" t="s">
        <v>3006</v>
      </c>
      <c r="F544" t="s">
        <v>3018</v>
      </c>
      <c r="G544">
        <v>25</v>
      </c>
      <c r="H544">
        <v>1834753</v>
      </c>
      <c r="I544">
        <v>126611</v>
      </c>
      <c r="J544">
        <v>17.850000000000001</v>
      </c>
      <c r="K544">
        <v>48</v>
      </c>
      <c r="L544" t="s">
        <v>3048</v>
      </c>
      <c r="M544">
        <v>502</v>
      </c>
      <c r="N544">
        <v>4</v>
      </c>
      <c r="O544" t="s">
        <v>3052</v>
      </c>
      <c r="P544" t="s">
        <v>3275</v>
      </c>
      <c r="Q544">
        <v>6.9000000000000006E-2</v>
      </c>
    </row>
    <row r="545" spans="1:17" x14ac:dyDescent="0.35">
      <c r="A545" t="s">
        <v>553</v>
      </c>
      <c r="B545" t="s">
        <v>2045</v>
      </c>
      <c r="C545">
        <v>27</v>
      </c>
      <c r="D545" t="s">
        <v>2992</v>
      </c>
      <c r="E545" t="s">
        <v>3006</v>
      </c>
      <c r="F545" t="s">
        <v>3018</v>
      </c>
      <c r="G545">
        <v>6</v>
      </c>
      <c r="H545">
        <v>-796529</v>
      </c>
      <c r="I545">
        <v>82551</v>
      </c>
      <c r="J545">
        <v>16.600000000000001</v>
      </c>
      <c r="K545">
        <v>24</v>
      </c>
      <c r="L545" t="s">
        <v>3046</v>
      </c>
      <c r="M545">
        <v>496</v>
      </c>
      <c r="N545">
        <v>4</v>
      </c>
      <c r="O545" t="s">
        <v>3055</v>
      </c>
      <c r="P545" t="s">
        <v>3318</v>
      </c>
      <c r="Q545">
        <v>0.1036</v>
      </c>
    </row>
    <row r="546" spans="1:17" x14ac:dyDescent="0.35">
      <c r="A546" t="s">
        <v>554</v>
      </c>
      <c r="B546" t="s">
        <v>2046</v>
      </c>
      <c r="C546">
        <v>48</v>
      </c>
      <c r="D546" t="s">
        <v>2992</v>
      </c>
      <c r="E546" t="s">
        <v>3001</v>
      </c>
      <c r="F546" t="s">
        <v>3021</v>
      </c>
      <c r="G546">
        <v>1</v>
      </c>
      <c r="H546">
        <v>2179254</v>
      </c>
      <c r="I546">
        <v>132492</v>
      </c>
      <c r="J546">
        <v>13.36</v>
      </c>
      <c r="K546">
        <v>12</v>
      </c>
      <c r="L546" t="s">
        <v>3051</v>
      </c>
      <c r="M546">
        <v>364</v>
      </c>
      <c r="N546">
        <v>5</v>
      </c>
      <c r="O546" t="s">
        <v>3052</v>
      </c>
      <c r="P546" t="s">
        <v>3536</v>
      </c>
      <c r="Q546">
        <v>6.08E-2</v>
      </c>
    </row>
    <row r="547" spans="1:17" x14ac:dyDescent="0.35">
      <c r="A547" t="s">
        <v>555</v>
      </c>
      <c r="B547" t="s">
        <v>2047</v>
      </c>
      <c r="C547">
        <v>53</v>
      </c>
      <c r="D547" t="s">
        <v>2990</v>
      </c>
      <c r="E547" t="s">
        <v>3007</v>
      </c>
      <c r="F547" t="s">
        <v>3020</v>
      </c>
      <c r="G547">
        <v>5</v>
      </c>
      <c r="H547">
        <v>2111342</v>
      </c>
      <c r="I547">
        <v>253612</v>
      </c>
      <c r="J547">
        <v>22.59</v>
      </c>
      <c r="K547">
        <v>60</v>
      </c>
      <c r="L547" t="s">
        <v>3049</v>
      </c>
      <c r="M547">
        <v>849</v>
      </c>
      <c r="N547">
        <v>6</v>
      </c>
      <c r="O547" t="s">
        <v>3055</v>
      </c>
      <c r="P547" t="s">
        <v>3536</v>
      </c>
      <c r="Q547">
        <v>0.1201</v>
      </c>
    </row>
    <row r="548" spans="1:17" x14ac:dyDescent="0.35">
      <c r="A548" t="s">
        <v>556</v>
      </c>
      <c r="B548" t="s">
        <v>2048</v>
      </c>
      <c r="C548">
        <v>32</v>
      </c>
      <c r="D548" t="s">
        <v>2990</v>
      </c>
      <c r="E548" t="s">
        <v>3000</v>
      </c>
      <c r="F548" t="s">
        <v>3018</v>
      </c>
      <c r="G548">
        <v>1</v>
      </c>
      <c r="H548">
        <v>1195416</v>
      </c>
      <c r="I548">
        <v>159784</v>
      </c>
      <c r="J548">
        <v>22.58</v>
      </c>
      <c r="K548">
        <v>48</v>
      </c>
      <c r="L548" t="s">
        <v>3047</v>
      </c>
      <c r="M548">
        <v>487</v>
      </c>
      <c r="N548">
        <v>5</v>
      </c>
      <c r="O548" t="s">
        <v>3052</v>
      </c>
      <c r="P548" t="s">
        <v>3292</v>
      </c>
      <c r="Q548">
        <v>0.13370000000000001</v>
      </c>
    </row>
    <row r="549" spans="1:17" x14ac:dyDescent="0.35">
      <c r="A549" t="s">
        <v>557</v>
      </c>
      <c r="B549" t="s">
        <v>2049</v>
      </c>
      <c r="C549">
        <v>28</v>
      </c>
      <c r="D549" t="s">
        <v>2990</v>
      </c>
      <c r="E549" t="s">
        <v>3000</v>
      </c>
      <c r="F549" t="s">
        <v>3018</v>
      </c>
      <c r="G549">
        <v>8</v>
      </c>
      <c r="H549">
        <v>785409</v>
      </c>
      <c r="I549">
        <v>474418</v>
      </c>
      <c r="J549">
        <v>19.420000000000002</v>
      </c>
      <c r="K549">
        <v>48</v>
      </c>
      <c r="L549" t="s">
        <v>3049</v>
      </c>
      <c r="M549">
        <v>482</v>
      </c>
      <c r="N549">
        <v>2</v>
      </c>
      <c r="O549" t="s">
        <v>3055</v>
      </c>
      <c r="P549" t="s">
        <v>3537</v>
      </c>
      <c r="Q549">
        <v>0.60399999999999998</v>
      </c>
    </row>
    <row r="550" spans="1:17" x14ac:dyDescent="0.35">
      <c r="A550" t="s">
        <v>558</v>
      </c>
      <c r="B550" t="s">
        <v>2050</v>
      </c>
      <c r="C550">
        <v>59</v>
      </c>
      <c r="D550" t="s">
        <v>2992</v>
      </c>
      <c r="E550" t="s">
        <v>2998</v>
      </c>
      <c r="F550" t="s">
        <v>3020</v>
      </c>
      <c r="G550">
        <v>1</v>
      </c>
      <c r="H550">
        <v>673948</v>
      </c>
      <c r="I550">
        <v>574394</v>
      </c>
      <c r="J550">
        <v>9.8000000000000007</v>
      </c>
      <c r="K550">
        <v>60</v>
      </c>
      <c r="L550" t="s">
        <v>3051</v>
      </c>
      <c r="M550">
        <v>524</v>
      </c>
      <c r="N550">
        <v>6</v>
      </c>
      <c r="O550" t="s">
        <v>3055</v>
      </c>
      <c r="P550" t="s">
        <v>3372</v>
      </c>
      <c r="Q550">
        <v>0.85229999999999995</v>
      </c>
    </row>
    <row r="551" spans="1:17" x14ac:dyDescent="0.35">
      <c r="A551" t="s">
        <v>559</v>
      </c>
      <c r="B551" t="s">
        <v>2051</v>
      </c>
      <c r="C551">
        <v>25</v>
      </c>
      <c r="D551" t="s">
        <v>2990</v>
      </c>
      <c r="E551" t="s">
        <v>3000</v>
      </c>
      <c r="F551" t="s">
        <v>3021</v>
      </c>
      <c r="G551">
        <v>17</v>
      </c>
      <c r="H551">
        <v>1751951</v>
      </c>
      <c r="I551">
        <v>117406</v>
      </c>
      <c r="J551">
        <v>18</v>
      </c>
      <c r="K551">
        <v>12</v>
      </c>
      <c r="L551" t="s">
        <v>3050</v>
      </c>
      <c r="M551">
        <v>572</v>
      </c>
      <c r="N551">
        <v>0</v>
      </c>
      <c r="O551" t="s">
        <v>3053</v>
      </c>
      <c r="P551" t="s">
        <v>3538</v>
      </c>
      <c r="Q551">
        <v>6.7000000000000004E-2</v>
      </c>
    </row>
    <row r="552" spans="1:17" x14ac:dyDescent="0.35">
      <c r="A552" t="s">
        <v>560</v>
      </c>
      <c r="B552" t="s">
        <v>2052</v>
      </c>
      <c r="C552">
        <v>47</v>
      </c>
      <c r="D552" t="s">
        <v>2992</v>
      </c>
      <c r="E552" t="s">
        <v>2998</v>
      </c>
      <c r="F552" t="s">
        <v>3019</v>
      </c>
      <c r="G552">
        <v>18</v>
      </c>
      <c r="H552">
        <v>1043349</v>
      </c>
      <c r="I552">
        <v>88798</v>
      </c>
      <c r="J552">
        <v>19.93</v>
      </c>
      <c r="K552">
        <v>12</v>
      </c>
      <c r="L552" t="s">
        <v>3049</v>
      </c>
      <c r="N552">
        <v>4</v>
      </c>
      <c r="O552" t="s">
        <v>3057</v>
      </c>
      <c r="P552" t="s">
        <v>3539</v>
      </c>
      <c r="Q552">
        <v>8.5099999999999995E-2</v>
      </c>
    </row>
    <row r="553" spans="1:17" x14ac:dyDescent="0.35">
      <c r="A553" t="s">
        <v>561</v>
      </c>
      <c r="B553" t="s">
        <v>2053</v>
      </c>
      <c r="C553">
        <v>48</v>
      </c>
      <c r="D553" t="s">
        <v>2990</v>
      </c>
      <c r="E553" t="s">
        <v>2998</v>
      </c>
      <c r="F553" t="s">
        <v>3020</v>
      </c>
      <c r="G553">
        <v>20</v>
      </c>
      <c r="H553">
        <v>2319686</v>
      </c>
      <c r="I553">
        <v>219775</v>
      </c>
      <c r="J553">
        <v>17.75</v>
      </c>
      <c r="K553">
        <v>48</v>
      </c>
      <c r="L553" t="s">
        <v>3047</v>
      </c>
      <c r="M553">
        <v>704</v>
      </c>
      <c r="N553">
        <v>6</v>
      </c>
      <c r="O553" t="s">
        <v>3055</v>
      </c>
      <c r="P553" t="s">
        <v>3540</v>
      </c>
      <c r="Q553">
        <v>9.4700000000000006E-2</v>
      </c>
    </row>
    <row r="554" spans="1:17" x14ac:dyDescent="0.35">
      <c r="A554" t="s">
        <v>562</v>
      </c>
      <c r="B554" t="s">
        <v>2054</v>
      </c>
      <c r="C554">
        <v>42</v>
      </c>
      <c r="D554" t="s">
        <v>2992</v>
      </c>
      <c r="E554" t="s">
        <v>3007</v>
      </c>
      <c r="F554" t="s">
        <v>3018</v>
      </c>
      <c r="G554">
        <v>4</v>
      </c>
      <c r="H554">
        <v>1327116</v>
      </c>
      <c r="I554">
        <v>292158</v>
      </c>
      <c r="J554">
        <v>8.02</v>
      </c>
      <c r="K554">
        <v>48</v>
      </c>
      <c r="L554" t="s">
        <v>3049</v>
      </c>
      <c r="M554">
        <v>725</v>
      </c>
      <c r="N554">
        <v>1</v>
      </c>
      <c r="O554" t="s">
        <v>3052</v>
      </c>
      <c r="P554" t="s">
        <v>3541</v>
      </c>
      <c r="Q554">
        <v>0.22009999999999999</v>
      </c>
    </row>
    <row r="555" spans="1:17" x14ac:dyDescent="0.35">
      <c r="A555" t="s">
        <v>563</v>
      </c>
      <c r="B555" t="s">
        <v>2055</v>
      </c>
      <c r="C555">
        <v>45</v>
      </c>
      <c r="D555" t="s">
        <v>2990</v>
      </c>
      <c r="E555" t="s">
        <v>3003</v>
      </c>
      <c r="F555" t="s">
        <v>3020</v>
      </c>
      <c r="G555">
        <v>5</v>
      </c>
      <c r="H555">
        <v>2255020</v>
      </c>
      <c r="I555">
        <v>794504</v>
      </c>
      <c r="J555">
        <v>22.69</v>
      </c>
      <c r="K555">
        <v>60</v>
      </c>
      <c r="L555" t="s">
        <v>3050</v>
      </c>
      <c r="M555">
        <v>409</v>
      </c>
      <c r="N555">
        <v>1</v>
      </c>
      <c r="O555" t="s">
        <v>3053</v>
      </c>
      <c r="P555" t="s">
        <v>3542</v>
      </c>
      <c r="Q555">
        <v>0.3523</v>
      </c>
    </row>
    <row r="556" spans="1:17" x14ac:dyDescent="0.35">
      <c r="A556" t="s">
        <v>564</v>
      </c>
      <c r="B556" t="s">
        <v>2056</v>
      </c>
      <c r="C556">
        <v>57</v>
      </c>
      <c r="D556" t="s">
        <v>2992</v>
      </c>
      <c r="E556" t="s">
        <v>3005</v>
      </c>
      <c r="F556" t="s">
        <v>3021</v>
      </c>
      <c r="G556">
        <v>13</v>
      </c>
      <c r="H556">
        <v>1430632</v>
      </c>
      <c r="I556">
        <v>145355</v>
      </c>
      <c r="J556">
        <v>25.96</v>
      </c>
      <c r="K556">
        <v>12</v>
      </c>
      <c r="L556" t="s">
        <v>3049</v>
      </c>
      <c r="M556">
        <v>837</v>
      </c>
      <c r="N556">
        <v>0</v>
      </c>
      <c r="O556" t="s">
        <v>3057</v>
      </c>
      <c r="P556" t="s">
        <v>3543</v>
      </c>
      <c r="Q556">
        <v>0.1016</v>
      </c>
    </row>
    <row r="557" spans="1:17" x14ac:dyDescent="0.35">
      <c r="A557" t="s">
        <v>565</v>
      </c>
      <c r="B557" t="s">
        <v>2057</v>
      </c>
      <c r="C557">
        <v>47</v>
      </c>
      <c r="D557" t="s">
        <v>2990</v>
      </c>
      <c r="E557" t="s">
        <v>3004</v>
      </c>
      <c r="F557" t="s">
        <v>3020</v>
      </c>
      <c r="G557">
        <v>12</v>
      </c>
      <c r="H557">
        <v>574341</v>
      </c>
      <c r="I557">
        <v>200882</v>
      </c>
      <c r="J557">
        <v>10.63</v>
      </c>
      <c r="K557">
        <v>24</v>
      </c>
      <c r="L557" t="s">
        <v>3051</v>
      </c>
      <c r="M557">
        <v>373</v>
      </c>
      <c r="N557">
        <v>3</v>
      </c>
      <c r="O557" t="s">
        <v>3053</v>
      </c>
      <c r="P557" t="s">
        <v>3544</v>
      </c>
      <c r="Q557">
        <v>0.3498</v>
      </c>
    </row>
    <row r="558" spans="1:17" x14ac:dyDescent="0.35">
      <c r="A558" t="s">
        <v>566</v>
      </c>
      <c r="B558" t="s">
        <v>2058</v>
      </c>
      <c r="C558">
        <v>27</v>
      </c>
      <c r="D558" t="s">
        <v>2990</v>
      </c>
      <c r="E558" t="s">
        <v>3005</v>
      </c>
      <c r="F558" t="s">
        <v>3021</v>
      </c>
      <c r="G558">
        <v>14</v>
      </c>
      <c r="H558">
        <v>1621985</v>
      </c>
      <c r="I558">
        <v>148216</v>
      </c>
      <c r="J558">
        <v>14.41</v>
      </c>
      <c r="K558">
        <v>12</v>
      </c>
      <c r="L558" t="s">
        <v>3051</v>
      </c>
      <c r="M558">
        <v>515</v>
      </c>
      <c r="N558">
        <v>6</v>
      </c>
      <c r="O558" t="s">
        <v>3053</v>
      </c>
      <c r="P558" t="s">
        <v>3545</v>
      </c>
      <c r="Q558">
        <v>9.1399999999999995E-2</v>
      </c>
    </row>
    <row r="559" spans="1:17" x14ac:dyDescent="0.35">
      <c r="A559" t="s">
        <v>567</v>
      </c>
      <c r="B559" t="s">
        <v>2059</v>
      </c>
      <c r="C559">
        <v>63</v>
      </c>
      <c r="D559" t="s">
        <v>2990</v>
      </c>
      <c r="E559" t="s">
        <v>2999</v>
      </c>
      <c r="F559" t="s">
        <v>3018</v>
      </c>
      <c r="G559">
        <v>4</v>
      </c>
      <c r="H559">
        <v>744678</v>
      </c>
      <c r="I559">
        <v>292919</v>
      </c>
      <c r="J559">
        <v>21.53</v>
      </c>
      <c r="K559">
        <v>60</v>
      </c>
      <c r="L559" t="s">
        <v>3048</v>
      </c>
      <c r="M559">
        <v>763</v>
      </c>
      <c r="N559">
        <v>2</v>
      </c>
      <c r="O559" t="s">
        <v>3055</v>
      </c>
      <c r="P559" t="s">
        <v>3546</v>
      </c>
      <c r="Q559">
        <v>0.39329999999999998</v>
      </c>
    </row>
    <row r="560" spans="1:17" x14ac:dyDescent="0.35">
      <c r="A560" t="s">
        <v>568</v>
      </c>
      <c r="B560" t="s">
        <v>2060</v>
      </c>
      <c r="C560">
        <v>27</v>
      </c>
      <c r="D560" t="s">
        <v>2990</v>
      </c>
      <c r="E560" t="s">
        <v>3007</v>
      </c>
      <c r="F560" t="s">
        <v>3019</v>
      </c>
      <c r="G560">
        <v>11</v>
      </c>
      <c r="H560">
        <v>2331061</v>
      </c>
      <c r="I560">
        <v>128944</v>
      </c>
      <c r="J560">
        <v>16.37</v>
      </c>
      <c r="K560">
        <v>24</v>
      </c>
      <c r="L560" t="s">
        <v>3047</v>
      </c>
      <c r="M560">
        <v>331</v>
      </c>
      <c r="N560">
        <v>3</v>
      </c>
      <c r="O560" t="s">
        <v>3057</v>
      </c>
      <c r="P560" t="s">
        <v>3547</v>
      </c>
      <c r="Q560">
        <v>5.5300000000000002E-2</v>
      </c>
    </row>
    <row r="561" spans="1:17" x14ac:dyDescent="0.35">
      <c r="A561" t="s">
        <v>569</v>
      </c>
      <c r="B561" t="s">
        <v>2061</v>
      </c>
      <c r="C561">
        <v>50</v>
      </c>
      <c r="D561" t="s">
        <v>2992</v>
      </c>
      <c r="E561" t="s">
        <v>3000</v>
      </c>
      <c r="F561" t="s">
        <v>3020</v>
      </c>
      <c r="G561">
        <v>9</v>
      </c>
      <c r="H561">
        <v>551931</v>
      </c>
      <c r="I561">
        <v>691553</v>
      </c>
      <c r="J561">
        <v>27.65</v>
      </c>
      <c r="K561">
        <v>12</v>
      </c>
      <c r="L561" t="s">
        <v>3047</v>
      </c>
      <c r="M561">
        <v>606</v>
      </c>
      <c r="N561">
        <v>0</v>
      </c>
      <c r="O561" t="s">
        <v>3052</v>
      </c>
      <c r="P561" t="s">
        <v>3548</v>
      </c>
      <c r="Q561">
        <v>1.2529999999999999</v>
      </c>
    </row>
    <row r="562" spans="1:17" x14ac:dyDescent="0.35">
      <c r="A562" t="s">
        <v>570</v>
      </c>
      <c r="B562" t="s">
        <v>1516</v>
      </c>
      <c r="C562">
        <v>49</v>
      </c>
      <c r="D562" t="s">
        <v>2992</v>
      </c>
      <c r="E562" t="s">
        <v>2999</v>
      </c>
      <c r="F562" t="s">
        <v>3020</v>
      </c>
      <c r="G562">
        <v>25</v>
      </c>
      <c r="H562">
        <v>1856273</v>
      </c>
      <c r="I562">
        <v>712137</v>
      </c>
      <c r="J562">
        <v>25.37</v>
      </c>
      <c r="K562">
        <v>48</v>
      </c>
      <c r="L562" t="s">
        <v>3047</v>
      </c>
      <c r="M562">
        <v>322</v>
      </c>
      <c r="N562">
        <v>6</v>
      </c>
      <c r="O562" t="s">
        <v>3053</v>
      </c>
      <c r="P562" t="s">
        <v>3515</v>
      </c>
      <c r="Q562">
        <v>0.3836</v>
      </c>
    </row>
    <row r="563" spans="1:17" x14ac:dyDescent="0.35">
      <c r="A563" t="s">
        <v>571</v>
      </c>
      <c r="B563" t="s">
        <v>2062</v>
      </c>
      <c r="C563">
        <v>51</v>
      </c>
      <c r="D563" t="s">
        <v>2995</v>
      </c>
      <c r="E563" t="s">
        <v>2998</v>
      </c>
      <c r="F563" t="s">
        <v>3018</v>
      </c>
      <c r="G563">
        <v>20</v>
      </c>
      <c r="H563">
        <v>1596207</v>
      </c>
      <c r="I563">
        <v>253192</v>
      </c>
      <c r="J563">
        <v>23.04</v>
      </c>
      <c r="K563">
        <v>24</v>
      </c>
      <c r="L563" t="s">
        <v>3049</v>
      </c>
      <c r="M563">
        <v>364</v>
      </c>
      <c r="N563">
        <v>6</v>
      </c>
      <c r="O563" t="s">
        <v>3055</v>
      </c>
      <c r="P563" t="s">
        <v>3549</v>
      </c>
      <c r="Q563">
        <v>0.15859999999999999</v>
      </c>
    </row>
    <row r="564" spans="1:17" x14ac:dyDescent="0.35">
      <c r="A564" t="s">
        <v>572</v>
      </c>
      <c r="B564" t="s">
        <v>2063</v>
      </c>
      <c r="C564">
        <v>34</v>
      </c>
      <c r="D564" t="s">
        <v>2992</v>
      </c>
      <c r="E564" t="s">
        <v>3002</v>
      </c>
      <c r="F564" t="s">
        <v>3018</v>
      </c>
      <c r="G564">
        <v>22</v>
      </c>
      <c r="H564">
        <v>243646</v>
      </c>
      <c r="I564">
        <v>86668</v>
      </c>
      <c r="J564">
        <v>13.41</v>
      </c>
      <c r="K564">
        <v>24</v>
      </c>
      <c r="L564" t="s">
        <v>3048</v>
      </c>
      <c r="M564">
        <v>620</v>
      </c>
      <c r="N564">
        <v>0</v>
      </c>
      <c r="O564" t="s">
        <v>3057</v>
      </c>
      <c r="P564" t="s">
        <v>3550</v>
      </c>
      <c r="Q564">
        <v>0.35570000000000002</v>
      </c>
    </row>
    <row r="565" spans="1:17" x14ac:dyDescent="0.35">
      <c r="A565" t="s">
        <v>573</v>
      </c>
      <c r="B565" t="s">
        <v>2064</v>
      </c>
      <c r="C565">
        <v>25</v>
      </c>
      <c r="D565" t="s">
        <v>2990</v>
      </c>
      <c r="E565" t="s">
        <v>2998</v>
      </c>
      <c r="F565" t="s">
        <v>3020</v>
      </c>
      <c r="G565">
        <v>24</v>
      </c>
      <c r="H565">
        <v>1010051</v>
      </c>
      <c r="I565">
        <v>351607</v>
      </c>
      <c r="J565">
        <v>13.71</v>
      </c>
      <c r="K565">
        <v>48</v>
      </c>
      <c r="L565" t="s">
        <v>3048</v>
      </c>
      <c r="M565">
        <v>631</v>
      </c>
      <c r="N565">
        <v>0</v>
      </c>
      <c r="O565" t="s">
        <v>3057</v>
      </c>
      <c r="P565" t="s">
        <v>3551</v>
      </c>
      <c r="Q565">
        <v>0.34810000000000002</v>
      </c>
    </row>
    <row r="566" spans="1:17" x14ac:dyDescent="0.35">
      <c r="A566" t="s">
        <v>574</v>
      </c>
      <c r="B566" t="s">
        <v>2065</v>
      </c>
      <c r="C566">
        <v>29</v>
      </c>
      <c r="D566" t="s">
        <v>2992</v>
      </c>
      <c r="E566" t="s">
        <v>3007</v>
      </c>
      <c r="F566" t="s">
        <v>3020</v>
      </c>
      <c r="G566">
        <v>23</v>
      </c>
      <c r="H566">
        <v>2212714</v>
      </c>
      <c r="I566">
        <v>610270</v>
      </c>
      <c r="J566">
        <v>17.7</v>
      </c>
      <c r="K566">
        <v>36</v>
      </c>
      <c r="L566" t="s">
        <v>3050</v>
      </c>
      <c r="M566">
        <v>726</v>
      </c>
      <c r="N566">
        <v>4</v>
      </c>
      <c r="O566" t="s">
        <v>3056</v>
      </c>
      <c r="P566" t="s">
        <v>3551</v>
      </c>
      <c r="Q566">
        <v>0.27579999999999999</v>
      </c>
    </row>
    <row r="567" spans="1:17" x14ac:dyDescent="0.35">
      <c r="A567" t="s">
        <v>575</v>
      </c>
      <c r="B567" t="s">
        <v>2066</v>
      </c>
      <c r="C567">
        <v>63</v>
      </c>
      <c r="D567" t="s">
        <v>2990</v>
      </c>
      <c r="E567" t="s">
        <v>3006</v>
      </c>
      <c r="F567" t="s">
        <v>3018</v>
      </c>
      <c r="G567">
        <v>2</v>
      </c>
      <c r="H567">
        <v>1215354</v>
      </c>
      <c r="I567">
        <v>510399</v>
      </c>
      <c r="J567">
        <v>19.47</v>
      </c>
      <c r="K567">
        <v>60</v>
      </c>
      <c r="L567" t="s">
        <v>3050</v>
      </c>
      <c r="M567">
        <v>638</v>
      </c>
      <c r="N567">
        <v>7</v>
      </c>
      <c r="O567" t="s">
        <v>3056</v>
      </c>
      <c r="P567" t="s">
        <v>3552</v>
      </c>
      <c r="Q567">
        <v>0.42</v>
      </c>
    </row>
    <row r="568" spans="1:17" x14ac:dyDescent="0.35">
      <c r="A568" t="s">
        <v>576</v>
      </c>
      <c r="B568" t="s">
        <v>1538</v>
      </c>
      <c r="C568">
        <v>47</v>
      </c>
      <c r="D568" t="s">
        <v>2990</v>
      </c>
      <c r="E568" t="s">
        <v>3003</v>
      </c>
      <c r="F568" t="s">
        <v>3020</v>
      </c>
      <c r="G568">
        <v>6</v>
      </c>
      <c r="H568">
        <v>2090947</v>
      </c>
      <c r="I568">
        <v>737104</v>
      </c>
      <c r="J568">
        <v>15.53</v>
      </c>
      <c r="K568">
        <v>24</v>
      </c>
      <c r="L568" t="s">
        <v>3047</v>
      </c>
      <c r="M568">
        <v>543</v>
      </c>
      <c r="N568">
        <v>7</v>
      </c>
      <c r="O568" t="s">
        <v>3053</v>
      </c>
      <c r="P568" t="s">
        <v>3553</v>
      </c>
      <c r="Q568">
        <v>0.35249999999999998</v>
      </c>
    </row>
    <row r="569" spans="1:17" x14ac:dyDescent="0.35">
      <c r="A569" t="s">
        <v>577</v>
      </c>
      <c r="B569" t="s">
        <v>2067</v>
      </c>
      <c r="C569">
        <v>49</v>
      </c>
      <c r="D569" t="s">
        <v>2990</v>
      </c>
      <c r="E569" t="s">
        <v>3006</v>
      </c>
      <c r="F569" t="s">
        <v>3021</v>
      </c>
      <c r="G569">
        <v>16</v>
      </c>
      <c r="H569">
        <v>1731330</v>
      </c>
      <c r="I569">
        <v>359933</v>
      </c>
      <c r="J569">
        <v>15.75</v>
      </c>
      <c r="K569">
        <v>36</v>
      </c>
      <c r="L569" t="s">
        <v>3051</v>
      </c>
      <c r="M569">
        <v>427</v>
      </c>
      <c r="N569">
        <v>4</v>
      </c>
      <c r="O569" t="s">
        <v>3056</v>
      </c>
      <c r="P569" t="s">
        <v>3554</v>
      </c>
      <c r="Q569">
        <v>0.2079</v>
      </c>
    </row>
    <row r="570" spans="1:17" x14ac:dyDescent="0.35">
      <c r="A570" t="s">
        <v>578</v>
      </c>
      <c r="B570" t="s">
        <v>2068</v>
      </c>
      <c r="C570">
        <v>50</v>
      </c>
      <c r="D570" t="s">
        <v>2990</v>
      </c>
      <c r="E570" t="s">
        <v>3000</v>
      </c>
      <c r="F570" t="s">
        <v>3020</v>
      </c>
      <c r="G570">
        <v>29</v>
      </c>
      <c r="H570">
        <v>1364141</v>
      </c>
      <c r="I570">
        <v>475738</v>
      </c>
      <c r="J570">
        <v>20.43</v>
      </c>
      <c r="K570">
        <v>12</v>
      </c>
      <c r="L570" t="s">
        <v>3051</v>
      </c>
      <c r="M570">
        <v>416</v>
      </c>
      <c r="N570">
        <v>6</v>
      </c>
      <c r="O570" t="s">
        <v>3052</v>
      </c>
      <c r="P570" t="s">
        <v>3151</v>
      </c>
      <c r="Q570">
        <v>0.34870000000000001</v>
      </c>
    </row>
    <row r="571" spans="1:17" x14ac:dyDescent="0.35">
      <c r="A571" t="s">
        <v>579</v>
      </c>
      <c r="B571" t="s">
        <v>2069</v>
      </c>
      <c r="C571">
        <v>36</v>
      </c>
      <c r="D571" t="s">
        <v>2990</v>
      </c>
      <c r="E571" t="s">
        <v>2998</v>
      </c>
      <c r="F571" t="s">
        <v>3019</v>
      </c>
      <c r="G571">
        <v>19</v>
      </c>
      <c r="H571">
        <v>1008791</v>
      </c>
      <c r="I571">
        <v>696479</v>
      </c>
      <c r="J571">
        <v>19.38</v>
      </c>
      <c r="K571">
        <v>48</v>
      </c>
      <c r="L571" t="s">
        <v>3050</v>
      </c>
      <c r="M571">
        <v>828</v>
      </c>
      <c r="N571">
        <v>7</v>
      </c>
      <c r="O571" t="s">
        <v>3056</v>
      </c>
      <c r="P571" t="s">
        <v>3555</v>
      </c>
      <c r="Q571">
        <v>0.69040000000000001</v>
      </c>
    </row>
    <row r="572" spans="1:17" x14ac:dyDescent="0.35">
      <c r="A572" t="s">
        <v>580</v>
      </c>
      <c r="B572" t="s">
        <v>2070</v>
      </c>
      <c r="C572">
        <v>22</v>
      </c>
      <c r="D572" t="s">
        <v>2990</v>
      </c>
      <c r="E572" t="s">
        <v>3002</v>
      </c>
      <c r="F572" t="s">
        <v>3021</v>
      </c>
      <c r="G572">
        <v>4</v>
      </c>
      <c r="H572">
        <v>253869</v>
      </c>
      <c r="I572">
        <v>608574</v>
      </c>
      <c r="J572">
        <v>8.26</v>
      </c>
      <c r="K572">
        <v>48</v>
      </c>
      <c r="L572" t="s">
        <v>3049</v>
      </c>
      <c r="M572">
        <v>559</v>
      </c>
      <c r="N572">
        <v>5</v>
      </c>
      <c r="O572" t="s">
        <v>3052</v>
      </c>
      <c r="P572" t="s">
        <v>3552</v>
      </c>
      <c r="Q572">
        <v>2.3972000000000002</v>
      </c>
    </row>
    <row r="573" spans="1:17" x14ac:dyDescent="0.35">
      <c r="A573" t="s">
        <v>581</v>
      </c>
      <c r="B573" t="s">
        <v>2071</v>
      </c>
      <c r="C573">
        <v>59</v>
      </c>
      <c r="D573" t="s">
        <v>2992</v>
      </c>
      <c r="E573" t="s">
        <v>3001</v>
      </c>
      <c r="F573" t="s">
        <v>3021</v>
      </c>
      <c r="G573">
        <v>14</v>
      </c>
      <c r="H573">
        <v>1044645</v>
      </c>
      <c r="I573">
        <v>675348</v>
      </c>
      <c r="J573">
        <v>18.829999999999998</v>
      </c>
      <c r="K573">
        <v>36</v>
      </c>
      <c r="L573" t="s">
        <v>3049</v>
      </c>
      <c r="M573">
        <v>625</v>
      </c>
      <c r="N573">
        <v>1</v>
      </c>
      <c r="O573" t="s">
        <v>3052</v>
      </c>
      <c r="P573" t="s">
        <v>3343</v>
      </c>
      <c r="Q573">
        <v>0.64649999999999996</v>
      </c>
    </row>
    <row r="574" spans="1:17" x14ac:dyDescent="0.35">
      <c r="A574" t="s">
        <v>582</v>
      </c>
      <c r="B574" t="s">
        <v>2072</v>
      </c>
      <c r="C574">
        <v>39</v>
      </c>
      <c r="D574" t="s">
        <v>2992</v>
      </c>
      <c r="E574" t="s">
        <v>3007</v>
      </c>
      <c r="F574" t="s">
        <v>3020</v>
      </c>
      <c r="G574">
        <v>17</v>
      </c>
      <c r="H574">
        <v>1916263</v>
      </c>
      <c r="I574">
        <v>622566</v>
      </c>
      <c r="J574">
        <v>26.19</v>
      </c>
      <c r="K574">
        <v>36</v>
      </c>
      <c r="L574" t="s">
        <v>3051</v>
      </c>
      <c r="M574">
        <v>351</v>
      </c>
      <c r="N574">
        <v>7</v>
      </c>
      <c r="O574" t="s">
        <v>3053</v>
      </c>
      <c r="P574" t="s">
        <v>3556</v>
      </c>
      <c r="Q574">
        <v>0.32490000000000002</v>
      </c>
    </row>
    <row r="575" spans="1:17" x14ac:dyDescent="0.35">
      <c r="A575" t="s">
        <v>583</v>
      </c>
      <c r="B575" t="s">
        <v>1896</v>
      </c>
      <c r="C575">
        <v>31</v>
      </c>
      <c r="D575" t="s">
        <v>2990</v>
      </c>
      <c r="E575" t="s">
        <v>3003</v>
      </c>
      <c r="F575" t="s">
        <v>3020</v>
      </c>
      <c r="G575">
        <v>4</v>
      </c>
      <c r="H575">
        <v>2344563</v>
      </c>
      <c r="I575">
        <v>116393</v>
      </c>
      <c r="J575">
        <v>27.63</v>
      </c>
      <c r="K575">
        <v>24</v>
      </c>
      <c r="L575" t="s">
        <v>3047</v>
      </c>
      <c r="M575">
        <v>801</v>
      </c>
      <c r="N575">
        <v>0</v>
      </c>
      <c r="O575" t="s">
        <v>3053</v>
      </c>
      <c r="P575" t="s">
        <v>3557</v>
      </c>
      <c r="Q575">
        <v>4.9599999999999998E-2</v>
      </c>
    </row>
    <row r="576" spans="1:17" x14ac:dyDescent="0.35">
      <c r="A576" t="s">
        <v>584</v>
      </c>
      <c r="B576" t="s">
        <v>2073</v>
      </c>
      <c r="C576">
        <v>35</v>
      </c>
      <c r="D576" t="s">
        <v>2992</v>
      </c>
      <c r="E576" t="s">
        <v>2998</v>
      </c>
      <c r="F576" t="s">
        <v>3020</v>
      </c>
      <c r="G576">
        <v>16</v>
      </c>
      <c r="I576">
        <v>364866</v>
      </c>
      <c r="J576">
        <v>20.2</v>
      </c>
      <c r="K576">
        <v>24</v>
      </c>
      <c r="L576" t="s">
        <v>3047</v>
      </c>
      <c r="M576">
        <v>795</v>
      </c>
      <c r="N576">
        <v>1</v>
      </c>
      <c r="O576" t="s">
        <v>3055</v>
      </c>
      <c r="P576" t="s">
        <v>3558</v>
      </c>
      <c r="Q576">
        <v>0.47560000000000002</v>
      </c>
    </row>
    <row r="577" spans="1:17" x14ac:dyDescent="0.35">
      <c r="A577" t="s">
        <v>585</v>
      </c>
      <c r="B577" t="s">
        <v>2074</v>
      </c>
      <c r="C577">
        <v>61</v>
      </c>
      <c r="D577" t="s">
        <v>2992</v>
      </c>
      <c r="E577" t="s">
        <v>2998</v>
      </c>
      <c r="F577" t="s">
        <v>3019</v>
      </c>
      <c r="G577">
        <v>3</v>
      </c>
      <c r="H577">
        <v>1024092</v>
      </c>
      <c r="I577">
        <v>259719</v>
      </c>
      <c r="J577">
        <v>10.09</v>
      </c>
      <c r="K577">
        <v>12</v>
      </c>
      <c r="L577" t="s">
        <v>3050</v>
      </c>
      <c r="M577">
        <v>633</v>
      </c>
      <c r="N577">
        <v>7</v>
      </c>
      <c r="O577" t="s">
        <v>3053</v>
      </c>
      <c r="P577" t="s">
        <v>3559</v>
      </c>
      <c r="Q577">
        <v>0.25359999999999999</v>
      </c>
    </row>
    <row r="578" spans="1:17" x14ac:dyDescent="0.35">
      <c r="A578" t="s">
        <v>586</v>
      </c>
      <c r="B578" t="s">
        <v>2075</v>
      </c>
      <c r="C578">
        <v>38</v>
      </c>
      <c r="D578" t="s">
        <v>2992</v>
      </c>
      <c r="E578" t="s">
        <v>3002</v>
      </c>
      <c r="F578" t="s">
        <v>3018</v>
      </c>
      <c r="G578">
        <v>18</v>
      </c>
      <c r="H578">
        <v>770381</v>
      </c>
      <c r="I578">
        <v>372365</v>
      </c>
      <c r="J578">
        <v>14.8</v>
      </c>
      <c r="K578">
        <v>24</v>
      </c>
      <c r="L578" t="s">
        <v>3051</v>
      </c>
      <c r="M578">
        <v>530</v>
      </c>
      <c r="N578">
        <v>3</v>
      </c>
      <c r="O578" t="s">
        <v>3055</v>
      </c>
      <c r="P578" t="s">
        <v>3560</v>
      </c>
      <c r="Q578">
        <v>0.4834</v>
      </c>
    </row>
    <row r="579" spans="1:17" x14ac:dyDescent="0.35">
      <c r="A579" t="s">
        <v>587</v>
      </c>
      <c r="B579" t="s">
        <v>2076</v>
      </c>
      <c r="C579">
        <v>51</v>
      </c>
      <c r="D579" t="s">
        <v>2992</v>
      </c>
      <c r="E579" t="s">
        <v>3006</v>
      </c>
      <c r="F579" t="s">
        <v>3018</v>
      </c>
      <c r="G579">
        <v>22</v>
      </c>
      <c r="H579">
        <v>684409</v>
      </c>
      <c r="I579">
        <v>307644</v>
      </c>
      <c r="J579">
        <v>19.41</v>
      </c>
      <c r="K579">
        <v>24</v>
      </c>
      <c r="L579" t="s">
        <v>3046</v>
      </c>
      <c r="M579">
        <v>503</v>
      </c>
      <c r="N579">
        <v>4</v>
      </c>
      <c r="O579" t="s">
        <v>3052</v>
      </c>
      <c r="P579" t="s">
        <v>3561</v>
      </c>
      <c r="Q579">
        <v>0.44950000000000001</v>
      </c>
    </row>
    <row r="580" spans="1:17" x14ac:dyDescent="0.35">
      <c r="A580" t="s">
        <v>588</v>
      </c>
      <c r="B580" t="s">
        <v>2077</v>
      </c>
      <c r="C580">
        <v>28</v>
      </c>
      <c r="D580" t="s">
        <v>2992</v>
      </c>
      <c r="E580" t="s">
        <v>3001</v>
      </c>
      <c r="F580" t="s">
        <v>3018</v>
      </c>
      <c r="G580">
        <v>3</v>
      </c>
      <c r="H580">
        <v>1670687</v>
      </c>
      <c r="I580">
        <v>728672</v>
      </c>
      <c r="J580">
        <v>21.64</v>
      </c>
      <c r="K580">
        <v>24</v>
      </c>
      <c r="L580" t="s">
        <v>3049</v>
      </c>
      <c r="M580">
        <v>843</v>
      </c>
      <c r="N580">
        <v>2</v>
      </c>
      <c r="O580" t="s">
        <v>3054</v>
      </c>
      <c r="P580" t="s">
        <v>3562</v>
      </c>
      <c r="Q580">
        <v>0.43619999999999998</v>
      </c>
    </row>
    <row r="581" spans="1:17" x14ac:dyDescent="0.35">
      <c r="A581" t="s">
        <v>589</v>
      </c>
      <c r="B581" t="s">
        <v>2078</v>
      </c>
      <c r="C581">
        <v>44</v>
      </c>
      <c r="D581" t="s">
        <v>2992</v>
      </c>
      <c r="E581" t="s">
        <v>3004</v>
      </c>
      <c r="F581" t="s">
        <v>3021</v>
      </c>
      <c r="G581">
        <v>18</v>
      </c>
      <c r="H581">
        <v>2067895</v>
      </c>
      <c r="I581">
        <v>423561</v>
      </c>
      <c r="J581">
        <v>20.47</v>
      </c>
      <c r="K581">
        <v>48</v>
      </c>
      <c r="L581" t="s">
        <v>3049</v>
      </c>
      <c r="M581">
        <v>641</v>
      </c>
      <c r="N581">
        <v>2</v>
      </c>
      <c r="O581" t="s">
        <v>3057</v>
      </c>
      <c r="P581" t="s">
        <v>3486</v>
      </c>
      <c r="Q581">
        <v>0.20480000000000001</v>
      </c>
    </row>
    <row r="582" spans="1:17" x14ac:dyDescent="0.35">
      <c r="A582" t="s">
        <v>590</v>
      </c>
      <c r="B582" t="s">
        <v>2079</v>
      </c>
      <c r="C582">
        <v>44</v>
      </c>
      <c r="D582" t="s">
        <v>2992</v>
      </c>
      <c r="E582" t="s">
        <v>2999</v>
      </c>
      <c r="F582" t="s">
        <v>3019</v>
      </c>
      <c r="G582">
        <v>28</v>
      </c>
      <c r="H582">
        <v>1375225</v>
      </c>
      <c r="I582">
        <v>131086</v>
      </c>
      <c r="J582">
        <v>23.15</v>
      </c>
      <c r="K582">
        <v>60</v>
      </c>
      <c r="L582" t="s">
        <v>3049</v>
      </c>
      <c r="M582">
        <v>311</v>
      </c>
      <c r="N582">
        <v>1</v>
      </c>
      <c r="O582" t="s">
        <v>3052</v>
      </c>
      <c r="P582" t="s">
        <v>3097</v>
      </c>
      <c r="Q582">
        <v>9.5299999999999996E-2</v>
      </c>
    </row>
    <row r="583" spans="1:17" x14ac:dyDescent="0.35">
      <c r="A583" t="s">
        <v>591</v>
      </c>
      <c r="B583" t="s">
        <v>2080</v>
      </c>
      <c r="C583">
        <v>54</v>
      </c>
      <c r="D583" t="s">
        <v>2992</v>
      </c>
      <c r="E583" t="s">
        <v>3004</v>
      </c>
      <c r="F583" t="s">
        <v>3020</v>
      </c>
      <c r="G583">
        <v>20</v>
      </c>
      <c r="H583">
        <v>1048374</v>
      </c>
      <c r="I583">
        <v>336462</v>
      </c>
      <c r="J583">
        <v>18.37</v>
      </c>
      <c r="K583">
        <v>48</v>
      </c>
      <c r="L583" t="s">
        <v>3050</v>
      </c>
      <c r="M583">
        <v>655</v>
      </c>
      <c r="N583">
        <v>5</v>
      </c>
      <c r="O583" t="s">
        <v>3053</v>
      </c>
      <c r="P583" t="s">
        <v>3563</v>
      </c>
      <c r="Q583">
        <v>0.32090000000000002</v>
      </c>
    </row>
    <row r="584" spans="1:17" x14ac:dyDescent="0.35">
      <c r="A584" t="s">
        <v>592</v>
      </c>
      <c r="B584" t="s">
        <v>2081</v>
      </c>
      <c r="C584">
        <v>39</v>
      </c>
      <c r="D584" t="s">
        <v>2990</v>
      </c>
      <c r="E584" t="s">
        <v>3001</v>
      </c>
      <c r="F584" t="s">
        <v>3020</v>
      </c>
      <c r="G584">
        <v>9</v>
      </c>
      <c r="H584">
        <v>1905690</v>
      </c>
      <c r="I584">
        <v>526581</v>
      </c>
      <c r="J584">
        <v>12.37</v>
      </c>
      <c r="K584">
        <v>24</v>
      </c>
      <c r="M584">
        <v>535</v>
      </c>
      <c r="N584">
        <v>2</v>
      </c>
      <c r="O584" t="s">
        <v>3054</v>
      </c>
      <c r="P584" t="s">
        <v>3323</v>
      </c>
      <c r="Q584">
        <v>0.27629999999999999</v>
      </c>
    </row>
    <row r="585" spans="1:17" x14ac:dyDescent="0.35">
      <c r="A585" t="s">
        <v>593</v>
      </c>
      <c r="B585" t="s">
        <v>2082</v>
      </c>
      <c r="C585">
        <v>57</v>
      </c>
      <c r="D585" t="s">
        <v>2992</v>
      </c>
      <c r="E585" t="s">
        <v>3007</v>
      </c>
      <c r="F585" t="s">
        <v>3020</v>
      </c>
      <c r="G585">
        <v>7</v>
      </c>
      <c r="H585">
        <v>1996030</v>
      </c>
      <c r="I585">
        <v>438596</v>
      </c>
      <c r="J585">
        <v>8.99</v>
      </c>
      <c r="K585">
        <v>24</v>
      </c>
      <c r="L585" t="s">
        <v>3050</v>
      </c>
      <c r="M585">
        <v>384</v>
      </c>
      <c r="N585">
        <v>0</v>
      </c>
      <c r="O585" t="s">
        <v>3056</v>
      </c>
      <c r="P585" t="s">
        <v>3564</v>
      </c>
      <c r="Q585">
        <v>0.21970000000000001</v>
      </c>
    </row>
    <row r="586" spans="1:17" x14ac:dyDescent="0.35">
      <c r="A586" t="s">
        <v>594</v>
      </c>
      <c r="B586" t="s">
        <v>2083</v>
      </c>
      <c r="C586">
        <v>28</v>
      </c>
      <c r="D586" t="s">
        <v>2990</v>
      </c>
      <c r="E586" t="s">
        <v>3001</v>
      </c>
      <c r="F586" t="s">
        <v>3020</v>
      </c>
      <c r="G586">
        <v>18</v>
      </c>
      <c r="H586">
        <v>453349</v>
      </c>
      <c r="I586">
        <v>793952</v>
      </c>
      <c r="J586">
        <v>14.24</v>
      </c>
      <c r="K586">
        <v>36</v>
      </c>
      <c r="L586" t="s">
        <v>3050</v>
      </c>
      <c r="M586">
        <v>835</v>
      </c>
      <c r="N586">
        <v>6</v>
      </c>
      <c r="O586" t="s">
        <v>3054</v>
      </c>
      <c r="P586" t="s">
        <v>3565</v>
      </c>
      <c r="Q586">
        <v>1.7513000000000001</v>
      </c>
    </row>
    <row r="587" spans="1:17" x14ac:dyDescent="0.35">
      <c r="A587" t="s">
        <v>595</v>
      </c>
      <c r="B587" t="s">
        <v>2084</v>
      </c>
      <c r="C587">
        <v>25</v>
      </c>
      <c r="D587" t="s">
        <v>2990</v>
      </c>
      <c r="E587" t="s">
        <v>2998</v>
      </c>
      <c r="F587" t="s">
        <v>3020</v>
      </c>
      <c r="G587">
        <v>28</v>
      </c>
      <c r="H587">
        <v>1747628</v>
      </c>
      <c r="I587">
        <v>696296</v>
      </c>
      <c r="J587">
        <v>12.53</v>
      </c>
      <c r="K587">
        <v>36</v>
      </c>
      <c r="L587" t="s">
        <v>3051</v>
      </c>
      <c r="M587">
        <v>476</v>
      </c>
      <c r="N587">
        <v>0</v>
      </c>
      <c r="O587" t="s">
        <v>3054</v>
      </c>
      <c r="P587" t="s">
        <v>3566</v>
      </c>
      <c r="Q587">
        <v>0.39839999999999998</v>
      </c>
    </row>
    <row r="588" spans="1:17" x14ac:dyDescent="0.35">
      <c r="A588" t="s">
        <v>596</v>
      </c>
      <c r="B588" t="s">
        <v>2085</v>
      </c>
      <c r="C588">
        <v>32</v>
      </c>
      <c r="E588" t="s">
        <v>3006</v>
      </c>
      <c r="F588" t="s">
        <v>3018</v>
      </c>
      <c r="G588">
        <v>23</v>
      </c>
      <c r="H588">
        <v>842784</v>
      </c>
      <c r="I588">
        <v>793422</v>
      </c>
      <c r="J588">
        <v>22.78</v>
      </c>
      <c r="K588">
        <v>48</v>
      </c>
      <c r="L588" t="s">
        <v>3046</v>
      </c>
      <c r="M588">
        <v>439</v>
      </c>
      <c r="N588">
        <v>1</v>
      </c>
      <c r="O588" t="s">
        <v>3055</v>
      </c>
      <c r="P588" t="s">
        <v>3567</v>
      </c>
      <c r="Q588">
        <v>0.94140000000000001</v>
      </c>
    </row>
    <row r="589" spans="1:17" x14ac:dyDescent="0.35">
      <c r="A589" t="s">
        <v>597</v>
      </c>
      <c r="B589" t="s">
        <v>2086</v>
      </c>
      <c r="C589">
        <v>31</v>
      </c>
      <c r="D589" t="s">
        <v>2992</v>
      </c>
      <c r="E589" t="s">
        <v>3002</v>
      </c>
      <c r="F589" t="s">
        <v>3021</v>
      </c>
      <c r="G589">
        <v>16</v>
      </c>
      <c r="H589">
        <v>2138637</v>
      </c>
      <c r="I589">
        <v>461048</v>
      </c>
      <c r="J589">
        <v>15.18</v>
      </c>
      <c r="K589">
        <v>48</v>
      </c>
      <c r="L589" t="s">
        <v>3047</v>
      </c>
      <c r="M589">
        <v>788</v>
      </c>
      <c r="N589">
        <v>0</v>
      </c>
      <c r="O589" t="s">
        <v>3052</v>
      </c>
      <c r="P589" t="s">
        <v>3187</v>
      </c>
      <c r="Q589">
        <v>0.21560000000000001</v>
      </c>
    </row>
    <row r="590" spans="1:17" x14ac:dyDescent="0.35">
      <c r="A590" t="s">
        <v>598</v>
      </c>
      <c r="B590" t="s">
        <v>2087</v>
      </c>
      <c r="C590">
        <v>37</v>
      </c>
      <c r="D590" t="s">
        <v>2992</v>
      </c>
      <c r="E590" t="s">
        <v>3000</v>
      </c>
      <c r="F590" t="s">
        <v>3021</v>
      </c>
      <c r="G590">
        <v>12</v>
      </c>
      <c r="H590">
        <v>1162599</v>
      </c>
      <c r="I590">
        <v>309730</v>
      </c>
      <c r="J590">
        <v>9.5399999999999991</v>
      </c>
      <c r="K590">
        <v>24</v>
      </c>
      <c r="L590" t="s">
        <v>3048</v>
      </c>
      <c r="M590">
        <v>704</v>
      </c>
      <c r="N590">
        <v>1</v>
      </c>
      <c r="O590" t="s">
        <v>3053</v>
      </c>
      <c r="P590" t="s">
        <v>3568</v>
      </c>
      <c r="Q590">
        <v>0.26640000000000003</v>
      </c>
    </row>
    <row r="591" spans="1:17" x14ac:dyDescent="0.35">
      <c r="A591" t="s">
        <v>599</v>
      </c>
      <c r="B591" t="s">
        <v>2088</v>
      </c>
      <c r="C591">
        <v>28</v>
      </c>
      <c r="D591" t="s">
        <v>2990</v>
      </c>
      <c r="E591" t="s">
        <v>3002</v>
      </c>
      <c r="F591" t="s">
        <v>3021</v>
      </c>
      <c r="G591">
        <v>19</v>
      </c>
      <c r="H591">
        <v>774305</v>
      </c>
      <c r="I591">
        <v>167595</v>
      </c>
      <c r="J591">
        <v>13.02</v>
      </c>
      <c r="K591">
        <v>12</v>
      </c>
      <c r="L591" t="s">
        <v>3047</v>
      </c>
      <c r="M591">
        <v>569</v>
      </c>
      <c r="N591">
        <v>7</v>
      </c>
      <c r="O591" t="s">
        <v>3063</v>
      </c>
      <c r="P591" t="s">
        <v>3569</v>
      </c>
      <c r="Q591">
        <v>0.21640000000000001</v>
      </c>
    </row>
    <row r="592" spans="1:17" x14ac:dyDescent="0.35">
      <c r="A592" t="s">
        <v>600</v>
      </c>
      <c r="B592" t="s">
        <v>2089</v>
      </c>
      <c r="C592">
        <v>48</v>
      </c>
      <c r="D592" t="s">
        <v>2992</v>
      </c>
      <c r="E592" t="s">
        <v>2998</v>
      </c>
      <c r="F592" t="s">
        <v>3020</v>
      </c>
      <c r="G592">
        <v>21</v>
      </c>
      <c r="H592">
        <v>643001</v>
      </c>
      <c r="I592">
        <v>143099</v>
      </c>
      <c r="J592">
        <v>9.09</v>
      </c>
      <c r="K592">
        <v>48</v>
      </c>
      <c r="L592" t="s">
        <v>3048</v>
      </c>
      <c r="M592">
        <v>311</v>
      </c>
      <c r="N592">
        <v>1</v>
      </c>
      <c r="O592" t="s">
        <v>3053</v>
      </c>
      <c r="P592" t="s">
        <v>3570</v>
      </c>
      <c r="Q592">
        <v>0.2225</v>
      </c>
    </row>
    <row r="593" spans="1:17" x14ac:dyDescent="0.35">
      <c r="A593" t="s">
        <v>601</v>
      </c>
      <c r="B593" t="s">
        <v>2090</v>
      </c>
      <c r="C593">
        <v>64</v>
      </c>
      <c r="D593" t="s">
        <v>2990</v>
      </c>
      <c r="E593" t="s">
        <v>3002</v>
      </c>
      <c r="F593" t="s">
        <v>3018</v>
      </c>
      <c r="G593">
        <v>8</v>
      </c>
      <c r="H593">
        <v>1248199</v>
      </c>
      <c r="I593">
        <v>665822</v>
      </c>
      <c r="J593">
        <v>12.99</v>
      </c>
      <c r="K593">
        <v>24</v>
      </c>
      <c r="L593" t="s">
        <v>3047</v>
      </c>
      <c r="M593">
        <v>622</v>
      </c>
      <c r="N593">
        <v>7</v>
      </c>
      <c r="O593" t="s">
        <v>3056</v>
      </c>
      <c r="P593" t="s">
        <v>3571</v>
      </c>
      <c r="Q593">
        <v>0.53339999999999999</v>
      </c>
    </row>
    <row r="594" spans="1:17" x14ac:dyDescent="0.35">
      <c r="A594" t="s">
        <v>602</v>
      </c>
      <c r="B594" t="s">
        <v>2091</v>
      </c>
      <c r="C594">
        <v>46</v>
      </c>
      <c r="D594" t="s">
        <v>2990</v>
      </c>
      <c r="E594" t="s">
        <v>3003</v>
      </c>
      <c r="F594" t="s">
        <v>3019</v>
      </c>
      <c r="G594">
        <v>22</v>
      </c>
      <c r="H594">
        <v>969352</v>
      </c>
      <c r="I594">
        <v>72428</v>
      </c>
      <c r="J594">
        <v>17.64</v>
      </c>
      <c r="K594">
        <v>24</v>
      </c>
      <c r="L594" t="s">
        <v>3047</v>
      </c>
      <c r="M594">
        <v>561</v>
      </c>
      <c r="N594">
        <v>4</v>
      </c>
      <c r="O594" t="s">
        <v>3055</v>
      </c>
      <c r="P594" t="s">
        <v>3572</v>
      </c>
      <c r="Q594">
        <v>7.4700000000000003E-2</v>
      </c>
    </row>
    <row r="595" spans="1:17" x14ac:dyDescent="0.35">
      <c r="A595" t="s">
        <v>305</v>
      </c>
      <c r="B595" t="s">
        <v>1795</v>
      </c>
      <c r="C595">
        <v>41</v>
      </c>
      <c r="E595" t="s">
        <v>3005</v>
      </c>
      <c r="F595" t="s">
        <v>3019</v>
      </c>
      <c r="G595">
        <v>11</v>
      </c>
      <c r="H595">
        <v>557539</v>
      </c>
      <c r="I595">
        <v>65475</v>
      </c>
      <c r="J595">
        <v>11.49</v>
      </c>
      <c r="K595">
        <v>60</v>
      </c>
      <c r="L595" t="s">
        <v>3050</v>
      </c>
      <c r="M595">
        <v>805</v>
      </c>
      <c r="N595">
        <v>0</v>
      </c>
      <c r="O595" t="s">
        <v>3055</v>
      </c>
      <c r="P595" t="s">
        <v>3507</v>
      </c>
      <c r="Q595">
        <v>0.1174</v>
      </c>
    </row>
    <row r="596" spans="1:17" x14ac:dyDescent="0.35">
      <c r="A596" t="s">
        <v>603</v>
      </c>
      <c r="B596" t="s">
        <v>2092</v>
      </c>
      <c r="C596">
        <v>21</v>
      </c>
      <c r="D596" t="s">
        <v>2994</v>
      </c>
      <c r="E596" t="s">
        <v>3006</v>
      </c>
      <c r="F596" t="s">
        <v>3021</v>
      </c>
      <c r="G596">
        <v>15</v>
      </c>
      <c r="H596">
        <v>1003346</v>
      </c>
      <c r="I596">
        <v>787876</v>
      </c>
      <c r="J596">
        <v>21.94</v>
      </c>
      <c r="K596">
        <v>24</v>
      </c>
      <c r="L596" t="s">
        <v>3049</v>
      </c>
      <c r="M596">
        <v>0</v>
      </c>
      <c r="N596">
        <v>3</v>
      </c>
      <c r="O596" t="s">
        <v>3052</v>
      </c>
      <c r="P596" t="s">
        <v>3573</v>
      </c>
      <c r="Q596">
        <v>0.78520000000000001</v>
      </c>
    </row>
    <row r="597" spans="1:17" x14ac:dyDescent="0.35">
      <c r="A597" t="s">
        <v>604</v>
      </c>
      <c r="B597" t="s">
        <v>2093</v>
      </c>
      <c r="C597">
        <v>28</v>
      </c>
      <c r="D597" t="s">
        <v>2992</v>
      </c>
      <c r="E597" t="s">
        <v>2998</v>
      </c>
      <c r="F597" t="s">
        <v>3021</v>
      </c>
      <c r="G597">
        <v>14</v>
      </c>
      <c r="H597">
        <v>668972</v>
      </c>
      <c r="I597">
        <v>697800</v>
      </c>
      <c r="J597">
        <v>27.99</v>
      </c>
      <c r="K597">
        <v>48</v>
      </c>
      <c r="L597" t="s">
        <v>3047</v>
      </c>
      <c r="M597">
        <v>420</v>
      </c>
      <c r="N597">
        <v>2</v>
      </c>
      <c r="O597" t="s">
        <v>3052</v>
      </c>
      <c r="P597" t="s">
        <v>3574</v>
      </c>
      <c r="Q597">
        <v>1.0430999999999999</v>
      </c>
    </row>
    <row r="598" spans="1:17" x14ac:dyDescent="0.35">
      <c r="A598" t="s">
        <v>605</v>
      </c>
      <c r="B598" t="s">
        <v>2094</v>
      </c>
      <c r="C598">
        <v>31</v>
      </c>
      <c r="D598" t="s">
        <v>2992</v>
      </c>
      <c r="E598" t="s">
        <v>3003</v>
      </c>
      <c r="F598" t="s">
        <v>3018</v>
      </c>
      <c r="G598">
        <v>25</v>
      </c>
      <c r="H598">
        <v>187461</v>
      </c>
      <c r="I598">
        <v>511006</v>
      </c>
      <c r="J598">
        <v>8.51</v>
      </c>
      <c r="K598">
        <v>24</v>
      </c>
      <c r="L598" t="s">
        <v>3046</v>
      </c>
      <c r="M598">
        <v>420</v>
      </c>
      <c r="N598">
        <v>3</v>
      </c>
      <c r="O598" t="s">
        <v>3056</v>
      </c>
      <c r="P598" t="s">
        <v>3564</v>
      </c>
      <c r="Q598">
        <v>2.7259000000000002</v>
      </c>
    </row>
    <row r="599" spans="1:17" x14ac:dyDescent="0.35">
      <c r="A599" t="s">
        <v>606</v>
      </c>
      <c r="B599" t="s">
        <v>2095</v>
      </c>
      <c r="C599">
        <v>60</v>
      </c>
      <c r="D599" t="s">
        <v>2992</v>
      </c>
      <c r="E599" t="s">
        <v>2999</v>
      </c>
      <c r="F599" t="s">
        <v>3020</v>
      </c>
      <c r="G599">
        <v>14</v>
      </c>
      <c r="H599">
        <v>1284002</v>
      </c>
      <c r="I599">
        <v>581693</v>
      </c>
      <c r="J599">
        <v>25.46</v>
      </c>
      <c r="K599">
        <v>24</v>
      </c>
      <c r="L599" t="s">
        <v>3047</v>
      </c>
      <c r="M599">
        <v>440</v>
      </c>
      <c r="N599">
        <v>1</v>
      </c>
      <c r="O599" t="s">
        <v>3054</v>
      </c>
      <c r="P599" t="s">
        <v>3575</v>
      </c>
      <c r="Q599">
        <v>0.45300000000000001</v>
      </c>
    </row>
    <row r="600" spans="1:17" x14ac:dyDescent="0.35">
      <c r="A600" t="s">
        <v>607</v>
      </c>
      <c r="B600" t="s">
        <v>2096</v>
      </c>
      <c r="C600">
        <v>21</v>
      </c>
      <c r="D600" t="s">
        <v>2990</v>
      </c>
      <c r="E600" t="s">
        <v>3004</v>
      </c>
      <c r="F600" t="s">
        <v>3018</v>
      </c>
      <c r="G600">
        <v>2</v>
      </c>
      <c r="H600">
        <v>667689</v>
      </c>
      <c r="I600">
        <v>649698</v>
      </c>
      <c r="J600">
        <v>14.3</v>
      </c>
      <c r="K600">
        <v>36</v>
      </c>
      <c r="L600" t="s">
        <v>3050</v>
      </c>
      <c r="M600">
        <v>405</v>
      </c>
      <c r="N600">
        <v>7</v>
      </c>
      <c r="O600" t="s">
        <v>3052</v>
      </c>
      <c r="P600" t="s">
        <v>3576</v>
      </c>
      <c r="Q600">
        <v>0.97309999999999997</v>
      </c>
    </row>
    <row r="601" spans="1:17" x14ac:dyDescent="0.35">
      <c r="A601" t="s">
        <v>608</v>
      </c>
      <c r="B601" t="s">
        <v>2097</v>
      </c>
      <c r="C601">
        <v>25</v>
      </c>
      <c r="D601" t="s">
        <v>2992</v>
      </c>
      <c r="E601" t="s">
        <v>3003</v>
      </c>
      <c r="F601" t="s">
        <v>3021</v>
      </c>
      <c r="G601">
        <v>7</v>
      </c>
      <c r="H601">
        <v>2253290</v>
      </c>
      <c r="I601">
        <v>415204</v>
      </c>
      <c r="J601">
        <v>15.93</v>
      </c>
      <c r="K601">
        <v>48</v>
      </c>
      <c r="L601" t="s">
        <v>3048</v>
      </c>
      <c r="M601">
        <v>709</v>
      </c>
      <c r="N601">
        <v>2</v>
      </c>
      <c r="O601" t="s">
        <v>3056</v>
      </c>
      <c r="P601" t="s">
        <v>3577</v>
      </c>
      <c r="Q601">
        <v>0.18429999999999999</v>
      </c>
    </row>
    <row r="602" spans="1:17" x14ac:dyDescent="0.35">
      <c r="A602" t="s">
        <v>609</v>
      </c>
      <c r="B602" t="s">
        <v>2098</v>
      </c>
      <c r="C602">
        <v>34</v>
      </c>
      <c r="D602" t="s">
        <v>2992</v>
      </c>
      <c r="E602" t="s">
        <v>3000</v>
      </c>
      <c r="F602" t="s">
        <v>3021</v>
      </c>
      <c r="G602">
        <v>9</v>
      </c>
      <c r="H602">
        <v>1926621</v>
      </c>
      <c r="I602">
        <v>408518</v>
      </c>
      <c r="J602">
        <v>8.26</v>
      </c>
      <c r="K602">
        <v>24</v>
      </c>
      <c r="L602" t="s">
        <v>3048</v>
      </c>
      <c r="M602">
        <v>668</v>
      </c>
      <c r="N602">
        <v>1</v>
      </c>
      <c r="O602" t="s">
        <v>3056</v>
      </c>
      <c r="P602" t="s">
        <v>3578</v>
      </c>
      <c r="Q602">
        <v>0.21199999999999999</v>
      </c>
    </row>
    <row r="603" spans="1:17" x14ac:dyDescent="0.35">
      <c r="A603" t="s">
        <v>610</v>
      </c>
      <c r="B603" t="s">
        <v>2099</v>
      </c>
      <c r="C603">
        <v>22</v>
      </c>
      <c r="D603" t="s">
        <v>2992</v>
      </c>
      <c r="E603" t="s">
        <v>3001</v>
      </c>
      <c r="F603" t="s">
        <v>3019</v>
      </c>
      <c r="G603">
        <v>4</v>
      </c>
      <c r="I603">
        <v>268552</v>
      </c>
      <c r="J603">
        <v>22.78</v>
      </c>
      <c r="K603">
        <v>24</v>
      </c>
      <c r="L603" t="s">
        <v>3049</v>
      </c>
      <c r="M603">
        <v>333</v>
      </c>
      <c r="N603">
        <v>4</v>
      </c>
      <c r="O603" t="s">
        <v>3057</v>
      </c>
      <c r="P603" t="s">
        <v>3579</v>
      </c>
      <c r="Q603">
        <v>0.52969999999999995</v>
      </c>
    </row>
    <row r="604" spans="1:17" x14ac:dyDescent="0.35">
      <c r="A604" t="s">
        <v>611</v>
      </c>
      <c r="B604" t="s">
        <v>2100</v>
      </c>
      <c r="C604">
        <v>23</v>
      </c>
      <c r="D604" t="s">
        <v>2992</v>
      </c>
      <c r="E604" t="s">
        <v>3004</v>
      </c>
      <c r="F604" t="s">
        <v>3018</v>
      </c>
      <c r="G604">
        <v>22</v>
      </c>
      <c r="I604">
        <v>351356</v>
      </c>
      <c r="J604">
        <v>19.32</v>
      </c>
      <c r="K604">
        <v>60</v>
      </c>
      <c r="L604" t="s">
        <v>3050</v>
      </c>
      <c r="M604">
        <v>322</v>
      </c>
      <c r="N604">
        <v>3</v>
      </c>
      <c r="O604" t="s">
        <v>3052</v>
      </c>
      <c r="P604" t="s">
        <v>3580</v>
      </c>
      <c r="Q604">
        <v>0.27310000000000001</v>
      </c>
    </row>
    <row r="605" spans="1:17" x14ac:dyDescent="0.35">
      <c r="A605" t="s">
        <v>612</v>
      </c>
      <c r="B605" t="s">
        <v>2101</v>
      </c>
      <c r="C605">
        <v>63</v>
      </c>
      <c r="D605" t="s">
        <v>2990</v>
      </c>
      <c r="E605" t="s">
        <v>3004</v>
      </c>
      <c r="F605" t="s">
        <v>3019</v>
      </c>
      <c r="G605">
        <v>7</v>
      </c>
      <c r="H605">
        <v>213691</v>
      </c>
      <c r="I605">
        <v>417650</v>
      </c>
      <c r="J605">
        <v>25.17</v>
      </c>
      <c r="K605">
        <v>48</v>
      </c>
      <c r="L605" t="s">
        <v>3049</v>
      </c>
      <c r="M605">
        <v>694</v>
      </c>
      <c r="N605">
        <v>4</v>
      </c>
      <c r="O605" t="s">
        <v>3057</v>
      </c>
      <c r="P605" t="s">
        <v>3581</v>
      </c>
      <c r="Q605">
        <v>1.9544999999999999</v>
      </c>
    </row>
    <row r="606" spans="1:17" x14ac:dyDescent="0.35">
      <c r="A606" t="s">
        <v>613</v>
      </c>
      <c r="B606" t="s">
        <v>2102</v>
      </c>
      <c r="C606">
        <v>58</v>
      </c>
      <c r="D606" t="s">
        <v>2992</v>
      </c>
      <c r="E606" t="s">
        <v>3001</v>
      </c>
      <c r="F606" t="s">
        <v>3018</v>
      </c>
      <c r="G606">
        <v>20</v>
      </c>
      <c r="H606">
        <v>768158</v>
      </c>
      <c r="I606">
        <v>251324</v>
      </c>
      <c r="J606">
        <v>27.31</v>
      </c>
      <c r="K606">
        <v>48</v>
      </c>
      <c r="L606" t="s">
        <v>3050</v>
      </c>
      <c r="M606">
        <v>539</v>
      </c>
      <c r="N606">
        <v>7</v>
      </c>
      <c r="O606" t="s">
        <v>3056</v>
      </c>
      <c r="P606" t="s">
        <v>3439</v>
      </c>
      <c r="Q606">
        <v>0.32719999999999999</v>
      </c>
    </row>
    <row r="607" spans="1:17" x14ac:dyDescent="0.35">
      <c r="A607" t="s">
        <v>614</v>
      </c>
      <c r="B607" t="s">
        <v>2103</v>
      </c>
      <c r="C607">
        <v>38</v>
      </c>
      <c r="D607" t="s">
        <v>2992</v>
      </c>
      <c r="E607" t="s">
        <v>2998</v>
      </c>
      <c r="F607" t="s">
        <v>3021</v>
      </c>
      <c r="G607">
        <v>7</v>
      </c>
      <c r="H607">
        <v>503390</v>
      </c>
      <c r="I607">
        <v>516043</v>
      </c>
      <c r="J607">
        <v>18.03</v>
      </c>
      <c r="K607">
        <v>12</v>
      </c>
      <c r="L607" t="s">
        <v>3049</v>
      </c>
      <c r="M607">
        <v>516</v>
      </c>
      <c r="N607">
        <v>7</v>
      </c>
      <c r="O607" t="s">
        <v>3055</v>
      </c>
      <c r="P607" t="s">
        <v>3408</v>
      </c>
      <c r="Q607">
        <v>1.0250999999999999</v>
      </c>
    </row>
    <row r="608" spans="1:17" x14ac:dyDescent="0.35">
      <c r="A608" t="s">
        <v>615</v>
      </c>
      <c r="B608" t="s">
        <v>2104</v>
      </c>
      <c r="C608">
        <v>53</v>
      </c>
      <c r="D608" t="s">
        <v>2990</v>
      </c>
      <c r="E608" t="s">
        <v>2999</v>
      </c>
      <c r="F608" t="s">
        <v>3018</v>
      </c>
      <c r="G608">
        <v>8</v>
      </c>
      <c r="H608">
        <v>1796596</v>
      </c>
      <c r="I608">
        <v>714119</v>
      </c>
      <c r="J608">
        <v>20.09</v>
      </c>
      <c r="K608">
        <v>60</v>
      </c>
      <c r="L608" t="s">
        <v>3049</v>
      </c>
      <c r="M608">
        <v>363</v>
      </c>
      <c r="N608">
        <v>6</v>
      </c>
      <c r="O608" t="s">
        <v>3057</v>
      </c>
      <c r="P608" t="s">
        <v>3582</v>
      </c>
      <c r="Q608">
        <v>0.39750000000000002</v>
      </c>
    </row>
    <row r="609" spans="1:17" x14ac:dyDescent="0.35">
      <c r="A609" t="s">
        <v>616</v>
      </c>
      <c r="B609" t="s">
        <v>2105</v>
      </c>
      <c r="C609">
        <v>56</v>
      </c>
      <c r="D609" t="s">
        <v>2992</v>
      </c>
      <c r="E609" t="s">
        <v>3000</v>
      </c>
      <c r="F609" t="s">
        <v>3019</v>
      </c>
      <c r="G609">
        <v>21</v>
      </c>
      <c r="H609">
        <v>318563</v>
      </c>
      <c r="I609">
        <v>111218</v>
      </c>
      <c r="J609">
        <v>24.78</v>
      </c>
      <c r="K609">
        <v>24</v>
      </c>
      <c r="L609" t="s">
        <v>3048</v>
      </c>
      <c r="M609">
        <v>517</v>
      </c>
      <c r="N609">
        <v>1</v>
      </c>
      <c r="O609" t="s">
        <v>3053</v>
      </c>
      <c r="P609" t="s">
        <v>3583</v>
      </c>
      <c r="Q609">
        <v>0.34910000000000002</v>
      </c>
    </row>
    <row r="610" spans="1:17" x14ac:dyDescent="0.35">
      <c r="A610" t="s">
        <v>617</v>
      </c>
      <c r="B610" t="s">
        <v>2106</v>
      </c>
      <c r="C610">
        <v>50</v>
      </c>
      <c r="D610" t="s">
        <v>2992</v>
      </c>
      <c r="E610" t="s">
        <v>3010</v>
      </c>
      <c r="F610" t="s">
        <v>3019</v>
      </c>
      <c r="G610">
        <v>16</v>
      </c>
      <c r="H610">
        <v>1798702</v>
      </c>
      <c r="I610">
        <v>416210</v>
      </c>
      <c r="J610">
        <v>19.97</v>
      </c>
      <c r="K610">
        <v>24</v>
      </c>
      <c r="L610" t="s">
        <v>3047</v>
      </c>
      <c r="M610">
        <v>360</v>
      </c>
      <c r="N610">
        <v>0</v>
      </c>
      <c r="O610" t="s">
        <v>3054</v>
      </c>
      <c r="P610" t="s">
        <v>3568</v>
      </c>
      <c r="Q610">
        <v>0.23139999999999999</v>
      </c>
    </row>
    <row r="611" spans="1:17" x14ac:dyDescent="0.35">
      <c r="A611" t="s">
        <v>618</v>
      </c>
      <c r="B611" t="s">
        <v>2107</v>
      </c>
      <c r="C611">
        <v>40</v>
      </c>
      <c r="D611" t="s">
        <v>2992</v>
      </c>
      <c r="E611" t="s">
        <v>3006</v>
      </c>
      <c r="F611" t="s">
        <v>3020</v>
      </c>
      <c r="G611">
        <v>13</v>
      </c>
      <c r="H611">
        <v>1559390</v>
      </c>
      <c r="I611">
        <v>149744</v>
      </c>
      <c r="J611">
        <v>17.68</v>
      </c>
      <c r="K611">
        <v>24</v>
      </c>
      <c r="L611" t="s">
        <v>3050</v>
      </c>
      <c r="M611">
        <v>517</v>
      </c>
      <c r="N611">
        <v>2</v>
      </c>
      <c r="O611" t="s">
        <v>3055</v>
      </c>
      <c r="P611" t="s">
        <v>3584</v>
      </c>
      <c r="Q611">
        <v>9.6000000000000002E-2</v>
      </c>
    </row>
    <row r="612" spans="1:17" x14ac:dyDescent="0.35">
      <c r="A612" t="s">
        <v>619</v>
      </c>
      <c r="B612" t="s">
        <v>2108</v>
      </c>
      <c r="C612">
        <v>26</v>
      </c>
      <c r="D612" t="s">
        <v>2990</v>
      </c>
      <c r="E612" t="s">
        <v>3007</v>
      </c>
      <c r="F612" t="s">
        <v>3018</v>
      </c>
      <c r="G612">
        <v>28</v>
      </c>
      <c r="H612">
        <v>468963</v>
      </c>
      <c r="I612">
        <v>324359</v>
      </c>
      <c r="J612">
        <v>9.07</v>
      </c>
      <c r="K612">
        <v>36</v>
      </c>
      <c r="L612" t="s">
        <v>3049</v>
      </c>
      <c r="M612">
        <v>438</v>
      </c>
      <c r="N612">
        <v>2</v>
      </c>
      <c r="O612" t="s">
        <v>3053</v>
      </c>
      <c r="P612" t="s">
        <v>3075</v>
      </c>
      <c r="Q612">
        <v>0.69169999999999998</v>
      </c>
    </row>
    <row r="613" spans="1:17" x14ac:dyDescent="0.35">
      <c r="A613" t="s">
        <v>620</v>
      </c>
      <c r="B613" t="s">
        <v>2109</v>
      </c>
      <c r="C613">
        <v>43</v>
      </c>
      <c r="D613" t="s">
        <v>2990</v>
      </c>
      <c r="E613" t="s">
        <v>3003</v>
      </c>
      <c r="F613" t="s">
        <v>3021</v>
      </c>
      <c r="G613">
        <v>14</v>
      </c>
      <c r="H613">
        <v>1208400</v>
      </c>
      <c r="I613">
        <v>432918</v>
      </c>
      <c r="J613">
        <v>15.49</v>
      </c>
      <c r="K613">
        <v>36</v>
      </c>
      <c r="L613" t="s">
        <v>3051</v>
      </c>
      <c r="M613">
        <v>469</v>
      </c>
      <c r="N613">
        <v>5</v>
      </c>
      <c r="O613" t="s">
        <v>3055</v>
      </c>
      <c r="P613" t="s">
        <v>3585</v>
      </c>
      <c r="Q613">
        <v>0.35830000000000001</v>
      </c>
    </row>
    <row r="614" spans="1:17" x14ac:dyDescent="0.35">
      <c r="A614" t="s">
        <v>621</v>
      </c>
      <c r="B614" t="s">
        <v>2110</v>
      </c>
      <c r="C614">
        <v>44</v>
      </c>
      <c r="E614" t="s">
        <v>2999</v>
      </c>
      <c r="F614" t="s">
        <v>3019</v>
      </c>
      <c r="G614">
        <v>8</v>
      </c>
      <c r="H614">
        <v>1525766</v>
      </c>
      <c r="I614">
        <v>576718</v>
      </c>
      <c r="J614">
        <v>10.119999999999999</v>
      </c>
      <c r="K614">
        <v>12</v>
      </c>
      <c r="L614" t="s">
        <v>3048</v>
      </c>
      <c r="M614">
        <v>826</v>
      </c>
      <c r="N614">
        <v>5</v>
      </c>
      <c r="O614" t="s">
        <v>3052</v>
      </c>
      <c r="P614" t="s">
        <v>3586</v>
      </c>
      <c r="Q614">
        <v>0.378</v>
      </c>
    </row>
    <row r="615" spans="1:17" x14ac:dyDescent="0.35">
      <c r="A615" t="s">
        <v>622</v>
      </c>
      <c r="B615" t="s">
        <v>2111</v>
      </c>
      <c r="C615">
        <v>23</v>
      </c>
      <c r="D615" t="s">
        <v>2992</v>
      </c>
      <c r="E615" t="s">
        <v>3001</v>
      </c>
      <c r="F615" t="s">
        <v>3020</v>
      </c>
      <c r="G615">
        <v>12</v>
      </c>
      <c r="H615">
        <v>1084850</v>
      </c>
      <c r="I615">
        <v>22775</v>
      </c>
      <c r="J615">
        <v>23.39</v>
      </c>
      <c r="K615">
        <v>24</v>
      </c>
      <c r="L615" t="s">
        <v>3050</v>
      </c>
      <c r="M615">
        <v>816</v>
      </c>
      <c r="N615">
        <v>3</v>
      </c>
      <c r="O615" t="s">
        <v>3055</v>
      </c>
      <c r="P615" t="s">
        <v>3587</v>
      </c>
      <c r="Q615">
        <v>2.1000000000000001E-2</v>
      </c>
    </row>
    <row r="616" spans="1:17" x14ac:dyDescent="0.35">
      <c r="A616" t="s">
        <v>623</v>
      </c>
      <c r="B616" t="s">
        <v>2112</v>
      </c>
      <c r="C616">
        <v>54</v>
      </c>
      <c r="D616" t="s">
        <v>2990</v>
      </c>
      <c r="E616" t="s">
        <v>3002</v>
      </c>
      <c r="F616" t="s">
        <v>3021</v>
      </c>
      <c r="G616">
        <v>13</v>
      </c>
      <c r="H616">
        <v>1424289</v>
      </c>
      <c r="I616">
        <v>648380</v>
      </c>
      <c r="J616">
        <v>25.44</v>
      </c>
      <c r="K616">
        <v>36</v>
      </c>
      <c r="L616" t="s">
        <v>3048</v>
      </c>
      <c r="M616">
        <v>735</v>
      </c>
      <c r="N616">
        <v>4</v>
      </c>
      <c r="O616" t="s">
        <v>3057</v>
      </c>
      <c r="P616" t="s">
        <v>3571</v>
      </c>
      <c r="Q616">
        <v>0.45519999999999999</v>
      </c>
    </row>
    <row r="617" spans="1:17" x14ac:dyDescent="0.35">
      <c r="A617" t="s">
        <v>624</v>
      </c>
      <c r="B617" t="s">
        <v>2113</v>
      </c>
      <c r="C617">
        <v>52</v>
      </c>
      <c r="D617" t="s">
        <v>2990</v>
      </c>
      <c r="E617" t="s">
        <v>3004</v>
      </c>
      <c r="F617" t="s">
        <v>3020</v>
      </c>
      <c r="G617">
        <v>10</v>
      </c>
      <c r="H617">
        <v>1276413</v>
      </c>
      <c r="I617">
        <v>562423</v>
      </c>
      <c r="J617">
        <v>17.420000000000002</v>
      </c>
      <c r="K617">
        <v>48</v>
      </c>
      <c r="L617" t="s">
        <v>3049</v>
      </c>
      <c r="N617">
        <v>3</v>
      </c>
      <c r="O617" t="s">
        <v>3053</v>
      </c>
      <c r="P617" t="s">
        <v>3588</v>
      </c>
      <c r="Q617">
        <v>0.44059999999999999</v>
      </c>
    </row>
    <row r="618" spans="1:17" x14ac:dyDescent="0.35">
      <c r="A618" t="s">
        <v>625</v>
      </c>
      <c r="B618" t="s">
        <v>2114</v>
      </c>
      <c r="C618">
        <v>33</v>
      </c>
      <c r="D618" t="s">
        <v>2992</v>
      </c>
      <c r="E618" t="s">
        <v>3006</v>
      </c>
      <c r="F618" t="s">
        <v>3020</v>
      </c>
      <c r="G618">
        <v>2</v>
      </c>
      <c r="H618">
        <v>371703</v>
      </c>
      <c r="I618">
        <v>712485</v>
      </c>
      <c r="J618">
        <v>27.75</v>
      </c>
      <c r="K618">
        <v>24</v>
      </c>
      <c r="L618" t="s">
        <v>3047</v>
      </c>
      <c r="M618">
        <v>655</v>
      </c>
      <c r="N618">
        <v>4</v>
      </c>
      <c r="O618" t="s">
        <v>3057</v>
      </c>
      <c r="P618" t="s">
        <v>3589</v>
      </c>
      <c r="Q618">
        <v>1.9168000000000001</v>
      </c>
    </row>
    <row r="619" spans="1:17" x14ac:dyDescent="0.35">
      <c r="A619" t="s">
        <v>626</v>
      </c>
      <c r="B619" t="s">
        <v>2115</v>
      </c>
      <c r="C619">
        <v>42</v>
      </c>
      <c r="D619" t="s">
        <v>2990</v>
      </c>
      <c r="E619" t="s">
        <v>3006</v>
      </c>
      <c r="F619" t="s">
        <v>3018</v>
      </c>
      <c r="G619">
        <v>29</v>
      </c>
      <c r="H619">
        <v>1379670</v>
      </c>
      <c r="I619">
        <v>764199</v>
      </c>
      <c r="J619">
        <v>19.55</v>
      </c>
      <c r="K619">
        <v>48</v>
      </c>
      <c r="L619" t="s">
        <v>3051</v>
      </c>
      <c r="M619">
        <v>678</v>
      </c>
      <c r="N619">
        <v>5</v>
      </c>
      <c r="O619" t="s">
        <v>3054</v>
      </c>
      <c r="P619" t="s">
        <v>3590</v>
      </c>
      <c r="Q619">
        <v>0.55389999999999995</v>
      </c>
    </row>
    <row r="620" spans="1:17" x14ac:dyDescent="0.35">
      <c r="A620" t="s">
        <v>627</v>
      </c>
      <c r="B620" t="s">
        <v>2116</v>
      </c>
      <c r="C620">
        <v>61</v>
      </c>
      <c r="D620" t="s">
        <v>2992</v>
      </c>
      <c r="E620" t="s">
        <v>3005</v>
      </c>
      <c r="F620" t="s">
        <v>3018</v>
      </c>
      <c r="G620">
        <v>26</v>
      </c>
      <c r="H620">
        <v>2311018</v>
      </c>
      <c r="I620">
        <v>623986</v>
      </c>
      <c r="J620">
        <v>21.58</v>
      </c>
      <c r="K620">
        <v>36</v>
      </c>
      <c r="L620" t="s">
        <v>3047</v>
      </c>
      <c r="M620">
        <v>732</v>
      </c>
      <c r="N620">
        <v>7</v>
      </c>
      <c r="O620" t="s">
        <v>3055</v>
      </c>
      <c r="P620" t="s">
        <v>3591</v>
      </c>
      <c r="Q620">
        <v>0.27</v>
      </c>
    </row>
    <row r="621" spans="1:17" x14ac:dyDescent="0.35">
      <c r="A621" t="s">
        <v>628</v>
      </c>
      <c r="B621" t="s">
        <v>2117</v>
      </c>
      <c r="C621">
        <v>59</v>
      </c>
      <c r="D621" t="s">
        <v>2992</v>
      </c>
      <c r="E621" t="s">
        <v>3003</v>
      </c>
      <c r="F621" t="s">
        <v>3020</v>
      </c>
      <c r="G621">
        <v>27</v>
      </c>
      <c r="H621">
        <v>642785</v>
      </c>
      <c r="I621">
        <v>744479</v>
      </c>
      <c r="J621">
        <v>12.63</v>
      </c>
      <c r="K621">
        <v>48</v>
      </c>
      <c r="L621" t="s">
        <v>3049</v>
      </c>
      <c r="M621">
        <v>515</v>
      </c>
      <c r="N621">
        <v>0</v>
      </c>
      <c r="O621" t="s">
        <v>3053</v>
      </c>
      <c r="P621" t="s">
        <v>3165</v>
      </c>
      <c r="Q621">
        <v>1.1581999999999999</v>
      </c>
    </row>
    <row r="622" spans="1:17" x14ac:dyDescent="0.35">
      <c r="A622" t="s">
        <v>629</v>
      </c>
      <c r="B622" t="s">
        <v>2118</v>
      </c>
      <c r="C622">
        <v>64</v>
      </c>
      <c r="D622" t="s">
        <v>2992</v>
      </c>
      <c r="E622" t="s">
        <v>2998</v>
      </c>
      <c r="F622" t="s">
        <v>3021</v>
      </c>
      <c r="G622">
        <v>1</v>
      </c>
      <c r="H622">
        <v>1757222</v>
      </c>
      <c r="I622">
        <v>457100</v>
      </c>
      <c r="J622">
        <v>21.85</v>
      </c>
      <c r="K622">
        <v>12</v>
      </c>
      <c r="L622" t="s">
        <v>3050</v>
      </c>
      <c r="M622">
        <v>491</v>
      </c>
      <c r="N622">
        <v>6</v>
      </c>
      <c r="O622" t="s">
        <v>3054</v>
      </c>
      <c r="P622" t="s">
        <v>3592</v>
      </c>
      <c r="Q622">
        <v>0.2601</v>
      </c>
    </row>
    <row r="623" spans="1:17" x14ac:dyDescent="0.35">
      <c r="A623" t="s">
        <v>630</v>
      </c>
      <c r="B623" t="s">
        <v>2119</v>
      </c>
      <c r="C623">
        <v>63</v>
      </c>
      <c r="D623" t="s">
        <v>2992</v>
      </c>
      <c r="E623" t="s">
        <v>2998</v>
      </c>
      <c r="F623" t="s">
        <v>3018</v>
      </c>
      <c r="G623">
        <v>1</v>
      </c>
      <c r="H623">
        <v>1207557</v>
      </c>
      <c r="I623">
        <v>464975</v>
      </c>
      <c r="J623">
        <v>15.67</v>
      </c>
      <c r="K623">
        <v>12</v>
      </c>
      <c r="L623" t="s">
        <v>3046</v>
      </c>
      <c r="M623">
        <v>497</v>
      </c>
      <c r="N623">
        <v>4</v>
      </c>
      <c r="O623" t="s">
        <v>3052</v>
      </c>
      <c r="P623" t="s">
        <v>3593</v>
      </c>
      <c r="Q623">
        <v>0.3851</v>
      </c>
    </row>
    <row r="624" spans="1:17" x14ac:dyDescent="0.35">
      <c r="A624" t="s">
        <v>631</v>
      </c>
      <c r="B624" t="s">
        <v>2120</v>
      </c>
      <c r="C624">
        <v>27</v>
      </c>
      <c r="D624" t="s">
        <v>2992</v>
      </c>
      <c r="E624" t="s">
        <v>3004</v>
      </c>
      <c r="F624" t="s">
        <v>3018</v>
      </c>
      <c r="G624">
        <v>8</v>
      </c>
      <c r="H624">
        <v>1808094</v>
      </c>
      <c r="I624">
        <v>782371</v>
      </c>
      <c r="J624">
        <v>24.47</v>
      </c>
      <c r="K624">
        <v>12</v>
      </c>
      <c r="M624">
        <v>695</v>
      </c>
      <c r="N624">
        <v>1</v>
      </c>
      <c r="O624" t="s">
        <v>3057</v>
      </c>
      <c r="P624" t="s">
        <v>3239</v>
      </c>
      <c r="Q624">
        <v>0.43269999999999997</v>
      </c>
    </row>
    <row r="625" spans="1:17" x14ac:dyDescent="0.35">
      <c r="A625" t="s">
        <v>632</v>
      </c>
      <c r="B625" t="s">
        <v>2121</v>
      </c>
      <c r="C625">
        <v>23</v>
      </c>
      <c r="D625" t="s">
        <v>2990</v>
      </c>
      <c r="E625" t="s">
        <v>3002</v>
      </c>
      <c r="F625" t="s">
        <v>3020</v>
      </c>
      <c r="G625">
        <v>12</v>
      </c>
      <c r="H625">
        <v>1235675</v>
      </c>
      <c r="I625">
        <v>427472</v>
      </c>
      <c r="J625">
        <v>16.66</v>
      </c>
      <c r="K625">
        <v>24</v>
      </c>
      <c r="L625" t="s">
        <v>3049</v>
      </c>
      <c r="M625">
        <v>387</v>
      </c>
      <c r="N625">
        <v>0</v>
      </c>
      <c r="O625" t="s">
        <v>3052</v>
      </c>
      <c r="P625" t="s">
        <v>3064</v>
      </c>
      <c r="Q625">
        <v>0.34589999999999999</v>
      </c>
    </row>
    <row r="626" spans="1:17" x14ac:dyDescent="0.35">
      <c r="A626" t="s">
        <v>633</v>
      </c>
      <c r="B626" t="s">
        <v>2122</v>
      </c>
      <c r="C626">
        <v>53</v>
      </c>
      <c r="D626" t="s">
        <v>2992</v>
      </c>
      <c r="E626" t="s">
        <v>3004</v>
      </c>
      <c r="F626" t="s">
        <v>3021</v>
      </c>
      <c r="G626">
        <v>24</v>
      </c>
      <c r="H626">
        <v>1748560</v>
      </c>
      <c r="I626">
        <v>438184</v>
      </c>
      <c r="J626">
        <v>17.18</v>
      </c>
      <c r="K626">
        <v>60</v>
      </c>
      <c r="L626" t="s">
        <v>3050</v>
      </c>
      <c r="M626">
        <v>428</v>
      </c>
      <c r="N626">
        <v>2</v>
      </c>
      <c r="O626" t="s">
        <v>3052</v>
      </c>
      <c r="P626" t="s">
        <v>3594</v>
      </c>
      <c r="Q626">
        <v>0.25059999999999999</v>
      </c>
    </row>
    <row r="627" spans="1:17" x14ac:dyDescent="0.35">
      <c r="A627" t="s">
        <v>634</v>
      </c>
      <c r="B627" t="s">
        <v>2123</v>
      </c>
      <c r="C627">
        <v>35</v>
      </c>
      <c r="D627" t="s">
        <v>2992</v>
      </c>
      <c r="E627" t="s">
        <v>3000</v>
      </c>
      <c r="F627" t="s">
        <v>3018</v>
      </c>
      <c r="G627">
        <v>11</v>
      </c>
      <c r="H627">
        <v>1454634</v>
      </c>
      <c r="I627">
        <v>789305</v>
      </c>
      <c r="J627">
        <v>23.03</v>
      </c>
      <c r="K627">
        <v>12</v>
      </c>
      <c r="L627" t="s">
        <v>3046</v>
      </c>
      <c r="M627">
        <v>595</v>
      </c>
      <c r="N627">
        <v>1</v>
      </c>
      <c r="O627" t="s">
        <v>3054</v>
      </c>
      <c r="P627" t="s">
        <v>3595</v>
      </c>
      <c r="Q627">
        <v>0.54259999999999997</v>
      </c>
    </row>
    <row r="628" spans="1:17" x14ac:dyDescent="0.35">
      <c r="A628" t="s">
        <v>635</v>
      </c>
      <c r="B628" t="s">
        <v>2124</v>
      </c>
      <c r="C628">
        <v>32</v>
      </c>
      <c r="D628" t="s">
        <v>2992</v>
      </c>
      <c r="E628" t="s">
        <v>3005</v>
      </c>
      <c r="F628" t="s">
        <v>3021</v>
      </c>
      <c r="G628">
        <v>20</v>
      </c>
      <c r="H628">
        <v>1939980</v>
      </c>
      <c r="I628">
        <v>505833</v>
      </c>
      <c r="J628">
        <v>26.7</v>
      </c>
      <c r="K628">
        <v>48</v>
      </c>
      <c r="L628" t="s">
        <v>3050</v>
      </c>
      <c r="N628">
        <v>0</v>
      </c>
      <c r="O628" t="s">
        <v>3056</v>
      </c>
      <c r="P628" t="s">
        <v>3596</v>
      </c>
      <c r="Q628">
        <v>0.26069999999999999</v>
      </c>
    </row>
    <row r="629" spans="1:17" x14ac:dyDescent="0.35">
      <c r="A629" t="s">
        <v>636</v>
      </c>
      <c r="B629" t="s">
        <v>2125</v>
      </c>
      <c r="C629">
        <v>45</v>
      </c>
      <c r="D629" t="s">
        <v>2990</v>
      </c>
      <c r="E629" t="s">
        <v>2998</v>
      </c>
      <c r="F629" t="s">
        <v>3019</v>
      </c>
      <c r="G629">
        <v>9</v>
      </c>
      <c r="H629">
        <v>928736</v>
      </c>
      <c r="I629">
        <v>263877</v>
      </c>
      <c r="J629">
        <v>14.56</v>
      </c>
      <c r="K629">
        <v>12</v>
      </c>
      <c r="L629" t="s">
        <v>3049</v>
      </c>
      <c r="M629">
        <v>707</v>
      </c>
      <c r="N629">
        <v>4</v>
      </c>
      <c r="O629" t="s">
        <v>3056</v>
      </c>
      <c r="P629" t="s">
        <v>3597</v>
      </c>
      <c r="Q629">
        <v>0.28410000000000002</v>
      </c>
    </row>
    <row r="630" spans="1:17" x14ac:dyDescent="0.35">
      <c r="A630" t="s">
        <v>637</v>
      </c>
      <c r="B630" t="s">
        <v>2126</v>
      </c>
      <c r="C630">
        <v>60</v>
      </c>
      <c r="D630" t="s">
        <v>2990</v>
      </c>
      <c r="E630" t="s">
        <v>3004</v>
      </c>
      <c r="F630" t="s">
        <v>3019</v>
      </c>
      <c r="G630">
        <v>26</v>
      </c>
      <c r="H630">
        <v>1965559</v>
      </c>
      <c r="I630">
        <v>227139</v>
      </c>
      <c r="J630">
        <v>17.22</v>
      </c>
      <c r="K630">
        <v>36</v>
      </c>
      <c r="L630" t="s">
        <v>3048</v>
      </c>
      <c r="M630">
        <v>797</v>
      </c>
      <c r="N630">
        <v>4</v>
      </c>
      <c r="O630" t="s">
        <v>3052</v>
      </c>
      <c r="P630" t="s">
        <v>3598</v>
      </c>
      <c r="Q630">
        <v>0.11559999999999999</v>
      </c>
    </row>
    <row r="631" spans="1:17" x14ac:dyDescent="0.35">
      <c r="A631" t="s">
        <v>638</v>
      </c>
      <c r="B631" t="s">
        <v>2127</v>
      </c>
      <c r="C631">
        <v>62</v>
      </c>
      <c r="D631" t="s">
        <v>2990</v>
      </c>
      <c r="E631" t="s">
        <v>3004</v>
      </c>
      <c r="F631" t="s">
        <v>3021</v>
      </c>
      <c r="G631">
        <v>17</v>
      </c>
      <c r="H631">
        <v>425404</v>
      </c>
      <c r="I631">
        <v>732793</v>
      </c>
      <c r="J631">
        <v>14.78</v>
      </c>
      <c r="K631">
        <v>48</v>
      </c>
      <c r="L631" t="s">
        <v>3049</v>
      </c>
      <c r="M631">
        <v>502</v>
      </c>
      <c r="N631">
        <v>2</v>
      </c>
      <c r="O631" t="s">
        <v>3057</v>
      </c>
      <c r="P631" t="s">
        <v>3599</v>
      </c>
      <c r="Q631">
        <v>1.7225999999999999</v>
      </c>
    </row>
    <row r="632" spans="1:17" x14ac:dyDescent="0.35">
      <c r="A632" t="s">
        <v>639</v>
      </c>
      <c r="B632" t="s">
        <v>2128</v>
      </c>
      <c r="C632">
        <v>53</v>
      </c>
      <c r="D632" t="s">
        <v>2992</v>
      </c>
      <c r="E632" t="s">
        <v>3007</v>
      </c>
      <c r="F632" t="s">
        <v>3020</v>
      </c>
      <c r="G632">
        <v>7</v>
      </c>
      <c r="H632">
        <v>1100597</v>
      </c>
      <c r="I632">
        <v>407881</v>
      </c>
      <c r="J632">
        <v>21.36</v>
      </c>
      <c r="K632">
        <v>48</v>
      </c>
      <c r="L632" t="s">
        <v>3048</v>
      </c>
      <c r="M632">
        <v>429</v>
      </c>
      <c r="N632">
        <v>7</v>
      </c>
      <c r="O632" t="s">
        <v>3056</v>
      </c>
      <c r="P632" t="s">
        <v>3600</v>
      </c>
      <c r="Q632">
        <v>0.37059999999999998</v>
      </c>
    </row>
    <row r="633" spans="1:17" x14ac:dyDescent="0.35">
      <c r="A633" t="s">
        <v>640</v>
      </c>
      <c r="B633" t="s">
        <v>2129</v>
      </c>
      <c r="C633">
        <v>45</v>
      </c>
      <c r="D633" t="s">
        <v>2990</v>
      </c>
      <c r="E633" t="s">
        <v>3002</v>
      </c>
      <c r="F633" t="s">
        <v>3021</v>
      </c>
      <c r="G633">
        <v>14</v>
      </c>
      <c r="H633">
        <v>1171469</v>
      </c>
      <c r="I633">
        <v>149887</v>
      </c>
      <c r="J633">
        <v>19.57</v>
      </c>
      <c r="K633">
        <v>24</v>
      </c>
      <c r="L633" t="s">
        <v>3047</v>
      </c>
      <c r="M633">
        <v>826</v>
      </c>
      <c r="N633">
        <v>1</v>
      </c>
      <c r="O633" t="s">
        <v>3054</v>
      </c>
      <c r="P633" t="s">
        <v>3355</v>
      </c>
      <c r="Q633">
        <v>0.12790000000000001</v>
      </c>
    </row>
    <row r="634" spans="1:17" x14ac:dyDescent="0.35">
      <c r="A634" t="s">
        <v>641</v>
      </c>
      <c r="B634" t="s">
        <v>2130</v>
      </c>
      <c r="C634">
        <v>41</v>
      </c>
      <c r="D634" t="s">
        <v>2990</v>
      </c>
      <c r="E634" t="s">
        <v>3003</v>
      </c>
      <c r="G634">
        <v>29</v>
      </c>
      <c r="H634">
        <v>827296</v>
      </c>
      <c r="I634">
        <v>280220</v>
      </c>
      <c r="J634">
        <v>10.41</v>
      </c>
      <c r="K634">
        <v>48</v>
      </c>
      <c r="L634" t="s">
        <v>3046</v>
      </c>
      <c r="M634">
        <v>412</v>
      </c>
      <c r="N634">
        <v>7</v>
      </c>
      <c r="O634" t="s">
        <v>3057</v>
      </c>
      <c r="P634" t="s">
        <v>3088</v>
      </c>
      <c r="Q634">
        <v>0.3387</v>
      </c>
    </row>
    <row r="635" spans="1:17" x14ac:dyDescent="0.35">
      <c r="A635" t="s">
        <v>642</v>
      </c>
      <c r="B635" t="s">
        <v>2131</v>
      </c>
      <c r="C635">
        <v>49</v>
      </c>
      <c r="D635" t="s">
        <v>2992</v>
      </c>
      <c r="E635" t="s">
        <v>2999</v>
      </c>
      <c r="F635" t="s">
        <v>3018</v>
      </c>
      <c r="G635">
        <v>3</v>
      </c>
      <c r="H635">
        <v>1038379</v>
      </c>
      <c r="I635">
        <v>353840</v>
      </c>
      <c r="J635">
        <v>25.94</v>
      </c>
      <c r="K635">
        <v>36</v>
      </c>
      <c r="L635" t="s">
        <v>3050</v>
      </c>
      <c r="M635">
        <v>305</v>
      </c>
      <c r="N635">
        <v>0</v>
      </c>
      <c r="O635" t="s">
        <v>3054</v>
      </c>
      <c r="P635" t="s">
        <v>3601</v>
      </c>
      <c r="Q635">
        <v>0.34079999999999999</v>
      </c>
    </row>
    <row r="636" spans="1:17" x14ac:dyDescent="0.35">
      <c r="A636" t="s">
        <v>643</v>
      </c>
      <c r="B636" t="s">
        <v>2132</v>
      </c>
      <c r="C636">
        <v>40</v>
      </c>
      <c r="D636" t="s">
        <v>2992</v>
      </c>
      <c r="E636" t="s">
        <v>3005</v>
      </c>
      <c r="F636" t="s">
        <v>3018</v>
      </c>
      <c r="G636">
        <v>24</v>
      </c>
      <c r="H636">
        <v>732467</v>
      </c>
      <c r="I636">
        <v>614821</v>
      </c>
      <c r="J636">
        <v>27.27</v>
      </c>
      <c r="K636">
        <v>36</v>
      </c>
      <c r="L636" t="s">
        <v>3048</v>
      </c>
      <c r="M636">
        <v>414</v>
      </c>
      <c r="N636">
        <v>1</v>
      </c>
      <c r="O636" t="s">
        <v>3056</v>
      </c>
      <c r="P636" t="s">
        <v>3602</v>
      </c>
      <c r="Q636">
        <v>0.83940000000000003</v>
      </c>
    </row>
    <row r="637" spans="1:17" x14ac:dyDescent="0.35">
      <c r="A637" t="s">
        <v>644</v>
      </c>
      <c r="B637" t="s">
        <v>2133</v>
      </c>
      <c r="C637">
        <v>45</v>
      </c>
      <c r="D637" t="s">
        <v>2990</v>
      </c>
      <c r="E637" t="s">
        <v>3004</v>
      </c>
      <c r="F637" t="s">
        <v>3020</v>
      </c>
      <c r="G637">
        <v>14</v>
      </c>
      <c r="H637">
        <v>1297862</v>
      </c>
      <c r="I637">
        <v>599223</v>
      </c>
      <c r="J637">
        <v>14.25</v>
      </c>
      <c r="K637">
        <v>60</v>
      </c>
      <c r="L637" t="s">
        <v>3047</v>
      </c>
      <c r="M637">
        <v>708</v>
      </c>
      <c r="N637">
        <v>0</v>
      </c>
      <c r="O637" t="s">
        <v>3055</v>
      </c>
      <c r="P637" t="s">
        <v>3603</v>
      </c>
      <c r="Q637">
        <v>0.4617</v>
      </c>
    </row>
    <row r="638" spans="1:17" x14ac:dyDescent="0.35">
      <c r="A638" t="s">
        <v>645</v>
      </c>
      <c r="B638" t="s">
        <v>2134</v>
      </c>
      <c r="C638">
        <v>41</v>
      </c>
      <c r="D638" t="s">
        <v>2992</v>
      </c>
      <c r="E638" t="s">
        <v>2998</v>
      </c>
      <c r="F638" t="s">
        <v>3019</v>
      </c>
      <c r="G638">
        <v>23</v>
      </c>
      <c r="H638">
        <v>1718510</v>
      </c>
      <c r="I638">
        <v>23849</v>
      </c>
      <c r="J638">
        <v>20.88</v>
      </c>
      <c r="K638">
        <v>48</v>
      </c>
      <c r="L638" t="s">
        <v>3047</v>
      </c>
      <c r="M638">
        <v>809</v>
      </c>
      <c r="N638">
        <v>0</v>
      </c>
      <c r="O638" t="s">
        <v>3054</v>
      </c>
      <c r="P638" t="s">
        <v>3604</v>
      </c>
      <c r="Q638">
        <v>1.3899999999999999E-2</v>
      </c>
    </row>
    <row r="639" spans="1:17" x14ac:dyDescent="0.35">
      <c r="A639" t="s">
        <v>646</v>
      </c>
      <c r="B639" t="s">
        <v>2135</v>
      </c>
      <c r="C639">
        <v>59</v>
      </c>
      <c r="D639" t="s">
        <v>2990</v>
      </c>
      <c r="E639" t="s">
        <v>3005</v>
      </c>
      <c r="F639" t="s">
        <v>3020</v>
      </c>
      <c r="G639">
        <v>29</v>
      </c>
      <c r="H639">
        <v>1947858</v>
      </c>
      <c r="I639">
        <v>635324</v>
      </c>
      <c r="J639">
        <v>12.12</v>
      </c>
      <c r="K639">
        <v>24</v>
      </c>
      <c r="L639" t="s">
        <v>3050</v>
      </c>
      <c r="M639">
        <v>577</v>
      </c>
      <c r="N639">
        <v>1</v>
      </c>
      <c r="O639" t="s">
        <v>3053</v>
      </c>
      <c r="P639" t="s">
        <v>3172</v>
      </c>
      <c r="Q639">
        <v>0.32619999999999999</v>
      </c>
    </row>
    <row r="640" spans="1:17" x14ac:dyDescent="0.35">
      <c r="A640" t="s">
        <v>647</v>
      </c>
      <c r="B640" t="s">
        <v>2136</v>
      </c>
      <c r="C640">
        <v>57</v>
      </c>
      <c r="E640" t="s">
        <v>3005</v>
      </c>
      <c r="F640" t="s">
        <v>3019</v>
      </c>
      <c r="G640">
        <v>2</v>
      </c>
      <c r="H640">
        <v>199975</v>
      </c>
      <c r="I640">
        <v>764748</v>
      </c>
      <c r="J640">
        <v>9.5399999999999991</v>
      </c>
      <c r="K640">
        <v>36</v>
      </c>
      <c r="L640" t="s">
        <v>3046</v>
      </c>
      <c r="N640">
        <v>2</v>
      </c>
      <c r="O640" t="s">
        <v>3057</v>
      </c>
      <c r="P640" t="s">
        <v>3605</v>
      </c>
      <c r="Q640">
        <v>3.8241999999999998</v>
      </c>
    </row>
    <row r="641" spans="1:17" x14ac:dyDescent="0.35">
      <c r="A641" t="s">
        <v>648</v>
      </c>
      <c r="B641" t="s">
        <v>2137</v>
      </c>
      <c r="C641">
        <v>26</v>
      </c>
      <c r="D641" t="s">
        <v>2990</v>
      </c>
      <c r="E641" t="s">
        <v>3003</v>
      </c>
      <c r="F641" t="s">
        <v>3020</v>
      </c>
      <c r="G641">
        <v>9</v>
      </c>
      <c r="H641">
        <v>1065421</v>
      </c>
      <c r="I641">
        <v>490435</v>
      </c>
      <c r="J641">
        <v>21.33</v>
      </c>
      <c r="K641">
        <v>12</v>
      </c>
      <c r="L641" t="s">
        <v>3047</v>
      </c>
      <c r="M641">
        <v>348</v>
      </c>
      <c r="N641">
        <v>6</v>
      </c>
      <c r="O641" t="s">
        <v>3052</v>
      </c>
      <c r="P641" t="s">
        <v>3332</v>
      </c>
      <c r="Q641">
        <v>0.46029999999999999</v>
      </c>
    </row>
    <row r="642" spans="1:17" x14ac:dyDescent="0.35">
      <c r="A642" t="s">
        <v>649</v>
      </c>
      <c r="B642" t="s">
        <v>2138</v>
      </c>
      <c r="C642">
        <v>63</v>
      </c>
      <c r="D642" t="s">
        <v>2991</v>
      </c>
      <c r="E642" t="s">
        <v>3001</v>
      </c>
      <c r="F642" t="s">
        <v>3021</v>
      </c>
      <c r="G642">
        <v>21</v>
      </c>
      <c r="H642">
        <v>2079054</v>
      </c>
      <c r="I642">
        <v>171956</v>
      </c>
      <c r="J642">
        <v>26.11</v>
      </c>
      <c r="K642">
        <v>48</v>
      </c>
      <c r="L642" t="s">
        <v>3048</v>
      </c>
      <c r="M642">
        <v>763</v>
      </c>
      <c r="N642">
        <v>2</v>
      </c>
      <c r="O642" t="s">
        <v>3053</v>
      </c>
      <c r="P642" t="s">
        <v>3606</v>
      </c>
      <c r="Q642">
        <v>8.2699999999999996E-2</v>
      </c>
    </row>
    <row r="643" spans="1:17" x14ac:dyDescent="0.35">
      <c r="A643" t="s">
        <v>650</v>
      </c>
      <c r="B643" t="s">
        <v>2139</v>
      </c>
      <c r="C643">
        <v>60</v>
      </c>
      <c r="D643" t="s">
        <v>2992</v>
      </c>
      <c r="E643" t="s">
        <v>3002</v>
      </c>
      <c r="F643" t="s">
        <v>3018</v>
      </c>
      <c r="G643">
        <v>7</v>
      </c>
      <c r="H643">
        <v>696595</v>
      </c>
      <c r="I643">
        <v>790692</v>
      </c>
      <c r="J643">
        <v>12.2</v>
      </c>
      <c r="K643">
        <v>48</v>
      </c>
      <c r="L643" t="s">
        <v>3050</v>
      </c>
      <c r="M643">
        <v>352</v>
      </c>
      <c r="N643">
        <v>3</v>
      </c>
      <c r="O643" t="s">
        <v>3052</v>
      </c>
      <c r="P643" t="s">
        <v>3607</v>
      </c>
      <c r="Q643">
        <v>1.1351</v>
      </c>
    </row>
    <row r="644" spans="1:17" x14ac:dyDescent="0.35">
      <c r="A644" t="s">
        <v>651</v>
      </c>
      <c r="B644" t="s">
        <v>2140</v>
      </c>
      <c r="C644">
        <v>64</v>
      </c>
      <c r="D644" t="s">
        <v>2992</v>
      </c>
      <c r="E644" t="s">
        <v>3003</v>
      </c>
      <c r="F644" t="s">
        <v>3020</v>
      </c>
      <c r="G644">
        <v>12</v>
      </c>
      <c r="H644">
        <v>218635</v>
      </c>
      <c r="I644">
        <v>193115</v>
      </c>
      <c r="J644">
        <v>24.95</v>
      </c>
      <c r="K644">
        <v>36</v>
      </c>
      <c r="L644" t="s">
        <v>3048</v>
      </c>
      <c r="M644">
        <v>736</v>
      </c>
      <c r="N644">
        <v>2</v>
      </c>
      <c r="O644" t="s">
        <v>3054</v>
      </c>
      <c r="P644" t="s">
        <v>3608</v>
      </c>
      <c r="Q644">
        <v>0.88329999999999997</v>
      </c>
    </row>
    <row r="645" spans="1:17" x14ac:dyDescent="0.35">
      <c r="A645" t="s">
        <v>652</v>
      </c>
      <c r="B645" t="s">
        <v>2141</v>
      </c>
      <c r="C645">
        <v>26</v>
      </c>
      <c r="D645" t="s">
        <v>2992</v>
      </c>
      <c r="E645" t="s">
        <v>2999</v>
      </c>
      <c r="F645" t="s">
        <v>3018</v>
      </c>
      <c r="G645">
        <v>13</v>
      </c>
      <c r="I645">
        <v>158368</v>
      </c>
      <c r="J645">
        <v>15.11</v>
      </c>
      <c r="K645">
        <v>12</v>
      </c>
      <c r="L645" t="s">
        <v>3047</v>
      </c>
      <c r="M645">
        <v>351</v>
      </c>
      <c r="N645">
        <v>4</v>
      </c>
      <c r="O645" t="s">
        <v>3052</v>
      </c>
      <c r="P645" t="s">
        <v>3609</v>
      </c>
      <c r="Q645">
        <v>0.14219999999999999</v>
      </c>
    </row>
    <row r="646" spans="1:17" x14ac:dyDescent="0.35">
      <c r="A646" t="s">
        <v>653</v>
      </c>
      <c r="B646" t="s">
        <v>2142</v>
      </c>
      <c r="C646">
        <v>50</v>
      </c>
      <c r="D646" t="s">
        <v>2992</v>
      </c>
      <c r="E646" t="s">
        <v>3007</v>
      </c>
      <c r="F646" t="s">
        <v>3018</v>
      </c>
      <c r="G646">
        <v>13</v>
      </c>
      <c r="H646">
        <v>2033751</v>
      </c>
      <c r="I646">
        <v>240462</v>
      </c>
      <c r="J646">
        <v>11.12</v>
      </c>
      <c r="K646">
        <v>60</v>
      </c>
      <c r="L646" t="s">
        <v>3051</v>
      </c>
      <c r="M646">
        <v>840</v>
      </c>
      <c r="N646">
        <v>3</v>
      </c>
      <c r="O646" t="s">
        <v>3052</v>
      </c>
      <c r="P646" t="s">
        <v>3610</v>
      </c>
      <c r="Q646">
        <v>0.1182</v>
      </c>
    </row>
    <row r="647" spans="1:17" x14ac:dyDescent="0.35">
      <c r="A647" t="s">
        <v>654</v>
      </c>
      <c r="B647" t="s">
        <v>2143</v>
      </c>
      <c r="C647">
        <v>56</v>
      </c>
      <c r="D647" t="s">
        <v>2990</v>
      </c>
      <c r="E647" t="s">
        <v>3005</v>
      </c>
      <c r="F647" t="s">
        <v>3019</v>
      </c>
      <c r="G647">
        <v>25</v>
      </c>
      <c r="H647">
        <v>1972113</v>
      </c>
      <c r="I647">
        <v>53872</v>
      </c>
      <c r="J647">
        <v>23.6</v>
      </c>
      <c r="K647">
        <v>60</v>
      </c>
      <c r="L647" t="s">
        <v>3050</v>
      </c>
      <c r="M647">
        <v>632</v>
      </c>
      <c r="N647">
        <v>4</v>
      </c>
      <c r="O647" t="s">
        <v>3052</v>
      </c>
      <c r="P647" t="s">
        <v>3611</v>
      </c>
      <c r="Q647">
        <v>2.7300000000000001E-2</v>
      </c>
    </row>
    <row r="648" spans="1:17" x14ac:dyDescent="0.35">
      <c r="A648" t="s">
        <v>655</v>
      </c>
      <c r="B648" t="s">
        <v>2144</v>
      </c>
      <c r="C648">
        <v>32</v>
      </c>
      <c r="D648" t="s">
        <v>2990</v>
      </c>
      <c r="E648" t="s">
        <v>2999</v>
      </c>
      <c r="F648" t="s">
        <v>3019</v>
      </c>
      <c r="G648">
        <v>10</v>
      </c>
      <c r="H648">
        <v>1295488</v>
      </c>
      <c r="I648">
        <v>143030</v>
      </c>
      <c r="J648">
        <v>10.54</v>
      </c>
      <c r="K648">
        <v>60</v>
      </c>
      <c r="L648" t="s">
        <v>3046</v>
      </c>
      <c r="M648">
        <v>719</v>
      </c>
      <c r="N648">
        <v>7</v>
      </c>
      <c r="O648" t="s">
        <v>3055</v>
      </c>
      <c r="P648" t="s">
        <v>3612</v>
      </c>
      <c r="Q648">
        <v>0.1104</v>
      </c>
    </row>
    <row r="649" spans="1:17" x14ac:dyDescent="0.35">
      <c r="A649" t="s">
        <v>656</v>
      </c>
      <c r="B649" t="s">
        <v>2145</v>
      </c>
      <c r="C649">
        <v>35</v>
      </c>
      <c r="D649" t="s">
        <v>2992</v>
      </c>
      <c r="E649" t="s">
        <v>2998</v>
      </c>
      <c r="F649" t="s">
        <v>3018</v>
      </c>
      <c r="G649">
        <v>20</v>
      </c>
      <c r="H649">
        <v>885552</v>
      </c>
      <c r="I649">
        <v>538767</v>
      </c>
      <c r="J649">
        <v>16.98</v>
      </c>
      <c r="K649">
        <v>12</v>
      </c>
      <c r="L649" t="s">
        <v>3047</v>
      </c>
      <c r="M649">
        <v>355</v>
      </c>
      <c r="N649">
        <v>7</v>
      </c>
      <c r="O649" t="s">
        <v>3053</v>
      </c>
      <c r="P649" t="s">
        <v>3613</v>
      </c>
      <c r="Q649">
        <v>0.60840000000000005</v>
      </c>
    </row>
    <row r="650" spans="1:17" x14ac:dyDescent="0.35">
      <c r="A650" t="s">
        <v>657</v>
      </c>
      <c r="B650" t="s">
        <v>2146</v>
      </c>
      <c r="C650">
        <v>23</v>
      </c>
      <c r="D650" t="s">
        <v>2990</v>
      </c>
      <c r="E650" t="s">
        <v>3005</v>
      </c>
      <c r="F650" t="s">
        <v>3021</v>
      </c>
      <c r="G650">
        <v>13</v>
      </c>
      <c r="H650">
        <v>812543</v>
      </c>
      <c r="I650">
        <v>736046</v>
      </c>
      <c r="J650">
        <v>9.42</v>
      </c>
      <c r="K650">
        <v>48</v>
      </c>
      <c r="L650" t="s">
        <v>3047</v>
      </c>
      <c r="M650">
        <v>340</v>
      </c>
      <c r="N650">
        <v>0</v>
      </c>
      <c r="O650" t="s">
        <v>3055</v>
      </c>
      <c r="P650" t="s">
        <v>3614</v>
      </c>
      <c r="Q650">
        <v>0.90590000000000004</v>
      </c>
    </row>
    <row r="651" spans="1:17" x14ac:dyDescent="0.35">
      <c r="A651" t="s">
        <v>658</v>
      </c>
      <c r="B651" t="s">
        <v>2147</v>
      </c>
      <c r="C651">
        <v>49</v>
      </c>
      <c r="D651" t="s">
        <v>2992</v>
      </c>
      <c r="E651" t="s">
        <v>3001</v>
      </c>
      <c r="F651" t="s">
        <v>3019</v>
      </c>
      <c r="G651">
        <v>12</v>
      </c>
      <c r="H651">
        <v>922406</v>
      </c>
      <c r="I651">
        <v>367860</v>
      </c>
      <c r="J651">
        <v>10.51</v>
      </c>
      <c r="K651">
        <v>24</v>
      </c>
      <c r="L651" t="s">
        <v>3046</v>
      </c>
      <c r="M651">
        <v>402</v>
      </c>
      <c r="N651">
        <v>7</v>
      </c>
      <c r="O651" t="s">
        <v>3063</v>
      </c>
      <c r="P651" t="s">
        <v>3595</v>
      </c>
      <c r="Q651">
        <v>0.39879999999999999</v>
      </c>
    </row>
    <row r="652" spans="1:17" x14ac:dyDescent="0.35">
      <c r="A652" t="s">
        <v>659</v>
      </c>
      <c r="B652" t="s">
        <v>2148</v>
      </c>
      <c r="C652">
        <v>51</v>
      </c>
      <c r="D652" t="s">
        <v>2992</v>
      </c>
      <c r="E652" t="s">
        <v>3001</v>
      </c>
      <c r="F652" t="s">
        <v>3020</v>
      </c>
      <c r="G652">
        <v>11</v>
      </c>
      <c r="H652">
        <v>1844742</v>
      </c>
      <c r="I652">
        <v>612656</v>
      </c>
      <c r="J652">
        <v>10.69</v>
      </c>
      <c r="K652">
        <v>60</v>
      </c>
      <c r="L652" t="s">
        <v>3047</v>
      </c>
      <c r="M652">
        <v>845</v>
      </c>
      <c r="N652">
        <v>3</v>
      </c>
      <c r="O652" t="s">
        <v>3056</v>
      </c>
      <c r="P652" t="s">
        <v>3615</v>
      </c>
      <c r="Q652">
        <v>0.33210000000000001</v>
      </c>
    </row>
    <row r="653" spans="1:17" x14ac:dyDescent="0.35">
      <c r="A653" t="s">
        <v>660</v>
      </c>
      <c r="B653" t="s">
        <v>2149</v>
      </c>
      <c r="C653">
        <v>43</v>
      </c>
      <c r="D653" t="s">
        <v>2990</v>
      </c>
      <c r="E653" t="s">
        <v>3001</v>
      </c>
      <c r="F653" t="s">
        <v>3020</v>
      </c>
      <c r="G653">
        <v>28</v>
      </c>
      <c r="H653">
        <v>313004</v>
      </c>
      <c r="I653">
        <v>428376</v>
      </c>
      <c r="J653">
        <v>13.84</v>
      </c>
      <c r="K653">
        <v>48</v>
      </c>
      <c r="L653" t="s">
        <v>3048</v>
      </c>
      <c r="M653">
        <v>465</v>
      </c>
      <c r="N653">
        <v>0</v>
      </c>
      <c r="O653" t="s">
        <v>3055</v>
      </c>
      <c r="P653" t="s">
        <v>3296</v>
      </c>
      <c r="Q653">
        <v>1.3686</v>
      </c>
    </row>
    <row r="654" spans="1:17" x14ac:dyDescent="0.35">
      <c r="A654" t="s">
        <v>661</v>
      </c>
      <c r="B654" t="s">
        <v>2150</v>
      </c>
      <c r="C654">
        <v>33</v>
      </c>
      <c r="D654" t="s">
        <v>2990</v>
      </c>
      <c r="E654" t="s">
        <v>3003</v>
      </c>
      <c r="F654" t="s">
        <v>3018</v>
      </c>
      <c r="G654">
        <v>7</v>
      </c>
      <c r="H654">
        <v>1980830</v>
      </c>
      <c r="I654">
        <v>26968</v>
      </c>
      <c r="J654">
        <v>12.94</v>
      </c>
      <c r="K654">
        <v>24</v>
      </c>
      <c r="L654" t="s">
        <v>3051</v>
      </c>
      <c r="M654">
        <v>462</v>
      </c>
      <c r="N654">
        <v>5</v>
      </c>
      <c r="O654" t="s">
        <v>3056</v>
      </c>
      <c r="P654" t="s">
        <v>3616</v>
      </c>
      <c r="Q654">
        <v>1.3599999999999999E-2</v>
      </c>
    </row>
    <row r="655" spans="1:17" x14ac:dyDescent="0.35">
      <c r="A655" t="s">
        <v>662</v>
      </c>
      <c r="B655" t="s">
        <v>2151</v>
      </c>
      <c r="C655">
        <v>25</v>
      </c>
      <c r="D655" t="s">
        <v>2992</v>
      </c>
      <c r="E655" t="s">
        <v>3005</v>
      </c>
      <c r="F655" t="s">
        <v>3018</v>
      </c>
      <c r="G655">
        <v>19</v>
      </c>
      <c r="H655">
        <v>1426713</v>
      </c>
      <c r="I655">
        <v>138696</v>
      </c>
      <c r="J655">
        <v>22.1</v>
      </c>
      <c r="K655">
        <v>12</v>
      </c>
      <c r="L655" t="s">
        <v>3047</v>
      </c>
      <c r="M655">
        <v>486</v>
      </c>
      <c r="N655">
        <v>3</v>
      </c>
      <c r="O655" t="s">
        <v>3054</v>
      </c>
      <c r="P655" t="s">
        <v>3617</v>
      </c>
      <c r="Q655">
        <v>9.7199999999999995E-2</v>
      </c>
    </row>
    <row r="656" spans="1:17" x14ac:dyDescent="0.35">
      <c r="A656" t="s">
        <v>663</v>
      </c>
      <c r="B656" t="s">
        <v>2152</v>
      </c>
      <c r="C656">
        <v>35</v>
      </c>
      <c r="D656" t="s">
        <v>2992</v>
      </c>
      <c r="E656" t="s">
        <v>3006</v>
      </c>
      <c r="F656" t="s">
        <v>3020</v>
      </c>
      <c r="G656">
        <v>15</v>
      </c>
      <c r="H656">
        <v>1370631</v>
      </c>
      <c r="I656">
        <v>418834</v>
      </c>
      <c r="J656">
        <v>21.43</v>
      </c>
      <c r="K656">
        <v>36</v>
      </c>
      <c r="L656" t="s">
        <v>3050</v>
      </c>
      <c r="M656">
        <v>819</v>
      </c>
      <c r="N656">
        <v>7</v>
      </c>
      <c r="O656" t="s">
        <v>3054</v>
      </c>
      <c r="P656" t="s">
        <v>3618</v>
      </c>
      <c r="Q656">
        <v>0.30559999999999998</v>
      </c>
    </row>
    <row r="657" spans="1:17" x14ac:dyDescent="0.35">
      <c r="A657" t="s">
        <v>664</v>
      </c>
      <c r="B657" t="s">
        <v>2153</v>
      </c>
      <c r="C657">
        <v>32</v>
      </c>
      <c r="D657" t="s">
        <v>2992</v>
      </c>
      <c r="E657" t="s">
        <v>2998</v>
      </c>
      <c r="F657" t="s">
        <v>3019</v>
      </c>
      <c r="G657">
        <v>9</v>
      </c>
      <c r="H657">
        <v>1202788</v>
      </c>
      <c r="I657">
        <v>642288</v>
      </c>
      <c r="J657">
        <v>26.19</v>
      </c>
      <c r="K657">
        <v>36</v>
      </c>
      <c r="L657" t="s">
        <v>3050</v>
      </c>
      <c r="M657">
        <v>625</v>
      </c>
      <c r="N657">
        <v>0</v>
      </c>
      <c r="O657" t="s">
        <v>3055</v>
      </c>
      <c r="P657" t="s">
        <v>3619</v>
      </c>
      <c r="Q657">
        <v>0.53400000000000003</v>
      </c>
    </row>
    <row r="658" spans="1:17" x14ac:dyDescent="0.35">
      <c r="A658" t="s">
        <v>665</v>
      </c>
      <c r="B658" t="s">
        <v>2154</v>
      </c>
      <c r="C658">
        <v>35</v>
      </c>
      <c r="D658" t="s">
        <v>2992</v>
      </c>
      <c r="E658" t="s">
        <v>3002</v>
      </c>
      <c r="F658" t="s">
        <v>3019</v>
      </c>
      <c r="G658">
        <v>0</v>
      </c>
      <c r="H658">
        <v>1954329</v>
      </c>
      <c r="I658">
        <v>337715</v>
      </c>
      <c r="J658">
        <v>27.14</v>
      </c>
      <c r="K658">
        <v>48</v>
      </c>
      <c r="L658" t="s">
        <v>3050</v>
      </c>
      <c r="M658">
        <v>309</v>
      </c>
      <c r="N658">
        <v>1</v>
      </c>
      <c r="O658" t="s">
        <v>3054</v>
      </c>
      <c r="P658" t="s">
        <v>3620</v>
      </c>
      <c r="Q658">
        <v>0.17280000000000001</v>
      </c>
    </row>
    <row r="659" spans="1:17" x14ac:dyDescent="0.35">
      <c r="A659" t="s">
        <v>666</v>
      </c>
      <c r="B659" t="s">
        <v>2155</v>
      </c>
      <c r="C659">
        <v>21</v>
      </c>
      <c r="D659" t="s">
        <v>2990</v>
      </c>
      <c r="E659" t="s">
        <v>3006</v>
      </c>
      <c r="F659" t="s">
        <v>3019</v>
      </c>
      <c r="G659">
        <v>22</v>
      </c>
      <c r="H659">
        <v>671450</v>
      </c>
      <c r="I659">
        <v>776942</v>
      </c>
      <c r="J659">
        <v>8.7799999999999994</v>
      </c>
      <c r="K659">
        <v>24</v>
      </c>
      <c r="L659" t="s">
        <v>3050</v>
      </c>
      <c r="M659">
        <v>380</v>
      </c>
      <c r="N659">
        <v>6</v>
      </c>
      <c r="O659" t="s">
        <v>3052</v>
      </c>
      <c r="P659" t="s">
        <v>3621</v>
      </c>
      <c r="Q659">
        <v>1.1571</v>
      </c>
    </row>
    <row r="660" spans="1:17" x14ac:dyDescent="0.35">
      <c r="A660" t="s">
        <v>667</v>
      </c>
      <c r="B660" t="s">
        <v>2156</v>
      </c>
      <c r="C660">
        <v>21</v>
      </c>
      <c r="D660" t="s">
        <v>2992</v>
      </c>
      <c r="E660" t="s">
        <v>3002</v>
      </c>
      <c r="F660" t="s">
        <v>3019</v>
      </c>
      <c r="G660">
        <v>5</v>
      </c>
      <c r="H660">
        <v>216321</v>
      </c>
      <c r="I660">
        <v>750031</v>
      </c>
      <c r="J660">
        <v>23.75</v>
      </c>
      <c r="K660">
        <v>12</v>
      </c>
      <c r="L660" t="s">
        <v>3048</v>
      </c>
      <c r="M660">
        <v>378</v>
      </c>
      <c r="N660">
        <v>1</v>
      </c>
      <c r="O660" t="s">
        <v>3056</v>
      </c>
      <c r="P660" t="s">
        <v>3622</v>
      </c>
      <c r="Q660">
        <v>3.4672000000000001</v>
      </c>
    </row>
    <row r="661" spans="1:17" x14ac:dyDescent="0.35">
      <c r="A661" t="s">
        <v>668</v>
      </c>
      <c r="B661" t="s">
        <v>2157</v>
      </c>
      <c r="C661">
        <v>30</v>
      </c>
      <c r="D661" t="s">
        <v>2990</v>
      </c>
      <c r="E661" t="s">
        <v>3004</v>
      </c>
      <c r="F661" t="s">
        <v>3021</v>
      </c>
      <c r="G661">
        <v>9</v>
      </c>
      <c r="H661">
        <v>391830</v>
      </c>
      <c r="I661">
        <v>452680</v>
      </c>
      <c r="J661">
        <v>19.28</v>
      </c>
      <c r="K661">
        <v>48</v>
      </c>
      <c r="L661" t="s">
        <v>3049</v>
      </c>
      <c r="M661">
        <v>670</v>
      </c>
      <c r="N661">
        <v>7</v>
      </c>
      <c r="O661" t="s">
        <v>3057</v>
      </c>
      <c r="P661" t="s">
        <v>3263</v>
      </c>
      <c r="Q661">
        <v>1.1553</v>
      </c>
    </row>
    <row r="662" spans="1:17" x14ac:dyDescent="0.35">
      <c r="A662" t="s">
        <v>669</v>
      </c>
      <c r="B662" t="s">
        <v>2158</v>
      </c>
      <c r="C662">
        <v>45</v>
      </c>
      <c r="D662" t="s">
        <v>2992</v>
      </c>
      <c r="E662" t="s">
        <v>2998</v>
      </c>
      <c r="F662" t="s">
        <v>3020</v>
      </c>
      <c r="G662">
        <v>16</v>
      </c>
      <c r="H662">
        <v>241367</v>
      </c>
      <c r="I662">
        <v>288083</v>
      </c>
      <c r="J662">
        <v>8.84</v>
      </c>
      <c r="K662">
        <v>48</v>
      </c>
      <c r="L662" t="s">
        <v>3049</v>
      </c>
      <c r="M662">
        <v>376</v>
      </c>
      <c r="N662">
        <v>3</v>
      </c>
      <c r="O662" t="s">
        <v>3055</v>
      </c>
      <c r="P662" t="s">
        <v>3623</v>
      </c>
      <c r="Q662">
        <v>1.1935</v>
      </c>
    </row>
    <row r="663" spans="1:17" x14ac:dyDescent="0.35">
      <c r="A663" t="s">
        <v>670</v>
      </c>
      <c r="B663" t="s">
        <v>2159</v>
      </c>
      <c r="C663">
        <v>40</v>
      </c>
      <c r="D663" t="s">
        <v>2992</v>
      </c>
      <c r="E663" t="s">
        <v>3002</v>
      </c>
      <c r="F663" t="s">
        <v>3019</v>
      </c>
      <c r="G663">
        <v>0</v>
      </c>
      <c r="H663">
        <v>695693</v>
      </c>
      <c r="I663">
        <v>751862</v>
      </c>
      <c r="J663">
        <v>8</v>
      </c>
      <c r="K663">
        <v>12</v>
      </c>
      <c r="L663" t="s">
        <v>3046</v>
      </c>
      <c r="M663">
        <v>536</v>
      </c>
      <c r="N663">
        <v>0</v>
      </c>
      <c r="O663" t="s">
        <v>3052</v>
      </c>
      <c r="P663" t="s">
        <v>3624</v>
      </c>
      <c r="Q663">
        <v>1.0807</v>
      </c>
    </row>
    <row r="664" spans="1:17" x14ac:dyDescent="0.35">
      <c r="A664" t="s">
        <v>671</v>
      </c>
      <c r="B664" t="s">
        <v>2160</v>
      </c>
      <c r="C664">
        <v>26</v>
      </c>
      <c r="D664" t="s">
        <v>2990</v>
      </c>
      <c r="E664" t="s">
        <v>3002</v>
      </c>
      <c r="F664" t="s">
        <v>3019</v>
      </c>
      <c r="G664">
        <v>2</v>
      </c>
      <c r="H664">
        <v>2331341</v>
      </c>
      <c r="I664">
        <v>256500</v>
      </c>
      <c r="J664">
        <v>26.41</v>
      </c>
      <c r="K664">
        <v>12</v>
      </c>
      <c r="L664" t="s">
        <v>3047</v>
      </c>
      <c r="M664">
        <v>376</v>
      </c>
      <c r="N664">
        <v>7</v>
      </c>
      <c r="O664" t="s">
        <v>3055</v>
      </c>
      <c r="P664" t="s">
        <v>3625</v>
      </c>
      <c r="Q664">
        <v>0.11</v>
      </c>
    </row>
    <row r="665" spans="1:17" x14ac:dyDescent="0.35">
      <c r="A665" t="s">
        <v>672</v>
      </c>
      <c r="B665" t="s">
        <v>2161</v>
      </c>
      <c r="C665">
        <v>57</v>
      </c>
      <c r="D665" t="s">
        <v>2992</v>
      </c>
      <c r="E665" t="s">
        <v>3000</v>
      </c>
      <c r="F665" t="s">
        <v>3020</v>
      </c>
      <c r="G665">
        <v>15</v>
      </c>
      <c r="H665">
        <v>1145188</v>
      </c>
      <c r="I665">
        <v>763088</v>
      </c>
      <c r="J665">
        <v>9.61</v>
      </c>
      <c r="K665">
        <v>12</v>
      </c>
      <c r="L665" t="s">
        <v>3047</v>
      </c>
      <c r="M665">
        <v>376</v>
      </c>
      <c r="N665">
        <v>1</v>
      </c>
      <c r="O665" t="s">
        <v>3052</v>
      </c>
      <c r="P665" t="s">
        <v>3286</v>
      </c>
      <c r="Q665">
        <v>0.6663</v>
      </c>
    </row>
    <row r="666" spans="1:17" x14ac:dyDescent="0.35">
      <c r="A666" t="s">
        <v>673</v>
      </c>
      <c r="B666" t="s">
        <v>2162</v>
      </c>
      <c r="C666">
        <v>33</v>
      </c>
      <c r="D666" t="s">
        <v>2992</v>
      </c>
      <c r="E666" t="s">
        <v>3006</v>
      </c>
      <c r="F666" t="s">
        <v>3020</v>
      </c>
      <c r="G666">
        <v>18</v>
      </c>
      <c r="H666">
        <v>1745213</v>
      </c>
      <c r="I666">
        <v>336363</v>
      </c>
      <c r="J666">
        <v>16.72</v>
      </c>
      <c r="K666">
        <v>48</v>
      </c>
      <c r="L666" t="s">
        <v>3048</v>
      </c>
      <c r="M666">
        <v>306</v>
      </c>
      <c r="N666">
        <v>0</v>
      </c>
      <c r="O666" t="s">
        <v>3057</v>
      </c>
      <c r="P666" t="s">
        <v>3626</v>
      </c>
      <c r="Q666">
        <v>0.19270000000000001</v>
      </c>
    </row>
    <row r="667" spans="1:17" x14ac:dyDescent="0.35">
      <c r="A667" t="s">
        <v>674</v>
      </c>
      <c r="B667" t="s">
        <v>1786</v>
      </c>
      <c r="C667">
        <v>37</v>
      </c>
      <c r="D667" t="s">
        <v>2992</v>
      </c>
      <c r="E667" t="s">
        <v>3007</v>
      </c>
      <c r="F667" t="s">
        <v>3021</v>
      </c>
      <c r="G667">
        <v>20</v>
      </c>
      <c r="H667">
        <v>467313</v>
      </c>
      <c r="I667">
        <v>366184</v>
      </c>
      <c r="J667">
        <v>14.3</v>
      </c>
      <c r="K667">
        <v>48</v>
      </c>
      <c r="L667" t="s">
        <v>3046</v>
      </c>
      <c r="M667">
        <v>429</v>
      </c>
      <c r="N667">
        <v>0</v>
      </c>
      <c r="O667" t="s">
        <v>3054</v>
      </c>
      <c r="P667" t="s">
        <v>3627</v>
      </c>
      <c r="Q667">
        <v>0.78359999999999996</v>
      </c>
    </row>
    <row r="668" spans="1:17" x14ac:dyDescent="0.35">
      <c r="A668" t="s">
        <v>675</v>
      </c>
      <c r="B668" t="s">
        <v>2163</v>
      </c>
      <c r="C668">
        <v>53</v>
      </c>
      <c r="D668" t="s">
        <v>2992</v>
      </c>
      <c r="E668" t="s">
        <v>3005</v>
      </c>
      <c r="F668" t="s">
        <v>3021</v>
      </c>
      <c r="G668">
        <v>6</v>
      </c>
      <c r="H668">
        <v>1555807</v>
      </c>
      <c r="I668">
        <v>637693</v>
      </c>
      <c r="J668">
        <v>18.77</v>
      </c>
      <c r="K668">
        <v>12</v>
      </c>
      <c r="L668" t="s">
        <v>3049</v>
      </c>
      <c r="M668">
        <v>371</v>
      </c>
      <c r="N668">
        <v>4</v>
      </c>
      <c r="O668" t="s">
        <v>3056</v>
      </c>
      <c r="P668" t="s">
        <v>3535</v>
      </c>
      <c r="Q668">
        <v>0.40989999999999999</v>
      </c>
    </row>
    <row r="669" spans="1:17" x14ac:dyDescent="0.35">
      <c r="A669" t="s">
        <v>676</v>
      </c>
      <c r="B669" t="s">
        <v>2164</v>
      </c>
      <c r="C669">
        <v>52</v>
      </c>
      <c r="D669" t="s">
        <v>2992</v>
      </c>
      <c r="E669" t="s">
        <v>3007</v>
      </c>
      <c r="F669" t="s">
        <v>3019</v>
      </c>
      <c r="G669">
        <v>20</v>
      </c>
      <c r="H669">
        <v>1569330</v>
      </c>
      <c r="I669">
        <v>561287</v>
      </c>
      <c r="J669">
        <v>15.5</v>
      </c>
      <c r="K669">
        <v>36</v>
      </c>
      <c r="L669" t="s">
        <v>3051</v>
      </c>
      <c r="M669">
        <v>705</v>
      </c>
      <c r="N669">
        <v>5</v>
      </c>
      <c r="O669" t="s">
        <v>3053</v>
      </c>
      <c r="P669" t="s">
        <v>3560</v>
      </c>
      <c r="Q669">
        <v>0.35770000000000002</v>
      </c>
    </row>
    <row r="670" spans="1:17" x14ac:dyDescent="0.35">
      <c r="A670" t="s">
        <v>677</v>
      </c>
      <c r="B670" t="s">
        <v>2165</v>
      </c>
      <c r="C670">
        <v>29</v>
      </c>
      <c r="D670" t="s">
        <v>2994</v>
      </c>
      <c r="E670" t="s">
        <v>3004</v>
      </c>
      <c r="F670" t="s">
        <v>3018</v>
      </c>
      <c r="G670">
        <v>23</v>
      </c>
      <c r="H670">
        <v>1835743</v>
      </c>
      <c r="I670">
        <v>440963</v>
      </c>
      <c r="J670">
        <v>19.899999999999999</v>
      </c>
      <c r="K670">
        <v>36</v>
      </c>
      <c r="L670" t="s">
        <v>3050</v>
      </c>
      <c r="M670">
        <v>588</v>
      </c>
      <c r="N670">
        <v>5</v>
      </c>
      <c r="O670" t="s">
        <v>3055</v>
      </c>
      <c r="P670" t="s">
        <v>3628</v>
      </c>
      <c r="Q670">
        <v>0.2402</v>
      </c>
    </row>
    <row r="671" spans="1:17" x14ac:dyDescent="0.35">
      <c r="A671" t="s">
        <v>678</v>
      </c>
      <c r="B671" t="s">
        <v>2166</v>
      </c>
      <c r="C671">
        <v>21</v>
      </c>
      <c r="D671" t="s">
        <v>2990</v>
      </c>
      <c r="E671" t="s">
        <v>3005</v>
      </c>
      <c r="F671" t="s">
        <v>3018</v>
      </c>
      <c r="G671">
        <v>8</v>
      </c>
      <c r="H671">
        <v>992461</v>
      </c>
      <c r="I671">
        <v>375779</v>
      </c>
      <c r="J671">
        <v>9.32</v>
      </c>
      <c r="K671">
        <v>12</v>
      </c>
      <c r="L671" t="s">
        <v>3046</v>
      </c>
      <c r="M671">
        <v>756</v>
      </c>
      <c r="N671">
        <v>4</v>
      </c>
      <c r="O671" t="s">
        <v>3057</v>
      </c>
      <c r="P671" t="s">
        <v>3629</v>
      </c>
      <c r="Q671">
        <v>0.37859999999999999</v>
      </c>
    </row>
    <row r="672" spans="1:17" x14ac:dyDescent="0.35">
      <c r="A672" t="s">
        <v>679</v>
      </c>
      <c r="B672" t="s">
        <v>2167</v>
      </c>
      <c r="C672">
        <v>22</v>
      </c>
      <c r="D672" t="s">
        <v>2990</v>
      </c>
      <c r="E672" t="s">
        <v>3000</v>
      </c>
      <c r="F672" t="s">
        <v>3021</v>
      </c>
      <c r="G672">
        <v>2</v>
      </c>
      <c r="H672">
        <v>1141703</v>
      </c>
      <c r="I672">
        <v>465872</v>
      </c>
      <c r="J672">
        <v>8.8000000000000007</v>
      </c>
      <c r="K672">
        <v>12</v>
      </c>
      <c r="L672" t="s">
        <v>3049</v>
      </c>
      <c r="M672">
        <v>470</v>
      </c>
      <c r="N672">
        <v>2</v>
      </c>
      <c r="O672" t="s">
        <v>3057</v>
      </c>
      <c r="P672" t="s">
        <v>3598</v>
      </c>
      <c r="Q672">
        <v>0.40810000000000002</v>
      </c>
    </row>
    <row r="673" spans="1:17" x14ac:dyDescent="0.35">
      <c r="A673" t="s">
        <v>680</v>
      </c>
      <c r="B673" t="s">
        <v>2168</v>
      </c>
      <c r="C673">
        <v>26</v>
      </c>
      <c r="D673" t="s">
        <v>2992</v>
      </c>
      <c r="E673" t="s">
        <v>3005</v>
      </c>
      <c r="F673" t="s">
        <v>3019</v>
      </c>
      <c r="G673">
        <v>11</v>
      </c>
      <c r="H673">
        <v>1148616</v>
      </c>
      <c r="I673">
        <v>353713</v>
      </c>
      <c r="J673">
        <v>23.07</v>
      </c>
      <c r="K673">
        <v>36</v>
      </c>
      <c r="L673" t="s">
        <v>3048</v>
      </c>
      <c r="M673">
        <v>629</v>
      </c>
      <c r="N673">
        <v>4</v>
      </c>
      <c r="O673" t="s">
        <v>3055</v>
      </c>
      <c r="P673" t="s">
        <v>3411</v>
      </c>
      <c r="Q673">
        <v>0.30790000000000001</v>
      </c>
    </row>
    <row r="674" spans="1:17" x14ac:dyDescent="0.35">
      <c r="A674" t="s">
        <v>681</v>
      </c>
      <c r="B674" t="s">
        <v>2169</v>
      </c>
      <c r="C674">
        <v>55</v>
      </c>
      <c r="D674" t="s">
        <v>2992</v>
      </c>
      <c r="E674" t="s">
        <v>3001</v>
      </c>
      <c r="F674" t="s">
        <v>3019</v>
      </c>
      <c r="G674">
        <v>16</v>
      </c>
      <c r="H674">
        <v>2155154</v>
      </c>
      <c r="I674">
        <v>635937</v>
      </c>
      <c r="J674">
        <v>19.66</v>
      </c>
      <c r="K674">
        <v>24</v>
      </c>
      <c r="L674" t="s">
        <v>3050</v>
      </c>
      <c r="M674">
        <v>322</v>
      </c>
      <c r="N674">
        <v>7</v>
      </c>
      <c r="O674" t="s">
        <v>3052</v>
      </c>
      <c r="P674" t="s">
        <v>3630</v>
      </c>
      <c r="Q674">
        <v>0.29509999999999997</v>
      </c>
    </row>
    <row r="675" spans="1:17" x14ac:dyDescent="0.35">
      <c r="A675" t="s">
        <v>682</v>
      </c>
      <c r="B675" t="s">
        <v>2170</v>
      </c>
      <c r="C675">
        <v>32</v>
      </c>
      <c r="D675" t="s">
        <v>2994</v>
      </c>
      <c r="E675" t="s">
        <v>3002</v>
      </c>
      <c r="F675" t="s">
        <v>3020</v>
      </c>
      <c r="G675">
        <v>13</v>
      </c>
      <c r="H675">
        <v>2169251</v>
      </c>
      <c r="I675">
        <v>66002</v>
      </c>
      <c r="J675">
        <v>24.49</v>
      </c>
      <c r="K675">
        <v>36</v>
      </c>
      <c r="L675" t="s">
        <v>3047</v>
      </c>
      <c r="M675">
        <v>760</v>
      </c>
      <c r="N675">
        <v>3</v>
      </c>
      <c r="O675" t="s">
        <v>3053</v>
      </c>
      <c r="P675" t="s">
        <v>3631</v>
      </c>
      <c r="Q675">
        <v>3.04E-2</v>
      </c>
    </row>
    <row r="676" spans="1:17" x14ac:dyDescent="0.35">
      <c r="A676" t="s">
        <v>683</v>
      </c>
      <c r="B676" t="s">
        <v>2171</v>
      </c>
      <c r="C676">
        <v>54</v>
      </c>
      <c r="D676" t="s">
        <v>2990</v>
      </c>
      <c r="E676" t="s">
        <v>3001</v>
      </c>
      <c r="F676" t="s">
        <v>3020</v>
      </c>
      <c r="G676">
        <v>7</v>
      </c>
      <c r="H676">
        <v>419779</v>
      </c>
      <c r="I676">
        <v>52101</v>
      </c>
      <c r="J676">
        <v>22.63</v>
      </c>
      <c r="K676">
        <v>60</v>
      </c>
      <c r="L676" t="s">
        <v>3049</v>
      </c>
      <c r="M676">
        <v>817</v>
      </c>
      <c r="N676">
        <v>5</v>
      </c>
      <c r="O676" t="s">
        <v>3055</v>
      </c>
      <c r="P676" t="s">
        <v>3632</v>
      </c>
      <c r="Q676">
        <v>0.1241</v>
      </c>
    </row>
    <row r="677" spans="1:17" x14ac:dyDescent="0.35">
      <c r="A677" t="s">
        <v>684</v>
      </c>
      <c r="B677" t="s">
        <v>2172</v>
      </c>
      <c r="C677">
        <v>52</v>
      </c>
      <c r="D677" t="s">
        <v>2992</v>
      </c>
      <c r="E677" t="s">
        <v>3001</v>
      </c>
      <c r="F677" t="s">
        <v>3018</v>
      </c>
      <c r="G677">
        <v>26</v>
      </c>
      <c r="H677">
        <v>2255712</v>
      </c>
      <c r="I677">
        <v>635168</v>
      </c>
      <c r="J677">
        <v>13.83</v>
      </c>
      <c r="K677">
        <v>48</v>
      </c>
      <c r="L677" t="s">
        <v>3046</v>
      </c>
      <c r="M677">
        <v>425</v>
      </c>
      <c r="N677">
        <v>6</v>
      </c>
      <c r="O677" t="s">
        <v>3055</v>
      </c>
      <c r="P677" t="s">
        <v>3633</v>
      </c>
      <c r="Q677">
        <v>0.28160000000000002</v>
      </c>
    </row>
    <row r="678" spans="1:17" x14ac:dyDescent="0.35">
      <c r="A678" t="s">
        <v>685</v>
      </c>
      <c r="B678" t="s">
        <v>2173</v>
      </c>
      <c r="C678">
        <v>52</v>
      </c>
      <c r="D678" t="s">
        <v>2990</v>
      </c>
      <c r="E678" t="s">
        <v>3005</v>
      </c>
      <c r="F678" t="s">
        <v>3018</v>
      </c>
      <c r="G678">
        <v>0</v>
      </c>
      <c r="H678">
        <v>1353930</v>
      </c>
      <c r="I678">
        <v>476285</v>
      </c>
      <c r="J678">
        <v>25.96</v>
      </c>
      <c r="K678">
        <v>24</v>
      </c>
      <c r="L678" t="s">
        <v>3046</v>
      </c>
      <c r="M678">
        <v>455</v>
      </c>
      <c r="N678">
        <v>4</v>
      </c>
      <c r="O678" t="s">
        <v>3057</v>
      </c>
      <c r="P678" t="s">
        <v>3523</v>
      </c>
      <c r="Q678">
        <v>0.3518</v>
      </c>
    </row>
    <row r="679" spans="1:17" x14ac:dyDescent="0.35">
      <c r="A679" t="s">
        <v>686</v>
      </c>
      <c r="B679" t="s">
        <v>2174</v>
      </c>
      <c r="C679">
        <v>54</v>
      </c>
      <c r="D679" t="s">
        <v>2992</v>
      </c>
      <c r="E679" t="s">
        <v>3002</v>
      </c>
      <c r="F679" t="s">
        <v>3019</v>
      </c>
      <c r="G679">
        <v>1</v>
      </c>
      <c r="H679">
        <v>1513572</v>
      </c>
      <c r="I679">
        <v>306663</v>
      </c>
      <c r="J679">
        <v>26.38</v>
      </c>
      <c r="K679">
        <v>48</v>
      </c>
      <c r="L679" t="s">
        <v>3047</v>
      </c>
      <c r="M679">
        <v>820</v>
      </c>
      <c r="N679">
        <v>2</v>
      </c>
      <c r="O679" t="s">
        <v>3055</v>
      </c>
      <c r="P679" t="s">
        <v>3634</v>
      </c>
      <c r="Q679">
        <v>0.2026</v>
      </c>
    </row>
    <row r="680" spans="1:17" x14ac:dyDescent="0.35">
      <c r="A680" t="s">
        <v>687</v>
      </c>
      <c r="B680" t="s">
        <v>2175</v>
      </c>
      <c r="C680">
        <v>58</v>
      </c>
      <c r="D680" t="s">
        <v>2992</v>
      </c>
      <c r="E680" t="s">
        <v>3006</v>
      </c>
      <c r="F680" t="s">
        <v>3019</v>
      </c>
      <c r="G680">
        <v>29</v>
      </c>
      <c r="H680">
        <v>596978</v>
      </c>
      <c r="I680">
        <v>102409</v>
      </c>
      <c r="J680">
        <v>17.5</v>
      </c>
      <c r="K680">
        <v>24</v>
      </c>
      <c r="L680" t="s">
        <v>3046</v>
      </c>
      <c r="M680">
        <v>685</v>
      </c>
      <c r="N680">
        <v>3</v>
      </c>
      <c r="O680" t="s">
        <v>3057</v>
      </c>
      <c r="P680" t="s">
        <v>3635</v>
      </c>
      <c r="Q680">
        <v>0.17150000000000001</v>
      </c>
    </row>
    <row r="681" spans="1:17" x14ac:dyDescent="0.35">
      <c r="A681" t="s">
        <v>688</v>
      </c>
      <c r="B681" t="s">
        <v>2176</v>
      </c>
      <c r="C681">
        <v>21</v>
      </c>
      <c r="D681" t="s">
        <v>2992</v>
      </c>
      <c r="E681" t="s">
        <v>3004</v>
      </c>
      <c r="F681" t="s">
        <v>3019</v>
      </c>
      <c r="G681">
        <v>19</v>
      </c>
      <c r="H681">
        <v>1054772</v>
      </c>
      <c r="I681">
        <v>484507</v>
      </c>
      <c r="J681">
        <v>23.67</v>
      </c>
      <c r="K681">
        <v>24</v>
      </c>
      <c r="L681" t="s">
        <v>3046</v>
      </c>
      <c r="M681">
        <v>651</v>
      </c>
      <c r="N681">
        <v>6</v>
      </c>
      <c r="O681" t="s">
        <v>3052</v>
      </c>
      <c r="P681" t="s">
        <v>3636</v>
      </c>
      <c r="Q681">
        <v>0.45929999999999999</v>
      </c>
    </row>
    <row r="682" spans="1:17" x14ac:dyDescent="0.35">
      <c r="A682" t="s">
        <v>689</v>
      </c>
      <c r="B682" t="s">
        <v>2177</v>
      </c>
      <c r="C682">
        <v>42</v>
      </c>
      <c r="D682" t="s">
        <v>2992</v>
      </c>
      <c r="E682" t="s">
        <v>3002</v>
      </c>
      <c r="F682" t="s">
        <v>3018</v>
      </c>
      <c r="G682">
        <v>19</v>
      </c>
      <c r="H682">
        <v>2289441</v>
      </c>
      <c r="I682">
        <v>731935</v>
      </c>
      <c r="J682">
        <v>21.45</v>
      </c>
      <c r="K682">
        <v>12</v>
      </c>
      <c r="L682" t="s">
        <v>3047</v>
      </c>
      <c r="M682">
        <v>752</v>
      </c>
      <c r="N682">
        <v>6</v>
      </c>
      <c r="O682" t="s">
        <v>3053</v>
      </c>
      <c r="P682" t="s">
        <v>3637</v>
      </c>
      <c r="Q682">
        <v>0.31969999999999998</v>
      </c>
    </row>
    <row r="683" spans="1:17" x14ac:dyDescent="0.35">
      <c r="A683" t="s">
        <v>690</v>
      </c>
      <c r="B683" t="s">
        <v>2178</v>
      </c>
      <c r="C683">
        <v>43</v>
      </c>
      <c r="D683" t="s">
        <v>2990</v>
      </c>
      <c r="E683" t="s">
        <v>3007</v>
      </c>
      <c r="F683" t="s">
        <v>3021</v>
      </c>
      <c r="G683">
        <v>9</v>
      </c>
      <c r="H683">
        <v>2392750</v>
      </c>
      <c r="I683">
        <v>235558</v>
      </c>
      <c r="J683">
        <v>23.88</v>
      </c>
      <c r="K683">
        <v>24</v>
      </c>
      <c r="L683" t="s">
        <v>3047</v>
      </c>
      <c r="M683">
        <v>606</v>
      </c>
      <c r="N683">
        <v>4</v>
      </c>
      <c r="O683" t="s">
        <v>3053</v>
      </c>
      <c r="P683" t="s">
        <v>3402</v>
      </c>
      <c r="Q683">
        <v>9.8400000000000001E-2</v>
      </c>
    </row>
    <row r="684" spans="1:17" x14ac:dyDescent="0.35">
      <c r="A684" t="s">
        <v>691</v>
      </c>
      <c r="B684" t="s">
        <v>2179</v>
      </c>
      <c r="C684">
        <v>34</v>
      </c>
      <c r="D684" t="s">
        <v>2992</v>
      </c>
      <c r="E684" t="s">
        <v>3001</v>
      </c>
      <c r="F684" t="s">
        <v>3019</v>
      </c>
      <c r="G684">
        <v>9</v>
      </c>
      <c r="H684">
        <v>1861641</v>
      </c>
      <c r="I684">
        <v>418499</v>
      </c>
      <c r="J684">
        <v>19.989999999999998</v>
      </c>
      <c r="K684">
        <v>60</v>
      </c>
      <c r="L684" t="s">
        <v>3047</v>
      </c>
      <c r="M684">
        <v>580</v>
      </c>
      <c r="N684">
        <v>0</v>
      </c>
      <c r="O684" t="s">
        <v>3055</v>
      </c>
      <c r="P684" t="s">
        <v>3415</v>
      </c>
      <c r="Q684">
        <v>0.2248</v>
      </c>
    </row>
    <row r="685" spans="1:17" x14ac:dyDescent="0.35">
      <c r="A685" t="s">
        <v>692</v>
      </c>
      <c r="B685" t="s">
        <v>2180</v>
      </c>
      <c r="C685">
        <v>53</v>
      </c>
      <c r="D685" t="s">
        <v>2992</v>
      </c>
      <c r="E685" t="s">
        <v>3000</v>
      </c>
      <c r="F685" t="s">
        <v>3021</v>
      </c>
      <c r="G685">
        <v>8</v>
      </c>
      <c r="H685">
        <v>858758</v>
      </c>
      <c r="I685">
        <v>676761</v>
      </c>
      <c r="J685">
        <v>19.329999999999998</v>
      </c>
      <c r="K685">
        <v>24</v>
      </c>
      <c r="L685" t="s">
        <v>3049</v>
      </c>
      <c r="M685">
        <v>432</v>
      </c>
      <c r="N685">
        <v>1</v>
      </c>
      <c r="O685" t="s">
        <v>3055</v>
      </c>
      <c r="P685" t="s">
        <v>3638</v>
      </c>
      <c r="Q685">
        <v>0.78810000000000002</v>
      </c>
    </row>
    <row r="686" spans="1:17" x14ac:dyDescent="0.35">
      <c r="A686" t="s">
        <v>693</v>
      </c>
      <c r="B686" t="s">
        <v>2181</v>
      </c>
      <c r="C686">
        <v>49</v>
      </c>
      <c r="D686" t="s">
        <v>2992</v>
      </c>
      <c r="E686" t="s">
        <v>3005</v>
      </c>
      <c r="F686" t="s">
        <v>3018</v>
      </c>
      <c r="G686">
        <v>0</v>
      </c>
      <c r="H686">
        <v>2264504</v>
      </c>
      <c r="I686">
        <v>122476</v>
      </c>
      <c r="J686">
        <v>24.43</v>
      </c>
      <c r="K686">
        <v>48</v>
      </c>
      <c r="L686" t="s">
        <v>3046</v>
      </c>
      <c r="M686">
        <v>470</v>
      </c>
      <c r="N686">
        <v>4</v>
      </c>
      <c r="O686" t="s">
        <v>3056</v>
      </c>
      <c r="P686" t="s">
        <v>3103</v>
      </c>
      <c r="Q686">
        <v>5.4100000000000002E-2</v>
      </c>
    </row>
    <row r="687" spans="1:17" x14ac:dyDescent="0.35">
      <c r="A687" t="s">
        <v>694</v>
      </c>
      <c r="B687" t="s">
        <v>2182</v>
      </c>
      <c r="C687">
        <v>61</v>
      </c>
      <c r="D687" t="s">
        <v>2990</v>
      </c>
      <c r="E687" t="s">
        <v>3003</v>
      </c>
      <c r="F687" t="s">
        <v>3019</v>
      </c>
      <c r="G687">
        <v>24</v>
      </c>
      <c r="H687">
        <v>292782</v>
      </c>
      <c r="I687">
        <v>193311</v>
      </c>
      <c r="J687">
        <v>18.11</v>
      </c>
      <c r="K687">
        <v>36</v>
      </c>
      <c r="L687" t="s">
        <v>3048</v>
      </c>
      <c r="M687">
        <v>356</v>
      </c>
      <c r="N687">
        <v>2</v>
      </c>
      <c r="O687" t="s">
        <v>3052</v>
      </c>
      <c r="P687" t="s">
        <v>3639</v>
      </c>
      <c r="Q687">
        <v>0.6603</v>
      </c>
    </row>
    <row r="688" spans="1:17" x14ac:dyDescent="0.35">
      <c r="A688" t="s">
        <v>695</v>
      </c>
      <c r="B688" t="s">
        <v>2183</v>
      </c>
      <c r="C688">
        <v>45</v>
      </c>
      <c r="D688" t="s">
        <v>2990</v>
      </c>
      <c r="E688" t="s">
        <v>3003</v>
      </c>
      <c r="F688" t="s">
        <v>3021</v>
      </c>
      <c r="G688">
        <v>20</v>
      </c>
      <c r="H688">
        <v>1531099</v>
      </c>
      <c r="I688">
        <v>156285</v>
      </c>
      <c r="J688">
        <v>27.04</v>
      </c>
      <c r="K688">
        <v>36</v>
      </c>
      <c r="L688" t="s">
        <v>3050</v>
      </c>
      <c r="M688">
        <v>716</v>
      </c>
      <c r="N688">
        <v>3</v>
      </c>
      <c r="O688" t="s">
        <v>3053</v>
      </c>
      <c r="P688" t="s">
        <v>3465</v>
      </c>
      <c r="Q688">
        <v>0.1021</v>
      </c>
    </row>
    <row r="689" spans="1:17" x14ac:dyDescent="0.35">
      <c r="A689" t="s">
        <v>696</v>
      </c>
      <c r="B689" t="s">
        <v>2184</v>
      </c>
      <c r="C689">
        <v>27</v>
      </c>
      <c r="D689" t="s">
        <v>2992</v>
      </c>
      <c r="E689" t="s">
        <v>3007</v>
      </c>
      <c r="F689" t="s">
        <v>3020</v>
      </c>
      <c r="G689">
        <v>19</v>
      </c>
      <c r="I689">
        <v>438815</v>
      </c>
      <c r="J689">
        <v>24.96</v>
      </c>
      <c r="K689">
        <v>12</v>
      </c>
      <c r="L689" t="s">
        <v>3046</v>
      </c>
      <c r="M689">
        <v>762</v>
      </c>
      <c r="N689">
        <v>7</v>
      </c>
      <c r="O689" t="s">
        <v>3055</v>
      </c>
      <c r="P689" t="s">
        <v>3640</v>
      </c>
      <c r="Q689">
        <v>0.58260000000000001</v>
      </c>
    </row>
    <row r="690" spans="1:17" x14ac:dyDescent="0.35">
      <c r="A690" t="s">
        <v>697</v>
      </c>
      <c r="B690" t="s">
        <v>2185</v>
      </c>
      <c r="C690">
        <v>44</v>
      </c>
      <c r="D690" t="s">
        <v>2990</v>
      </c>
      <c r="E690" t="s">
        <v>3005</v>
      </c>
      <c r="F690" t="s">
        <v>3018</v>
      </c>
      <c r="G690">
        <v>27</v>
      </c>
      <c r="H690">
        <v>1740354</v>
      </c>
      <c r="I690">
        <v>412573</v>
      </c>
      <c r="J690">
        <v>14.82</v>
      </c>
      <c r="K690">
        <v>24</v>
      </c>
      <c r="L690" t="s">
        <v>3047</v>
      </c>
      <c r="M690">
        <v>468</v>
      </c>
      <c r="N690">
        <v>4</v>
      </c>
      <c r="O690" t="s">
        <v>3056</v>
      </c>
      <c r="P690" t="s">
        <v>3120</v>
      </c>
      <c r="Q690">
        <v>0.23710000000000001</v>
      </c>
    </row>
    <row r="691" spans="1:17" x14ac:dyDescent="0.35">
      <c r="A691" t="s">
        <v>698</v>
      </c>
      <c r="B691" t="s">
        <v>2186</v>
      </c>
      <c r="C691">
        <v>60</v>
      </c>
      <c r="D691" t="s">
        <v>2992</v>
      </c>
      <c r="E691" t="s">
        <v>3004</v>
      </c>
      <c r="F691" t="s">
        <v>3019</v>
      </c>
      <c r="G691">
        <v>6</v>
      </c>
      <c r="H691">
        <v>381139</v>
      </c>
      <c r="I691">
        <v>155189</v>
      </c>
      <c r="J691">
        <v>25.5</v>
      </c>
      <c r="K691">
        <v>60</v>
      </c>
      <c r="L691" t="s">
        <v>3051</v>
      </c>
      <c r="M691">
        <v>745</v>
      </c>
      <c r="N691">
        <v>7</v>
      </c>
      <c r="O691" t="s">
        <v>3056</v>
      </c>
      <c r="P691" t="s">
        <v>3641</v>
      </c>
      <c r="Q691">
        <v>0.40720000000000001</v>
      </c>
    </row>
    <row r="692" spans="1:17" x14ac:dyDescent="0.35">
      <c r="A692" t="s">
        <v>699</v>
      </c>
      <c r="B692" t="s">
        <v>2187</v>
      </c>
      <c r="C692">
        <v>44</v>
      </c>
      <c r="E692" t="s">
        <v>2998</v>
      </c>
      <c r="F692" t="s">
        <v>3020</v>
      </c>
      <c r="G692">
        <v>11</v>
      </c>
      <c r="H692">
        <v>1104044</v>
      </c>
      <c r="I692">
        <v>746728</v>
      </c>
      <c r="J692">
        <v>18.489999999999998</v>
      </c>
      <c r="K692">
        <v>36</v>
      </c>
      <c r="L692" t="s">
        <v>3051</v>
      </c>
      <c r="M692">
        <v>632</v>
      </c>
      <c r="N692">
        <v>2</v>
      </c>
      <c r="O692" t="s">
        <v>3055</v>
      </c>
      <c r="P692" t="s">
        <v>3642</v>
      </c>
      <c r="Q692">
        <v>0.6764</v>
      </c>
    </row>
    <row r="693" spans="1:17" x14ac:dyDescent="0.35">
      <c r="A693" t="s">
        <v>700</v>
      </c>
      <c r="B693" t="s">
        <v>2188</v>
      </c>
      <c r="C693">
        <v>51</v>
      </c>
      <c r="D693" t="s">
        <v>2990</v>
      </c>
      <c r="E693" t="s">
        <v>2999</v>
      </c>
      <c r="F693" t="s">
        <v>3020</v>
      </c>
      <c r="G693">
        <v>21</v>
      </c>
      <c r="H693">
        <v>1416497</v>
      </c>
      <c r="I693">
        <v>102289</v>
      </c>
      <c r="J693">
        <v>15.96</v>
      </c>
      <c r="K693">
        <v>12</v>
      </c>
      <c r="M693">
        <v>570</v>
      </c>
      <c r="N693">
        <v>6</v>
      </c>
      <c r="O693" t="s">
        <v>3052</v>
      </c>
      <c r="P693" t="s">
        <v>3643</v>
      </c>
      <c r="Q693">
        <v>7.22E-2</v>
      </c>
    </row>
    <row r="694" spans="1:17" x14ac:dyDescent="0.35">
      <c r="A694" t="s">
        <v>701</v>
      </c>
      <c r="B694" t="s">
        <v>2189</v>
      </c>
      <c r="C694">
        <v>23</v>
      </c>
      <c r="D694" t="s">
        <v>2992</v>
      </c>
      <c r="E694" t="s">
        <v>3003</v>
      </c>
      <c r="F694" t="s">
        <v>3019</v>
      </c>
      <c r="G694">
        <v>19</v>
      </c>
      <c r="H694">
        <v>1657852</v>
      </c>
      <c r="I694">
        <v>718787</v>
      </c>
      <c r="J694">
        <v>24.65</v>
      </c>
      <c r="K694">
        <v>60</v>
      </c>
      <c r="L694" t="s">
        <v>3047</v>
      </c>
      <c r="M694">
        <v>627</v>
      </c>
      <c r="N694">
        <v>2</v>
      </c>
      <c r="O694" t="s">
        <v>3052</v>
      </c>
      <c r="P694" t="s">
        <v>3644</v>
      </c>
      <c r="Q694">
        <v>0.43359999999999999</v>
      </c>
    </row>
    <row r="695" spans="1:17" x14ac:dyDescent="0.35">
      <c r="A695" t="s">
        <v>702</v>
      </c>
      <c r="B695" t="s">
        <v>2190</v>
      </c>
      <c r="C695">
        <v>59</v>
      </c>
      <c r="D695" t="s">
        <v>2992</v>
      </c>
      <c r="E695" t="s">
        <v>3003</v>
      </c>
      <c r="F695" t="s">
        <v>3020</v>
      </c>
      <c r="G695">
        <v>23</v>
      </c>
      <c r="H695">
        <v>197297</v>
      </c>
      <c r="I695">
        <v>122412</v>
      </c>
      <c r="J695">
        <v>22.76</v>
      </c>
      <c r="K695">
        <v>60</v>
      </c>
      <c r="L695" t="s">
        <v>3046</v>
      </c>
      <c r="M695">
        <v>715</v>
      </c>
      <c r="N695">
        <v>0</v>
      </c>
      <c r="O695" t="s">
        <v>3053</v>
      </c>
      <c r="P695" t="s">
        <v>3101</v>
      </c>
      <c r="Q695">
        <v>0.62039999999999995</v>
      </c>
    </row>
    <row r="696" spans="1:17" x14ac:dyDescent="0.35">
      <c r="A696" t="s">
        <v>703</v>
      </c>
      <c r="B696" t="s">
        <v>2191</v>
      </c>
      <c r="C696">
        <v>48</v>
      </c>
      <c r="D696" t="s">
        <v>2992</v>
      </c>
      <c r="E696" t="s">
        <v>3000</v>
      </c>
      <c r="F696" t="s">
        <v>3018</v>
      </c>
      <c r="G696">
        <v>9</v>
      </c>
      <c r="H696">
        <v>1256299</v>
      </c>
      <c r="I696">
        <v>425513</v>
      </c>
      <c r="J696">
        <v>13.5</v>
      </c>
      <c r="K696">
        <v>24</v>
      </c>
      <c r="L696" t="s">
        <v>3051</v>
      </c>
      <c r="M696">
        <v>615</v>
      </c>
      <c r="N696">
        <v>5</v>
      </c>
      <c r="O696" t="s">
        <v>3056</v>
      </c>
      <c r="P696" t="s">
        <v>3165</v>
      </c>
      <c r="Q696">
        <v>0.3387</v>
      </c>
    </row>
    <row r="697" spans="1:17" x14ac:dyDescent="0.35">
      <c r="A697" t="s">
        <v>704</v>
      </c>
      <c r="B697" t="s">
        <v>2192</v>
      </c>
      <c r="C697">
        <v>46</v>
      </c>
      <c r="D697" t="s">
        <v>2992</v>
      </c>
      <c r="E697" t="s">
        <v>3005</v>
      </c>
      <c r="F697" t="s">
        <v>3019</v>
      </c>
      <c r="G697">
        <v>10</v>
      </c>
      <c r="I697">
        <v>136214</v>
      </c>
      <c r="J697">
        <v>11.54</v>
      </c>
      <c r="K697">
        <v>36</v>
      </c>
      <c r="L697" t="s">
        <v>3049</v>
      </c>
      <c r="M697">
        <v>313</v>
      </c>
      <c r="N697">
        <v>1</v>
      </c>
      <c r="O697" t="s">
        <v>3054</v>
      </c>
      <c r="P697" t="s">
        <v>3645</v>
      </c>
      <c r="Q697">
        <v>0.1051</v>
      </c>
    </row>
    <row r="698" spans="1:17" x14ac:dyDescent="0.35">
      <c r="A698" t="s">
        <v>705</v>
      </c>
      <c r="B698" t="s">
        <v>2193</v>
      </c>
      <c r="C698">
        <v>42</v>
      </c>
      <c r="D698" t="s">
        <v>2992</v>
      </c>
      <c r="E698" t="s">
        <v>3007</v>
      </c>
      <c r="F698" t="s">
        <v>3020</v>
      </c>
      <c r="G698">
        <v>12</v>
      </c>
      <c r="H698">
        <v>2376768</v>
      </c>
      <c r="I698">
        <v>262717</v>
      </c>
      <c r="J698">
        <v>25.48</v>
      </c>
      <c r="K698">
        <v>36</v>
      </c>
      <c r="L698" t="s">
        <v>3048</v>
      </c>
      <c r="M698">
        <v>580</v>
      </c>
      <c r="N698">
        <v>5</v>
      </c>
      <c r="O698" t="s">
        <v>3057</v>
      </c>
      <c r="P698" t="s">
        <v>3646</v>
      </c>
      <c r="Q698">
        <v>0.1105</v>
      </c>
    </row>
    <row r="699" spans="1:17" x14ac:dyDescent="0.35">
      <c r="A699" t="s">
        <v>706</v>
      </c>
      <c r="B699" t="s">
        <v>2194</v>
      </c>
      <c r="C699">
        <v>51</v>
      </c>
      <c r="D699" t="s">
        <v>2992</v>
      </c>
      <c r="E699" t="s">
        <v>3004</v>
      </c>
      <c r="F699" t="s">
        <v>3020</v>
      </c>
      <c r="G699">
        <v>28</v>
      </c>
      <c r="H699">
        <v>1387786</v>
      </c>
      <c r="I699">
        <v>342854</v>
      </c>
      <c r="J699">
        <v>8.81</v>
      </c>
      <c r="K699">
        <v>60</v>
      </c>
      <c r="L699" t="s">
        <v>3048</v>
      </c>
      <c r="M699">
        <v>342</v>
      </c>
      <c r="N699">
        <v>0</v>
      </c>
      <c r="O699" t="s">
        <v>3062</v>
      </c>
      <c r="P699" t="s">
        <v>3442</v>
      </c>
      <c r="Q699">
        <v>0.24709999999999999</v>
      </c>
    </row>
    <row r="700" spans="1:17" x14ac:dyDescent="0.35">
      <c r="A700" t="s">
        <v>707</v>
      </c>
      <c r="B700" t="s">
        <v>2195</v>
      </c>
      <c r="C700">
        <v>32</v>
      </c>
      <c r="D700" t="s">
        <v>2990</v>
      </c>
      <c r="E700" t="s">
        <v>3007</v>
      </c>
      <c r="G700">
        <v>0</v>
      </c>
      <c r="H700">
        <v>1388948</v>
      </c>
      <c r="I700">
        <v>84925</v>
      </c>
      <c r="J700">
        <v>17.170000000000002</v>
      </c>
      <c r="K700">
        <v>36</v>
      </c>
      <c r="L700" t="s">
        <v>3046</v>
      </c>
      <c r="M700">
        <v>552</v>
      </c>
      <c r="N700">
        <v>4</v>
      </c>
      <c r="O700" t="s">
        <v>3061</v>
      </c>
      <c r="P700" t="s">
        <v>3219</v>
      </c>
      <c r="Q700">
        <v>6.1100000000000002E-2</v>
      </c>
    </row>
    <row r="701" spans="1:17" x14ac:dyDescent="0.35">
      <c r="A701" t="s">
        <v>708</v>
      </c>
      <c r="B701" t="s">
        <v>2196</v>
      </c>
      <c r="C701">
        <v>43</v>
      </c>
      <c r="D701" t="s">
        <v>2992</v>
      </c>
      <c r="E701" t="s">
        <v>3007</v>
      </c>
      <c r="F701" t="s">
        <v>3020</v>
      </c>
      <c r="G701">
        <v>8</v>
      </c>
      <c r="H701">
        <v>2170922</v>
      </c>
      <c r="I701">
        <v>432755</v>
      </c>
      <c r="J701">
        <v>9.3699999999999992</v>
      </c>
      <c r="K701">
        <v>48</v>
      </c>
      <c r="L701" t="s">
        <v>3048</v>
      </c>
      <c r="M701">
        <v>435</v>
      </c>
      <c r="N701">
        <v>3</v>
      </c>
      <c r="O701" t="s">
        <v>3052</v>
      </c>
      <c r="P701" t="s">
        <v>3647</v>
      </c>
      <c r="Q701">
        <v>0.1993</v>
      </c>
    </row>
    <row r="702" spans="1:17" x14ac:dyDescent="0.35">
      <c r="A702" t="s">
        <v>709</v>
      </c>
      <c r="B702" t="s">
        <v>2197</v>
      </c>
      <c r="C702">
        <v>63</v>
      </c>
      <c r="D702" t="s">
        <v>2992</v>
      </c>
      <c r="E702" t="s">
        <v>3005</v>
      </c>
      <c r="F702" t="s">
        <v>3021</v>
      </c>
      <c r="G702">
        <v>21</v>
      </c>
      <c r="H702">
        <v>2288542</v>
      </c>
      <c r="I702">
        <v>257068</v>
      </c>
      <c r="J702" t="s">
        <v>3033</v>
      </c>
      <c r="K702">
        <v>36</v>
      </c>
      <c r="L702" t="s">
        <v>3048</v>
      </c>
      <c r="M702">
        <v>512</v>
      </c>
      <c r="N702">
        <v>6</v>
      </c>
      <c r="O702" t="s">
        <v>3057</v>
      </c>
      <c r="P702" t="s">
        <v>3648</v>
      </c>
      <c r="Q702">
        <v>0.1123</v>
      </c>
    </row>
    <row r="703" spans="1:17" x14ac:dyDescent="0.35">
      <c r="A703" t="s">
        <v>710</v>
      </c>
      <c r="B703" t="s">
        <v>2198</v>
      </c>
      <c r="C703">
        <v>63</v>
      </c>
      <c r="D703" t="s">
        <v>2992</v>
      </c>
      <c r="E703" t="s">
        <v>3000</v>
      </c>
      <c r="F703" t="s">
        <v>3020</v>
      </c>
      <c r="G703">
        <v>5</v>
      </c>
      <c r="H703">
        <v>400972</v>
      </c>
      <c r="I703">
        <v>518357</v>
      </c>
      <c r="J703">
        <v>24.02</v>
      </c>
      <c r="K703">
        <v>60</v>
      </c>
      <c r="L703" t="s">
        <v>3051</v>
      </c>
      <c r="M703">
        <v>608</v>
      </c>
      <c r="N703">
        <v>4</v>
      </c>
      <c r="O703" t="s">
        <v>3053</v>
      </c>
      <c r="P703" t="s">
        <v>3417</v>
      </c>
      <c r="Q703">
        <v>1.2927999999999999</v>
      </c>
    </row>
    <row r="704" spans="1:17" x14ac:dyDescent="0.35">
      <c r="A704" t="s">
        <v>711</v>
      </c>
      <c r="B704" t="s">
        <v>2199</v>
      </c>
      <c r="C704">
        <v>42</v>
      </c>
      <c r="D704" t="s">
        <v>2992</v>
      </c>
      <c r="E704" t="s">
        <v>3001</v>
      </c>
      <c r="F704" t="s">
        <v>3021</v>
      </c>
      <c r="G704">
        <v>27</v>
      </c>
      <c r="H704">
        <v>628625</v>
      </c>
      <c r="I704">
        <v>434758</v>
      </c>
      <c r="J704">
        <v>9.68</v>
      </c>
      <c r="K704">
        <v>24</v>
      </c>
      <c r="L704" t="s">
        <v>3048</v>
      </c>
      <c r="M704">
        <v>776</v>
      </c>
      <c r="N704">
        <v>7</v>
      </c>
      <c r="O704" t="s">
        <v>3054</v>
      </c>
      <c r="P704" t="s">
        <v>3548</v>
      </c>
      <c r="Q704">
        <v>0.69159999999999999</v>
      </c>
    </row>
    <row r="705" spans="1:17" x14ac:dyDescent="0.35">
      <c r="A705" t="s">
        <v>712</v>
      </c>
      <c r="B705" t="s">
        <v>2200</v>
      </c>
      <c r="C705">
        <v>50</v>
      </c>
      <c r="D705" t="s">
        <v>2992</v>
      </c>
      <c r="E705" t="s">
        <v>3005</v>
      </c>
      <c r="F705" t="s">
        <v>3018</v>
      </c>
      <c r="G705">
        <v>13</v>
      </c>
      <c r="H705">
        <v>361948</v>
      </c>
      <c r="I705">
        <v>755035</v>
      </c>
      <c r="J705">
        <v>15.59</v>
      </c>
      <c r="K705">
        <v>60</v>
      </c>
      <c r="L705" t="s">
        <v>3047</v>
      </c>
      <c r="M705">
        <v>437</v>
      </c>
      <c r="N705">
        <v>5</v>
      </c>
      <c r="O705" t="s">
        <v>3053</v>
      </c>
      <c r="P705" t="s">
        <v>3452</v>
      </c>
      <c r="Q705">
        <v>2.0859999999999999</v>
      </c>
    </row>
    <row r="706" spans="1:17" x14ac:dyDescent="0.35">
      <c r="A706" t="s">
        <v>713</v>
      </c>
      <c r="B706" t="s">
        <v>2201</v>
      </c>
      <c r="C706">
        <v>39</v>
      </c>
      <c r="D706" t="s">
        <v>2990</v>
      </c>
      <c r="E706" t="s">
        <v>2998</v>
      </c>
      <c r="F706" t="s">
        <v>3018</v>
      </c>
      <c r="G706">
        <v>8</v>
      </c>
      <c r="H706">
        <v>2206395</v>
      </c>
      <c r="I706">
        <v>647835</v>
      </c>
      <c r="J706">
        <v>12.42</v>
      </c>
      <c r="K706">
        <v>60</v>
      </c>
      <c r="L706" t="s">
        <v>3051</v>
      </c>
      <c r="M706">
        <v>539</v>
      </c>
      <c r="N706">
        <v>3</v>
      </c>
      <c r="O706" t="s">
        <v>3055</v>
      </c>
      <c r="P706" t="s">
        <v>3649</v>
      </c>
      <c r="Q706">
        <v>0.29360000000000003</v>
      </c>
    </row>
    <row r="707" spans="1:17" x14ac:dyDescent="0.35">
      <c r="A707" t="s">
        <v>714</v>
      </c>
      <c r="B707" t="s">
        <v>2202</v>
      </c>
      <c r="C707">
        <v>34</v>
      </c>
      <c r="D707" t="s">
        <v>2990</v>
      </c>
      <c r="E707" t="s">
        <v>3003</v>
      </c>
      <c r="F707" t="s">
        <v>3019</v>
      </c>
      <c r="G707">
        <v>15</v>
      </c>
      <c r="H707">
        <v>2398820</v>
      </c>
      <c r="I707">
        <v>734647</v>
      </c>
      <c r="J707">
        <v>11.33</v>
      </c>
      <c r="K707">
        <v>12</v>
      </c>
      <c r="L707" t="s">
        <v>3048</v>
      </c>
      <c r="M707">
        <v>536</v>
      </c>
      <c r="N707">
        <v>3</v>
      </c>
      <c r="O707" t="s">
        <v>3057</v>
      </c>
      <c r="P707" t="s">
        <v>3650</v>
      </c>
      <c r="Q707">
        <v>0.30630000000000002</v>
      </c>
    </row>
    <row r="708" spans="1:17" x14ac:dyDescent="0.35">
      <c r="A708" t="s">
        <v>715</v>
      </c>
      <c r="B708" t="s">
        <v>2203</v>
      </c>
      <c r="C708">
        <v>42</v>
      </c>
      <c r="D708" t="s">
        <v>2990</v>
      </c>
      <c r="E708" t="s">
        <v>3006</v>
      </c>
      <c r="F708" t="s">
        <v>3020</v>
      </c>
      <c r="G708">
        <v>15</v>
      </c>
      <c r="H708">
        <v>1518106</v>
      </c>
      <c r="I708">
        <v>313851</v>
      </c>
      <c r="J708">
        <v>27.83</v>
      </c>
      <c r="K708">
        <v>24</v>
      </c>
      <c r="L708" t="s">
        <v>3048</v>
      </c>
      <c r="M708">
        <v>596</v>
      </c>
      <c r="N708">
        <v>1</v>
      </c>
      <c r="O708" t="s">
        <v>3052</v>
      </c>
      <c r="P708" t="s">
        <v>3130</v>
      </c>
      <c r="Q708">
        <v>0.20669999999999999</v>
      </c>
    </row>
    <row r="709" spans="1:17" x14ac:dyDescent="0.35">
      <c r="A709" t="s">
        <v>716</v>
      </c>
      <c r="B709" t="s">
        <v>2204</v>
      </c>
      <c r="C709">
        <v>120</v>
      </c>
      <c r="D709" t="s">
        <v>2990</v>
      </c>
      <c r="E709" t="s">
        <v>3005</v>
      </c>
      <c r="F709" t="s">
        <v>3020</v>
      </c>
      <c r="G709">
        <v>1</v>
      </c>
      <c r="H709">
        <v>906331</v>
      </c>
      <c r="I709">
        <v>542552</v>
      </c>
      <c r="J709">
        <v>15.6</v>
      </c>
      <c r="K709">
        <v>36</v>
      </c>
      <c r="L709" t="s">
        <v>3051</v>
      </c>
      <c r="M709">
        <v>819</v>
      </c>
      <c r="N709">
        <v>2</v>
      </c>
      <c r="O709" t="s">
        <v>3055</v>
      </c>
      <c r="P709" t="s">
        <v>3651</v>
      </c>
      <c r="Q709">
        <v>0.59860000000000002</v>
      </c>
    </row>
    <row r="710" spans="1:17" x14ac:dyDescent="0.35">
      <c r="A710" t="s">
        <v>717</v>
      </c>
      <c r="B710" t="s">
        <v>2205</v>
      </c>
      <c r="C710">
        <v>56</v>
      </c>
      <c r="D710" t="s">
        <v>2994</v>
      </c>
      <c r="E710" t="s">
        <v>3000</v>
      </c>
      <c r="F710" t="s">
        <v>3020</v>
      </c>
      <c r="G710">
        <v>20</v>
      </c>
      <c r="H710">
        <v>758688</v>
      </c>
      <c r="I710">
        <v>377574</v>
      </c>
      <c r="J710">
        <v>24.24</v>
      </c>
      <c r="K710">
        <v>60</v>
      </c>
      <c r="L710" t="s">
        <v>3047</v>
      </c>
      <c r="N710">
        <v>7</v>
      </c>
      <c r="O710" t="s">
        <v>3052</v>
      </c>
      <c r="P710" t="s">
        <v>3243</v>
      </c>
      <c r="Q710">
        <v>0.49769999999999998</v>
      </c>
    </row>
    <row r="711" spans="1:17" x14ac:dyDescent="0.35">
      <c r="A711" t="s">
        <v>718</v>
      </c>
      <c r="B711" t="s">
        <v>2206</v>
      </c>
      <c r="C711">
        <v>48</v>
      </c>
      <c r="D711" t="s">
        <v>2990</v>
      </c>
      <c r="E711" t="s">
        <v>3007</v>
      </c>
      <c r="F711" t="s">
        <v>3020</v>
      </c>
      <c r="G711">
        <v>4</v>
      </c>
      <c r="I711">
        <v>176989</v>
      </c>
      <c r="J711">
        <v>19.32</v>
      </c>
      <c r="K711">
        <v>36</v>
      </c>
      <c r="M711">
        <v>375</v>
      </c>
      <c r="N711">
        <v>5</v>
      </c>
      <c r="O711" t="s">
        <v>3052</v>
      </c>
      <c r="P711" t="s">
        <v>3652</v>
      </c>
      <c r="Q711">
        <v>0.24149999999999999</v>
      </c>
    </row>
    <row r="712" spans="1:17" x14ac:dyDescent="0.35">
      <c r="A712" t="s">
        <v>719</v>
      </c>
      <c r="B712" t="s">
        <v>2207</v>
      </c>
      <c r="C712">
        <v>42</v>
      </c>
      <c r="D712" t="s">
        <v>2992</v>
      </c>
      <c r="E712" t="s">
        <v>2998</v>
      </c>
      <c r="F712" t="s">
        <v>3018</v>
      </c>
      <c r="G712">
        <v>20</v>
      </c>
      <c r="H712">
        <v>1121768</v>
      </c>
      <c r="I712">
        <v>590201</v>
      </c>
      <c r="J712">
        <v>22.85</v>
      </c>
      <c r="K712">
        <v>60</v>
      </c>
      <c r="L712" t="s">
        <v>3046</v>
      </c>
      <c r="M712">
        <v>757</v>
      </c>
      <c r="N712">
        <v>7</v>
      </c>
      <c r="O712" t="s">
        <v>3054</v>
      </c>
      <c r="P712" t="s">
        <v>3653</v>
      </c>
      <c r="Q712">
        <v>0.52610000000000001</v>
      </c>
    </row>
    <row r="713" spans="1:17" x14ac:dyDescent="0.35">
      <c r="A713" t="s">
        <v>720</v>
      </c>
      <c r="B713" t="s">
        <v>2208</v>
      </c>
      <c r="C713">
        <v>53</v>
      </c>
      <c r="D713" t="s">
        <v>2992</v>
      </c>
      <c r="E713" t="s">
        <v>3001</v>
      </c>
      <c r="F713" t="s">
        <v>3021</v>
      </c>
      <c r="G713">
        <v>27</v>
      </c>
      <c r="H713">
        <v>1645291</v>
      </c>
      <c r="I713">
        <v>434841</v>
      </c>
      <c r="J713">
        <v>26.69</v>
      </c>
      <c r="K713">
        <v>12</v>
      </c>
      <c r="L713" t="s">
        <v>3046</v>
      </c>
      <c r="M713">
        <v>754</v>
      </c>
      <c r="N713">
        <v>6</v>
      </c>
      <c r="O713" t="s">
        <v>3052</v>
      </c>
      <c r="P713" t="s">
        <v>3468</v>
      </c>
      <c r="Q713">
        <v>0.26429999999999998</v>
      </c>
    </row>
    <row r="714" spans="1:17" x14ac:dyDescent="0.35">
      <c r="A714" t="s">
        <v>721</v>
      </c>
      <c r="B714" t="s">
        <v>2209</v>
      </c>
      <c r="C714">
        <v>41</v>
      </c>
      <c r="D714" t="s">
        <v>2990</v>
      </c>
      <c r="E714" t="s">
        <v>3001</v>
      </c>
      <c r="F714" t="s">
        <v>3018</v>
      </c>
      <c r="G714">
        <v>22</v>
      </c>
      <c r="H714">
        <v>350102</v>
      </c>
      <c r="I714">
        <v>165051</v>
      </c>
      <c r="J714">
        <v>18.28</v>
      </c>
      <c r="K714">
        <v>12</v>
      </c>
      <c r="L714" t="s">
        <v>3049</v>
      </c>
      <c r="M714">
        <v>305</v>
      </c>
      <c r="N714">
        <v>4</v>
      </c>
      <c r="O714" t="s">
        <v>3057</v>
      </c>
      <c r="P714" t="s">
        <v>3654</v>
      </c>
      <c r="Q714">
        <v>0.47139999999999999</v>
      </c>
    </row>
    <row r="715" spans="1:17" x14ac:dyDescent="0.35">
      <c r="A715" t="s">
        <v>430</v>
      </c>
      <c r="B715" t="s">
        <v>1920</v>
      </c>
      <c r="C715">
        <v>43</v>
      </c>
      <c r="E715" t="s">
        <v>3003</v>
      </c>
      <c r="F715" t="s">
        <v>3019</v>
      </c>
      <c r="G715">
        <v>18</v>
      </c>
      <c r="H715">
        <v>303950</v>
      </c>
      <c r="I715">
        <v>678250</v>
      </c>
      <c r="J715">
        <v>8.2100000000000009</v>
      </c>
      <c r="K715">
        <v>36</v>
      </c>
      <c r="L715" t="s">
        <v>3047</v>
      </c>
      <c r="M715">
        <v>615</v>
      </c>
      <c r="N715">
        <v>7</v>
      </c>
      <c r="O715" t="s">
        <v>3055</v>
      </c>
      <c r="P715" t="s">
        <v>3437</v>
      </c>
      <c r="Q715">
        <v>2.2315</v>
      </c>
    </row>
    <row r="716" spans="1:17" x14ac:dyDescent="0.35">
      <c r="B716" t="s">
        <v>2210</v>
      </c>
      <c r="C716">
        <v>41</v>
      </c>
      <c r="D716" t="s">
        <v>2992</v>
      </c>
      <c r="E716" t="s">
        <v>3006</v>
      </c>
      <c r="F716" t="s">
        <v>3018</v>
      </c>
      <c r="G716">
        <v>5</v>
      </c>
      <c r="H716">
        <v>2077832</v>
      </c>
      <c r="I716">
        <v>642334</v>
      </c>
      <c r="J716">
        <v>10.48</v>
      </c>
      <c r="K716">
        <v>60</v>
      </c>
      <c r="L716" t="s">
        <v>3046</v>
      </c>
      <c r="N716">
        <v>3</v>
      </c>
      <c r="O716" t="s">
        <v>3056</v>
      </c>
      <c r="P716" t="s">
        <v>3655</v>
      </c>
      <c r="Q716">
        <v>0.30909999999999999</v>
      </c>
    </row>
    <row r="717" spans="1:17" x14ac:dyDescent="0.35">
      <c r="A717" t="s">
        <v>722</v>
      </c>
      <c r="B717" t="s">
        <v>2211</v>
      </c>
      <c r="C717">
        <v>33</v>
      </c>
      <c r="D717" t="s">
        <v>2990</v>
      </c>
      <c r="E717" t="s">
        <v>3000</v>
      </c>
      <c r="F717" t="s">
        <v>3021</v>
      </c>
      <c r="G717">
        <v>9</v>
      </c>
      <c r="H717">
        <v>862568</v>
      </c>
      <c r="I717">
        <v>680327</v>
      </c>
      <c r="J717">
        <v>15.86</v>
      </c>
      <c r="K717">
        <v>48</v>
      </c>
      <c r="L717" t="s">
        <v>3049</v>
      </c>
      <c r="M717">
        <v>689</v>
      </c>
      <c r="N717">
        <v>0</v>
      </c>
      <c r="O717" t="s">
        <v>3052</v>
      </c>
      <c r="P717" t="s">
        <v>3347</v>
      </c>
      <c r="Q717">
        <v>0.78869999999999996</v>
      </c>
    </row>
    <row r="718" spans="1:17" x14ac:dyDescent="0.35">
      <c r="A718" t="s">
        <v>723</v>
      </c>
      <c r="B718" t="s">
        <v>2212</v>
      </c>
      <c r="C718">
        <v>22</v>
      </c>
      <c r="D718" t="s">
        <v>2990</v>
      </c>
      <c r="E718" t="s">
        <v>2999</v>
      </c>
      <c r="F718" t="s">
        <v>3020</v>
      </c>
      <c r="G718">
        <v>4</v>
      </c>
      <c r="H718">
        <v>562729</v>
      </c>
      <c r="I718">
        <v>702405</v>
      </c>
      <c r="J718">
        <v>18.05</v>
      </c>
      <c r="K718">
        <v>60</v>
      </c>
      <c r="L718" t="s">
        <v>3047</v>
      </c>
      <c r="M718">
        <v>662</v>
      </c>
      <c r="N718">
        <v>6</v>
      </c>
      <c r="O718" t="s">
        <v>3057</v>
      </c>
      <c r="P718" t="s">
        <v>3656</v>
      </c>
      <c r="Q718">
        <v>1.2482</v>
      </c>
    </row>
    <row r="719" spans="1:17" x14ac:dyDescent="0.35">
      <c r="A719" t="s">
        <v>724</v>
      </c>
      <c r="B719" t="s">
        <v>2213</v>
      </c>
      <c r="C719">
        <v>55</v>
      </c>
      <c r="D719" t="s">
        <v>2990</v>
      </c>
      <c r="E719" t="s">
        <v>3007</v>
      </c>
      <c r="F719" t="s">
        <v>3020</v>
      </c>
      <c r="G719">
        <v>6</v>
      </c>
      <c r="H719">
        <v>1820920</v>
      </c>
      <c r="I719">
        <v>349231</v>
      </c>
      <c r="J719">
        <v>17.79</v>
      </c>
      <c r="K719">
        <v>24</v>
      </c>
      <c r="L719" t="s">
        <v>3051</v>
      </c>
      <c r="M719">
        <v>810</v>
      </c>
      <c r="N719">
        <v>0</v>
      </c>
      <c r="O719" t="s">
        <v>3057</v>
      </c>
      <c r="P719" t="s">
        <v>3657</v>
      </c>
      <c r="Q719">
        <v>0.1918</v>
      </c>
    </row>
    <row r="720" spans="1:17" x14ac:dyDescent="0.35">
      <c r="A720" t="s">
        <v>725</v>
      </c>
      <c r="B720" t="s">
        <v>2214</v>
      </c>
      <c r="C720">
        <v>64</v>
      </c>
      <c r="D720" t="s">
        <v>2992</v>
      </c>
      <c r="E720" t="s">
        <v>2999</v>
      </c>
      <c r="F720" t="s">
        <v>3019</v>
      </c>
      <c r="G720">
        <v>15</v>
      </c>
      <c r="H720">
        <v>248920</v>
      </c>
      <c r="I720">
        <v>146270</v>
      </c>
      <c r="J720">
        <v>17.920000000000002</v>
      </c>
      <c r="K720">
        <v>24</v>
      </c>
      <c r="L720" t="s">
        <v>3049</v>
      </c>
      <c r="M720">
        <v>355</v>
      </c>
      <c r="N720">
        <v>5</v>
      </c>
      <c r="O720" t="s">
        <v>3057</v>
      </c>
      <c r="P720" t="s">
        <v>3369</v>
      </c>
      <c r="Q720">
        <v>0.58760000000000001</v>
      </c>
    </row>
    <row r="721" spans="1:17" x14ac:dyDescent="0.35">
      <c r="A721" t="s">
        <v>726</v>
      </c>
      <c r="B721" t="s">
        <v>2215</v>
      </c>
      <c r="C721">
        <v>6</v>
      </c>
      <c r="D721" t="s">
        <v>2990</v>
      </c>
      <c r="E721" t="s">
        <v>3001</v>
      </c>
      <c r="F721" t="s">
        <v>3021</v>
      </c>
      <c r="G721">
        <v>12</v>
      </c>
      <c r="H721">
        <v>2082897</v>
      </c>
      <c r="I721">
        <v>258038</v>
      </c>
      <c r="J721">
        <v>13.62</v>
      </c>
      <c r="K721">
        <v>48</v>
      </c>
      <c r="L721" t="s">
        <v>3049</v>
      </c>
      <c r="M721">
        <v>379</v>
      </c>
      <c r="N721">
        <v>2</v>
      </c>
      <c r="O721" t="s">
        <v>3052</v>
      </c>
      <c r="P721" t="s">
        <v>3658</v>
      </c>
      <c r="Q721">
        <v>0.1239</v>
      </c>
    </row>
    <row r="722" spans="1:17" x14ac:dyDescent="0.35">
      <c r="A722" t="s">
        <v>615</v>
      </c>
      <c r="B722" t="s">
        <v>2104</v>
      </c>
      <c r="C722">
        <v>53</v>
      </c>
      <c r="D722" t="s">
        <v>2990</v>
      </c>
      <c r="E722" t="s">
        <v>2999</v>
      </c>
      <c r="F722" t="s">
        <v>3018</v>
      </c>
      <c r="G722">
        <v>8</v>
      </c>
      <c r="H722">
        <v>1796596</v>
      </c>
      <c r="I722">
        <v>714119</v>
      </c>
      <c r="J722">
        <v>20.09</v>
      </c>
      <c r="K722">
        <v>60</v>
      </c>
      <c r="L722" t="s">
        <v>3049</v>
      </c>
      <c r="M722">
        <v>363</v>
      </c>
      <c r="N722">
        <v>6</v>
      </c>
      <c r="O722" t="s">
        <v>3057</v>
      </c>
      <c r="P722" t="s">
        <v>3659</v>
      </c>
      <c r="Q722">
        <v>0.39750000000000002</v>
      </c>
    </row>
    <row r="723" spans="1:17" x14ac:dyDescent="0.35">
      <c r="A723" t="s">
        <v>727</v>
      </c>
      <c r="B723" t="s">
        <v>2216</v>
      </c>
      <c r="C723">
        <v>24</v>
      </c>
      <c r="D723" t="s">
        <v>2990</v>
      </c>
      <c r="E723" t="s">
        <v>3002</v>
      </c>
      <c r="F723" t="s">
        <v>3019</v>
      </c>
      <c r="G723">
        <v>21</v>
      </c>
      <c r="H723">
        <v>384451</v>
      </c>
      <c r="I723">
        <v>435534</v>
      </c>
      <c r="J723">
        <v>13.17</v>
      </c>
      <c r="K723">
        <v>12</v>
      </c>
      <c r="L723" t="s">
        <v>3049</v>
      </c>
      <c r="M723">
        <v>846</v>
      </c>
      <c r="N723">
        <v>7</v>
      </c>
      <c r="O723" t="s">
        <v>3053</v>
      </c>
      <c r="P723" t="s">
        <v>3660</v>
      </c>
      <c r="Q723">
        <v>1.1329</v>
      </c>
    </row>
    <row r="724" spans="1:17" x14ac:dyDescent="0.35">
      <c r="A724" t="s">
        <v>728</v>
      </c>
      <c r="B724" t="s">
        <v>2217</v>
      </c>
      <c r="C724">
        <v>37</v>
      </c>
      <c r="D724" t="s">
        <v>2990</v>
      </c>
      <c r="E724" t="s">
        <v>3004</v>
      </c>
      <c r="F724" t="s">
        <v>3021</v>
      </c>
      <c r="G724">
        <v>1</v>
      </c>
      <c r="H724">
        <v>1905322</v>
      </c>
      <c r="I724">
        <v>383298</v>
      </c>
      <c r="J724" t="s">
        <v>3034</v>
      </c>
      <c r="K724">
        <v>60</v>
      </c>
      <c r="L724" t="s">
        <v>3049</v>
      </c>
      <c r="M724">
        <v>532</v>
      </c>
      <c r="N724">
        <v>2</v>
      </c>
      <c r="O724" t="s">
        <v>3056</v>
      </c>
      <c r="P724" t="s">
        <v>3605</v>
      </c>
      <c r="Q724">
        <v>0.20119999999999999</v>
      </c>
    </row>
    <row r="725" spans="1:17" x14ac:dyDescent="0.35">
      <c r="A725" t="s">
        <v>729</v>
      </c>
      <c r="B725" t="s">
        <v>2218</v>
      </c>
      <c r="C725">
        <v>25</v>
      </c>
      <c r="D725" t="s">
        <v>2992</v>
      </c>
      <c r="E725" t="s">
        <v>3005</v>
      </c>
      <c r="G725">
        <v>19</v>
      </c>
      <c r="H725">
        <v>2196106</v>
      </c>
      <c r="I725">
        <v>96240</v>
      </c>
      <c r="J725">
        <v>26.26</v>
      </c>
      <c r="K725">
        <v>24</v>
      </c>
      <c r="L725" t="s">
        <v>3048</v>
      </c>
      <c r="M725">
        <v>568</v>
      </c>
      <c r="N725">
        <v>3</v>
      </c>
      <c r="O725" t="s">
        <v>3052</v>
      </c>
      <c r="P725" t="s">
        <v>3661</v>
      </c>
      <c r="Q725">
        <v>4.3799999999999999E-2</v>
      </c>
    </row>
    <row r="726" spans="1:17" x14ac:dyDescent="0.35">
      <c r="A726" t="s">
        <v>730</v>
      </c>
      <c r="B726" t="s">
        <v>2219</v>
      </c>
      <c r="C726">
        <v>61</v>
      </c>
      <c r="D726" t="s">
        <v>2990</v>
      </c>
      <c r="E726" t="s">
        <v>2999</v>
      </c>
      <c r="F726" t="s">
        <v>3018</v>
      </c>
      <c r="G726">
        <v>6</v>
      </c>
      <c r="H726">
        <v>1485487</v>
      </c>
      <c r="I726">
        <v>284852</v>
      </c>
      <c r="J726">
        <v>23.84</v>
      </c>
      <c r="K726">
        <v>48</v>
      </c>
      <c r="L726" t="s">
        <v>3051</v>
      </c>
      <c r="M726">
        <v>327</v>
      </c>
      <c r="N726">
        <v>5</v>
      </c>
      <c r="O726" t="s">
        <v>3053</v>
      </c>
      <c r="P726" t="s">
        <v>3662</v>
      </c>
      <c r="Q726">
        <v>0.1918</v>
      </c>
    </row>
    <row r="727" spans="1:17" x14ac:dyDescent="0.35">
      <c r="A727" t="s">
        <v>731</v>
      </c>
      <c r="B727" t="s">
        <v>2220</v>
      </c>
      <c r="C727">
        <v>53</v>
      </c>
      <c r="D727" t="s">
        <v>2990</v>
      </c>
      <c r="E727" t="s">
        <v>3000</v>
      </c>
      <c r="F727" t="s">
        <v>3019</v>
      </c>
      <c r="G727">
        <v>14</v>
      </c>
      <c r="H727">
        <v>2229927</v>
      </c>
      <c r="I727">
        <v>293452</v>
      </c>
      <c r="J727">
        <v>24.41</v>
      </c>
      <c r="K727">
        <v>48</v>
      </c>
      <c r="L727" t="s">
        <v>3050</v>
      </c>
      <c r="N727">
        <v>6</v>
      </c>
      <c r="O727" t="s">
        <v>3055</v>
      </c>
      <c r="P727" t="s">
        <v>3098</v>
      </c>
      <c r="Q727">
        <v>0.13159999999999999</v>
      </c>
    </row>
    <row r="728" spans="1:17" x14ac:dyDescent="0.35">
      <c r="A728" t="s">
        <v>732</v>
      </c>
      <c r="B728" t="s">
        <v>2221</v>
      </c>
      <c r="C728">
        <v>22</v>
      </c>
      <c r="D728" t="s">
        <v>2990</v>
      </c>
      <c r="E728" t="s">
        <v>3002</v>
      </c>
      <c r="F728" t="s">
        <v>3018</v>
      </c>
      <c r="G728">
        <v>6</v>
      </c>
      <c r="H728">
        <v>1414915</v>
      </c>
      <c r="I728">
        <v>719895</v>
      </c>
      <c r="J728">
        <v>21.26</v>
      </c>
      <c r="K728">
        <v>24</v>
      </c>
      <c r="L728" t="s">
        <v>3048</v>
      </c>
      <c r="M728">
        <v>716</v>
      </c>
      <c r="N728">
        <v>1</v>
      </c>
      <c r="O728" t="s">
        <v>3054</v>
      </c>
      <c r="P728" t="s">
        <v>3663</v>
      </c>
      <c r="Q728">
        <v>0.50880000000000003</v>
      </c>
    </row>
    <row r="729" spans="1:17" x14ac:dyDescent="0.35">
      <c r="A729" t="s">
        <v>733</v>
      </c>
      <c r="B729" t="s">
        <v>2222</v>
      </c>
      <c r="C729">
        <v>42</v>
      </c>
      <c r="D729" t="s">
        <v>2990</v>
      </c>
      <c r="E729" t="s">
        <v>3003</v>
      </c>
      <c r="F729" t="s">
        <v>3019</v>
      </c>
      <c r="G729">
        <v>22</v>
      </c>
      <c r="H729">
        <v>1809311</v>
      </c>
      <c r="I729">
        <v>172353</v>
      </c>
      <c r="J729">
        <v>10.85</v>
      </c>
      <c r="K729">
        <v>24</v>
      </c>
      <c r="L729" t="s">
        <v>3050</v>
      </c>
      <c r="M729">
        <v>528</v>
      </c>
      <c r="N729">
        <v>4</v>
      </c>
      <c r="O729" t="s">
        <v>3060</v>
      </c>
      <c r="P729" t="s">
        <v>3664</v>
      </c>
      <c r="Q729">
        <v>9.5299999999999996E-2</v>
      </c>
    </row>
    <row r="730" spans="1:17" x14ac:dyDescent="0.35">
      <c r="A730" t="s">
        <v>734</v>
      </c>
      <c r="B730" t="s">
        <v>2223</v>
      </c>
      <c r="C730">
        <v>62</v>
      </c>
      <c r="D730" t="s">
        <v>2990</v>
      </c>
      <c r="E730" t="s">
        <v>3003</v>
      </c>
      <c r="F730" t="s">
        <v>3019</v>
      </c>
      <c r="G730">
        <v>4</v>
      </c>
      <c r="I730">
        <v>447530</v>
      </c>
      <c r="J730">
        <v>27.55</v>
      </c>
      <c r="K730">
        <v>12</v>
      </c>
      <c r="L730" t="s">
        <v>3046</v>
      </c>
      <c r="M730">
        <v>756</v>
      </c>
      <c r="N730">
        <v>7</v>
      </c>
      <c r="O730" t="s">
        <v>3052</v>
      </c>
      <c r="P730" t="s">
        <v>3665</v>
      </c>
      <c r="Q730">
        <v>0.21990000000000001</v>
      </c>
    </row>
    <row r="731" spans="1:17" x14ac:dyDescent="0.35">
      <c r="A731" t="s">
        <v>735</v>
      </c>
      <c r="B731" t="s">
        <v>2224</v>
      </c>
      <c r="C731">
        <v>61</v>
      </c>
      <c r="D731" t="s">
        <v>2992</v>
      </c>
      <c r="E731" t="s">
        <v>3002</v>
      </c>
      <c r="F731" t="s">
        <v>3020</v>
      </c>
      <c r="G731">
        <v>8</v>
      </c>
      <c r="H731">
        <v>1544973</v>
      </c>
      <c r="I731">
        <v>58578</v>
      </c>
      <c r="J731">
        <v>8.27</v>
      </c>
      <c r="K731">
        <v>48</v>
      </c>
      <c r="L731" t="s">
        <v>3051</v>
      </c>
      <c r="M731">
        <v>500</v>
      </c>
      <c r="N731">
        <v>7</v>
      </c>
      <c r="O731" t="s">
        <v>3053</v>
      </c>
      <c r="P731" t="s">
        <v>3666</v>
      </c>
      <c r="Q731">
        <v>3.7900000000000003E-2</v>
      </c>
    </row>
    <row r="732" spans="1:17" x14ac:dyDescent="0.35">
      <c r="A732" t="s">
        <v>736</v>
      </c>
      <c r="B732" t="s">
        <v>2225</v>
      </c>
      <c r="C732">
        <v>38</v>
      </c>
      <c r="D732" t="s">
        <v>2992</v>
      </c>
      <c r="E732" t="s">
        <v>3002</v>
      </c>
      <c r="F732" t="s">
        <v>3020</v>
      </c>
      <c r="G732">
        <v>8</v>
      </c>
      <c r="H732">
        <v>1273314</v>
      </c>
      <c r="I732">
        <v>513216</v>
      </c>
      <c r="J732">
        <v>19.14</v>
      </c>
      <c r="K732">
        <v>48</v>
      </c>
      <c r="N732">
        <v>3</v>
      </c>
      <c r="O732" t="s">
        <v>3053</v>
      </c>
      <c r="P732" t="s">
        <v>3667</v>
      </c>
      <c r="Q732">
        <v>0.40310000000000001</v>
      </c>
    </row>
    <row r="733" spans="1:17" x14ac:dyDescent="0.35">
      <c r="A733" t="s">
        <v>737</v>
      </c>
      <c r="B733" t="s">
        <v>2226</v>
      </c>
      <c r="C733">
        <v>49</v>
      </c>
      <c r="D733" t="s">
        <v>2990</v>
      </c>
      <c r="E733" t="s">
        <v>3002</v>
      </c>
      <c r="F733" t="s">
        <v>3020</v>
      </c>
      <c r="G733">
        <v>19</v>
      </c>
      <c r="H733">
        <v>1673293</v>
      </c>
      <c r="I733">
        <v>783529</v>
      </c>
      <c r="J733">
        <v>14.83</v>
      </c>
      <c r="K733">
        <v>36</v>
      </c>
      <c r="L733" t="s">
        <v>3048</v>
      </c>
      <c r="M733">
        <v>336</v>
      </c>
      <c r="N733">
        <v>4</v>
      </c>
      <c r="O733" t="s">
        <v>3052</v>
      </c>
      <c r="P733" t="s">
        <v>3668</v>
      </c>
      <c r="Q733">
        <v>0.46829999999999999</v>
      </c>
    </row>
    <row r="734" spans="1:17" x14ac:dyDescent="0.35">
      <c r="A734" t="s">
        <v>738</v>
      </c>
      <c r="B734" t="s">
        <v>2227</v>
      </c>
      <c r="C734">
        <v>31</v>
      </c>
      <c r="D734" t="s">
        <v>2992</v>
      </c>
      <c r="E734" t="s">
        <v>3000</v>
      </c>
      <c r="F734" t="s">
        <v>3021</v>
      </c>
      <c r="G734">
        <v>5</v>
      </c>
      <c r="H734">
        <v>1406408</v>
      </c>
      <c r="I734">
        <v>539163</v>
      </c>
      <c r="J734">
        <v>25.6</v>
      </c>
      <c r="K734">
        <v>60</v>
      </c>
      <c r="L734" t="s">
        <v>3051</v>
      </c>
      <c r="M734">
        <v>579</v>
      </c>
      <c r="N734">
        <v>2</v>
      </c>
      <c r="O734" t="s">
        <v>3055</v>
      </c>
      <c r="P734" t="s">
        <v>3669</v>
      </c>
      <c r="Q734">
        <v>0.38340000000000002</v>
      </c>
    </row>
    <row r="735" spans="1:17" x14ac:dyDescent="0.35">
      <c r="A735" t="s">
        <v>739</v>
      </c>
      <c r="B735" t="s">
        <v>2228</v>
      </c>
      <c r="C735">
        <v>27</v>
      </c>
      <c r="D735" t="s">
        <v>2990</v>
      </c>
      <c r="E735" t="s">
        <v>3000</v>
      </c>
      <c r="F735" t="s">
        <v>3018</v>
      </c>
      <c r="G735">
        <v>7</v>
      </c>
      <c r="H735">
        <v>1910228</v>
      </c>
      <c r="I735">
        <v>188785</v>
      </c>
      <c r="J735">
        <v>9.8800000000000008</v>
      </c>
      <c r="K735">
        <v>24</v>
      </c>
      <c r="L735" t="s">
        <v>3048</v>
      </c>
      <c r="M735">
        <v>518</v>
      </c>
      <c r="N735">
        <v>6</v>
      </c>
      <c r="O735" t="s">
        <v>3052</v>
      </c>
      <c r="P735" t="s">
        <v>3262</v>
      </c>
      <c r="Q735">
        <v>9.8799999999999999E-2</v>
      </c>
    </row>
    <row r="736" spans="1:17" x14ac:dyDescent="0.35">
      <c r="A736" t="s">
        <v>740</v>
      </c>
      <c r="B736" t="s">
        <v>2229</v>
      </c>
      <c r="C736">
        <v>30</v>
      </c>
      <c r="D736" t="s">
        <v>2992</v>
      </c>
      <c r="E736" t="s">
        <v>3006</v>
      </c>
      <c r="F736" t="s">
        <v>3021</v>
      </c>
      <c r="G736">
        <v>13</v>
      </c>
      <c r="H736">
        <v>667510</v>
      </c>
      <c r="I736">
        <v>518682</v>
      </c>
      <c r="J736">
        <v>19.73</v>
      </c>
      <c r="K736">
        <v>24</v>
      </c>
      <c r="L736" t="s">
        <v>3049</v>
      </c>
      <c r="M736">
        <v>544</v>
      </c>
      <c r="N736">
        <v>6</v>
      </c>
      <c r="O736" t="s">
        <v>3053</v>
      </c>
      <c r="P736" t="s">
        <v>3670</v>
      </c>
      <c r="Q736">
        <v>0.77700000000000002</v>
      </c>
    </row>
    <row r="737" spans="1:17" x14ac:dyDescent="0.35">
      <c r="A737" t="s">
        <v>741</v>
      </c>
      <c r="B737" t="s">
        <v>2230</v>
      </c>
      <c r="C737">
        <v>55</v>
      </c>
      <c r="D737" t="s">
        <v>2992</v>
      </c>
      <c r="E737" t="s">
        <v>2999</v>
      </c>
      <c r="F737" t="s">
        <v>3021</v>
      </c>
      <c r="G737">
        <v>3</v>
      </c>
      <c r="H737">
        <v>1959685</v>
      </c>
      <c r="I737">
        <v>693422</v>
      </c>
      <c r="J737">
        <v>15.74</v>
      </c>
      <c r="K737">
        <v>48</v>
      </c>
      <c r="L737" t="s">
        <v>3047</v>
      </c>
      <c r="M737">
        <v>460</v>
      </c>
      <c r="N737">
        <v>4</v>
      </c>
      <c r="O737" t="s">
        <v>3055</v>
      </c>
      <c r="P737" t="s">
        <v>3614</v>
      </c>
      <c r="Q737">
        <v>0.3538</v>
      </c>
    </row>
    <row r="738" spans="1:17" x14ac:dyDescent="0.35">
      <c r="A738" t="s">
        <v>742</v>
      </c>
      <c r="B738" t="s">
        <v>2231</v>
      </c>
      <c r="C738">
        <v>49</v>
      </c>
      <c r="D738" t="s">
        <v>2990</v>
      </c>
      <c r="E738" t="s">
        <v>3002</v>
      </c>
      <c r="F738" t="s">
        <v>3021</v>
      </c>
      <c r="G738">
        <v>26</v>
      </c>
      <c r="H738">
        <v>437681</v>
      </c>
      <c r="I738">
        <v>798493</v>
      </c>
      <c r="J738">
        <v>12.67</v>
      </c>
      <c r="K738">
        <v>60</v>
      </c>
      <c r="L738" t="s">
        <v>3049</v>
      </c>
      <c r="M738">
        <v>513</v>
      </c>
      <c r="N738">
        <v>4</v>
      </c>
      <c r="O738" t="s">
        <v>3056</v>
      </c>
      <c r="P738" t="s">
        <v>3621</v>
      </c>
      <c r="Q738">
        <v>1.8244</v>
      </c>
    </row>
    <row r="739" spans="1:17" x14ac:dyDescent="0.35">
      <c r="A739" t="s">
        <v>743</v>
      </c>
      <c r="B739" t="s">
        <v>2232</v>
      </c>
      <c r="C739">
        <v>32</v>
      </c>
      <c r="D739" t="s">
        <v>2990</v>
      </c>
      <c r="E739" t="s">
        <v>3007</v>
      </c>
      <c r="F739" t="s">
        <v>3018</v>
      </c>
      <c r="G739">
        <v>9</v>
      </c>
      <c r="H739">
        <v>1107460</v>
      </c>
      <c r="I739">
        <v>604010</v>
      </c>
      <c r="J739">
        <v>17.079999999999998</v>
      </c>
      <c r="K739">
        <v>24</v>
      </c>
      <c r="L739" t="s">
        <v>3051</v>
      </c>
      <c r="M739">
        <v>431</v>
      </c>
      <c r="N739">
        <v>2</v>
      </c>
      <c r="O739" t="s">
        <v>3055</v>
      </c>
      <c r="P739" t="s">
        <v>3671</v>
      </c>
      <c r="Q739">
        <v>0.5454</v>
      </c>
    </row>
    <row r="740" spans="1:17" x14ac:dyDescent="0.35">
      <c r="A740" t="s">
        <v>744</v>
      </c>
      <c r="B740" t="s">
        <v>2233</v>
      </c>
      <c r="C740">
        <v>48</v>
      </c>
      <c r="D740" t="s">
        <v>2992</v>
      </c>
      <c r="E740" t="s">
        <v>3007</v>
      </c>
      <c r="F740" t="s">
        <v>3019</v>
      </c>
      <c r="G740">
        <v>0</v>
      </c>
      <c r="H740">
        <v>1661006</v>
      </c>
      <c r="I740">
        <v>694331</v>
      </c>
      <c r="J740">
        <v>14.35</v>
      </c>
      <c r="K740">
        <v>48</v>
      </c>
      <c r="L740" t="s">
        <v>3051</v>
      </c>
      <c r="M740">
        <v>522</v>
      </c>
      <c r="N740">
        <v>6</v>
      </c>
      <c r="O740" t="s">
        <v>3055</v>
      </c>
      <c r="P740" t="s">
        <v>3672</v>
      </c>
      <c r="Q740">
        <v>0.41799999999999998</v>
      </c>
    </row>
    <row r="741" spans="1:17" x14ac:dyDescent="0.35">
      <c r="A741" t="s">
        <v>745</v>
      </c>
      <c r="B741" t="s">
        <v>2234</v>
      </c>
      <c r="C741">
        <v>44</v>
      </c>
      <c r="D741" t="s">
        <v>2992</v>
      </c>
      <c r="E741" t="s">
        <v>3003</v>
      </c>
      <c r="F741" t="s">
        <v>3020</v>
      </c>
      <c r="G741">
        <v>18</v>
      </c>
      <c r="H741">
        <v>989178</v>
      </c>
      <c r="I741">
        <v>472413</v>
      </c>
      <c r="J741">
        <v>17.16</v>
      </c>
      <c r="K741">
        <v>36</v>
      </c>
      <c r="L741" t="s">
        <v>3049</v>
      </c>
      <c r="M741">
        <v>387</v>
      </c>
      <c r="N741">
        <v>4</v>
      </c>
      <c r="O741" t="s">
        <v>3053</v>
      </c>
      <c r="P741" t="s">
        <v>3673</v>
      </c>
      <c r="Q741">
        <v>0.47760000000000002</v>
      </c>
    </row>
    <row r="742" spans="1:17" x14ac:dyDescent="0.35">
      <c r="A742" t="s">
        <v>746</v>
      </c>
      <c r="B742" t="s">
        <v>2235</v>
      </c>
      <c r="C742">
        <v>43</v>
      </c>
      <c r="D742" t="s">
        <v>2992</v>
      </c>
      <c r="E742" t="s">
        <v>3003</v>
      </c>
      <c r="F742" t="s">
        <v>3019</v>
      </c>
      <c r="G742">
        <v>12</v>
      </c>
      <c r="H742">
        <v>1482887</v>
      </c>
      <c r="I742">
        <v>788917</v>
      </c>
      <c r="J742">
        <v>13.61</v>
      </c>
      <c r="K742">
        <v>36</v>
      </c>
      <c r="L742" t="s">
        <v>3048</v>
      </c>
      <c r="M742">
        <v>631</v>
      </c>
      <c r="N742">
        <v>7</v>
      </c>
      <c r="O742" t="s">
        <v>3056</v>
      </c>
      <c r="P742" t="s">
        <v>3146</v>
      </c>
      <c r="Q742">
        <v>0.53200000000000003</v>
      </c>
    </row>
    <row r="743" spans="1:17" x14ac:dyDescent="0.35">
      <c r="A743" t="s">
        <v>747</v>
      </c>
      <c r="B743" t="s">
        <v>2236</v>
      </c>
      <c r="C743">
        <v>35</v>
      </c>
      <c r="D743" t="s">
        <v>2992</v>
      </c>
      <c r="E743" t="s">
        <v>3001</v>
      </c>
      <c r="F743" t="s">
        <v>3020</v>
      </c>
      <c r="G743">
        <v>21</v>
      </c>
      <c r="H743">
        <v>1864351</v>
      </c>
      <c r="I743">
        <v>533942</v>
      </c>
      <c r="J743">
        <v>12.28</v>
      </c>
      <c r="K743">
        <v>24</v>
      </c>
      <c r="L743" t="s">
        <v>3047</v>
      </c>
      <c r="M743">
        <v>781</v>
      </c>
      <c r="N743">
        <v>0</v>
      </c>
      <c r="O743" t="s">
        <v>3055</v>
      </c>
      <c r="P743" t="s">
        <v>3674</v>
      </c>
      <c r="Q743">
        <v>0.28639999999999999</v>
      </c>
    </row>
    <row r="744" spans="1:17" x14ac:dyDescent="0.35">
      <c r="A744" t="s">
        <v>748</v>
      </c>
      <c r="B744" t="s">
        <v>2237</v>
      </c>
      <c r="C744">
        <v>23</v>
      </c>
      <c r="D744" t="s">
        <v>2992</v>
      </c>
      <c r="E744" t="s">
        <v>2998</v>
      </c>
      <c r="F744" t="s">
        <v>3018</v>
      </c>
      <c r="G744">
        <v>26</v>
      </c>
      <c r="H744">
        <v>1630503</v>
      </c>
      <c r="I744">
        <v>565096</v>
      </c>
      <c r="J744">
        <v>26.71</v>
      </c>
      <c r="K744">
        <v>60</v>
      </c>
      <c r="L744" t="s">
        <v>3050</v>
      </c>
      <c r="M744">
        <v>361</v>
      </c>
      <c r="N744">
        <v>6</v>
      </c>
      <c r="O744" t="s">
        <v>3056</v>
      </c>
      <c r="P744" t="s">
        <v>3675</v>
      </c>
      <c r="Q744">
        <v>0.34660000000000002</v>
      </c>
    </row>
    <row r="745" spans="1:17" x14ac:dyDescent="0.35">
      <c r="A745" t="s">
        <v>749</v>
      </c>
      <c r="B745" t="s">
        <v>2238</v>
      </c>
      <c r="C745">
        <v>41</v>
      </c>
      <c r="D745" t="s">
        <v>2990</v>
      </c>
      <c r="E745" t="s">
        <v>3007</v>
      </c>
      <c r="F745" t="s">
        <v>3018</v>
      </c>
      <c r="G745">
        <v>26</v>
      </c>
      <c r="H745">
        <v>1471210</v>
      </c>
      <c r="I745">
        <v>744174</v>
      </c>
      <c r="J745">
        <v>12.17</v>
      </c>
      <c r="K745">
        <v>12</v>
      </c>
      <c r="L745" t="s">
        <v>3048</v>
      </c>
      <c r="M745">
        <v>710</v>
      </c>
      <c r="N745">
        <v>0</v>
      </c>
      <c r="O745" t="s">
        <v>3056</v>
      </c>
      <c r="P745" t="s">
        <v>3676</v>
      </c>
      <c r="Q745">
        <v>0.50580000000000003</v>
      </c>
    </row>
    <row r="746" spans="1:17" x14ac:dyDescent="0.35">
      <c r="A746" t="s">
        <v>750</v>
      </c>
      <c r="B746" t="s">
        <v>2239</v>
      </c>
      <c r="C746">
        <v>41</v>
      </c>
      <c r="D746" t="s">
        <v>2992</v>
      </c>
      <c r="E746" t="s">
        <v>3005</v>
      </c>
      <c r="F746" t="s">
        <v>3018</v>
      </c>
      <c r="G746">
        <v>6</v>
      </c>
      <c r="H746">
        <v>1323051</v>
      </c>
      <c r="I746">
        <v>313052</v>
      </c>
      <c r="J746">
        <v>24.48</v>
      </c>
      <c r="K746">
        <v>48</v>
      </c>
      <c r="L746" t="s">
        <v>3047</v>
      </c>
      <c r="M746">
        <v>792</v>
      </c>
      <c r="N746">
        <v>5</v>
      </c>
      <c r="O746" t="s">
        <v>3052</v>
      </c>
      <c r="P746" t="s">
        <v>3677</v>
      </c>
      <c r="Q746">
        <v>0.2366</v>
      </c>
    </row>
    <row r="747" spans="1:17" x14ac:dyDescent="0.35">
      <c r="A747" t="s">
        <v>751</v>
      </c>
      <c r="B747" t="s">
        <v>2240</v>
      </c>
      <c r="C747">
        <v>55</v>
      </c>
      <c r="D747" t="s">
        <v>2992</v>
      </c>
      <c r="E747" t="s">
        <v>3004</v>
      </c>
      <c r="F747" t="s">
        <v>3021</v>
      </c>
      <c r="G747">
        <v>12</v>
      </c>
      <c r="H747">
        <v>1642436</v>
      </c>
      <c r="I747">
        <v>654102</v>
      </c>
      <c r="J747">
        <v>24.24</v>
      </c>
      <c r="K747">
        <v>36</v>
      </c>
      <c r="L747" t="s">
        <v>3049</v>
      </c>
      <c r="M747">
        <v>681</v>
      </c>
      <c r="N747">
        <v>6</v>
      </c>
      <c r="O747" t="s">
        <v>3055</v>
      </c>
      <c r="P747" t="s">
        <v>3134</v>
      </c>
      <c r="Q747">
        <v>0.39829999999999999</v>
      </c>
    </row>
    <row r="748" spans="1:17" x14ac:dyDescent="0.35">
      <c r="A748" t="s">
        <v>752</v>
      </c>
      <c r="B748" t="s">
        <v>2241</v>
      </c>
      <c r="C748">
        <v>30</v>
      </c>
      <c r="D748" t="s">
        <v>2992</v>
      </c>
      <c r="E748" t="s">
        <v>3000</v>
      </c>
      <c r="F748" t="s">
        <v>3018</v>
      </c>
      <c r="G748">
        <v>17</v>
      </c>
      <c r="H748">
        <v>-976184</v>
      </c>
      <c r="I748">
        <v>326093</v>
      </c>
      <c r="J748">
        <v>13.05</v>
      </c>
      <c r="K748">
        <v>36</v>
      </c>
      <c r="L748" t="s">
        <v>3051</v>
      </c>
      <c r="N748">
        <v>3</v>
      </c>
      <c r="O748" t="s">
        <v>3057</v>
      </c>
      <c r="P748" t="s">
        <v>3678</v>
      </c>
      <c r="Q748">
        <v>0.33400000000000002</v>
      </c>
    </row>
    <row r="749" spans="1:17" x14ac:dyDescent="0.35">
      <c r="A749" t="s">
        <v>753</v>
      </c>
      <c r="B749" t="s">
        <v>2242</v>
      </c>
      <c r="C749">
        <v>62</v>
      </c>
      <c r="D749" t="s">
        <v>2992</v>
      </c>
      <c r="E749" t="s">
        <v>2998</v>
      </c>
      <c r="F749" t="s">
        <v>3018</v>
      </c>
      <c r="G749">
        <v>4</v>
      </c>
      <c r="H749">
        <v>2222823</v>
      </c>
      <c r="I749">
        <v>127096</v>
      </c>
      <c r="J749">
        <v>24.11</v>
      </c>
      <c r="K749">
        <v>24</v>
      </c>
      <c r="L749" t="s">
        <v>3048</v>
      </c>
      <c r="M749">
        <v>724</v>
      </c>
      <c r="N749">
        <v>0</v>
      </c>
      <c r="O749" t="s">
        <v>3056</v>
      </c>
      <c r="P749" t="s">
        <v>3679</v>
      </c>
      <c r="Q749">
        <v>5.7200000000000001E-2</v>
      </c>
    </row>
    <row r="750" spans="1:17" x14ac:dyDescent="0.35">
      <c r="A750" t="s">
        <v>754</v>
      </c>
      <c r="B750" t="s">
        <v>2243</v>
      </c>
      <c r="C750">
        <v>39</v>
      </c>
      <c r="D750" t="s">
        <v>2990</v>
      </c>
      <c r="E750" t="s">
        <v>3000</v>
      </c>
      <c r="F750" t="s">
        <v>3021</v>
      </c>
      <c r="G750">
        <v>25</v>
      </c>
      <c r="H750">
        <v>1815288</v>
      </c>
      <c r="I750">
        <v>606349</v>
      </c>
      <c r="J750">
        <v>26.83</v>
      </c>
      <c r="K750">
        <v>12</v>
      </c>
      <c r="L750" t="s">
        <v>3048</v>
      </c>
      <c r="M750">
        <v>50</v>
      </c>
      <c r="N750">
        <v>6</v>
      </c>
      <c r="O750" t="s">
        <v>3052</v>
      </c>
      <c r="P750" t="s">
        <v>3331</v>
      </c>
      <c r="Q750">
        <v>0.33400000000000002</v>
      </c>
    </row>
    <row r="751" spans="1:17" x14ac:dyDescent="0.35">
      <c r="A751" t="s">
        <v>755</v>
      </c>
      <c r="B751" t="s">
        <v>2244</v>
      </c>
      <c r="C751">
        <v>64</v>
      </c>
      <c r="D751" t="s">
        <v>2990</v>
      </c>
      <c r="E751" t="s">
        <v>3007</v>
      </c>
      <c r="F751" t="s">
        <v>3019</v>
      </c>
      <c r="G751">
        <v>5</v>
      </c>
      <c r="H751">
        <v>1959240</v>
      </c>
      <c r="I751">
        <v>261225</v>
      </c>
      <c r="J751">
        <v>16.600000000000001</v>
      </c>
      <c r="K751">
        <v>48</v>
      </c>
      <c r="L751" t="s">
        <v>3048</v>
      </c>
      <c r="M751">
        <v>701</v>
      </c>
      <c r="N751">
        <v>5</v>
      </c>
      <c r="O751" t="s">
        <v>3052</v>
      </c>
      <c r="P751" t="s">
        <v>3112</v>
      </c>
      <c r="Q751">
        <v>0.1333</v>
      </c>
    </row>
    <row r="752" spans="1:17" x14ac:dyDescent="0.35">
      <c r="A752" t="s">
        <v>756</v>
      </c>
      <c r="B752" t="s">
        <v>2245</v>
      </c>
      <c r="C752">
        <v>37</v>
      </c>
      <c r="D752" t="s">
        <v>2990</v>
      </c>
      <c r="E752" t="s">
        <v>3000</v>
      </c>
      <c r="F752" t="s">
        <v>3021</v>
      </c>
      <c r="G752">
        <v>25</v>
      </c>
      <c r="H752">
        <v>1940462</v>
      </c>
      <c r="I752">
        <v>796505</v>
      </c>
      <c r="J752">
        <v>24.41</v>
      </c>
      <c r="K752">
        <v>60</v>
      </c>
      <c r="L752" t="s">
        <v>3050</v>
      </c>
      <c r="M752">
        <v>379</v>
      </c>
      <c r="N752">
        <v>2</v>
      </c>
      <c r="O752" t="s">
        <v>3054</v>
      </c>
      <c r="P752" t="s">
        <v>3680</v>
      </c>
      <c r="Q752">
        <v>0.41049999999999998</v>
      </c>
    </row>
    <row r="753" spans="1:17" x14ac:dyDescent="0.35">
      <c r="A753" t="s">
        <v>757</v>
      </c>
      <c r="B753" t="s">
        <v>2246</v>
      </c>
      <c r="C753">
        <v>55</v>
      </c>
      <c r="D753" t="s">
        <v>2990</v>
      </c>
      <c r="E753" t="s">
        <v>2999</v>
      </c>
      <c r="F753" t="s">
        <v>3018</v>
      </c>
      <c r="G753">
        <v>25</v>
      </c>
      <c r="H753">
        <v>409104</v>
      </c>
      <c r="I753">
        <v>445468</v>
      </c>
      <c r="J753">
        <v>10.62</v>
      </c>
      <c r="K753">
        <v>36</v>
      </c>
      <c r="M753">
        <v>381</v>
      </c>
      <c r="N753">
        <v>0</v>
      </c>
      <c r="O753" t="s">
        <v>3053</v>
      </c>
      <c r="P753" t="s">
        <v>3223</v>
      </c>
      <c r="Q753">
        <v>1.0889</v>
      </c>
    </row>
    <row r="754" spans="1:17" x14ac:dyDescent="0.35">
      <c r="A754" t="s">
        <v>758</v>
      </c>
      <c r="B754" t="s">
        <v>2247</v>
      </c>
      <c r="C754">
        <v>29</v>
      </c>
      <c r="D754" t="s">
        <v>2990</v>
      </c>
      <c r="E754" t="s">
        <v>3003</v>
      </c>
      <c r="F754" t="s">
        <v>3020</v>
      </c>
      <c r="G754">
        <v>11</v>
      </c>
      <c r="H754">
        <v>2098596</v>
      </c>
      <c r="I754">
        <v>386081</v>
      </c>
      <c r="J754">
        <v>24.57</v>
      </c>
      <c r="K754">
        <v>12</v>
      </c>
      <c r="L754" t="s">
        <v>3048</v>
      </c>
      <c r="M754">
        <v>442</v>
      </c>
      <c r="N754">
        <v>4</v>
      </c>
      <c r="O754" t="s">
        <v>3052</v>
      </c>
      <c r="P754" t="s">
        <v>3670</v>
      </c>
      <c r="Q754">
        <v>0.184</v>
      </c>
    </row>
    <row r="755" spans="1:17" x14ac:dyDescent="0.35">
      <c r="A755" t="s">
        <v>759</v>
      </c>
      <c r="B755" t="s">
        <v>2248</v>
      </c>
      <c r="C755">
        <v>56</v>
      </c>
      <c r="D755" t="s">
        <v>2992</v>
      </c>
      <c r="E755" t="s">
        <v>3003</v>
      </c>
      <c r="F755" t="s">
        <v>3021</v>
      </c>
      <c r="G755">
        <v>17</v>
      </c>
      <c r="H755">
        <v>960926</v>
      </c>
      <c r="I755">
        <v>686282</v>
      </c>
      <c r="J755">
        <v>11.84</v>
      </c>
      <c r="K755">
        <v>24</v>
      </c>
      <c r="L755" t="s">
        <v>3046</v>
      </c>
      <c r="M755">
        <v>443</v>
      </c>
      <c r="N755">
        <v>2</v>
      </c>
      <c r="O755" t="s">
        <v>3053</v>
      </c>
      <c r="P755" t="s">
        <v>3681</v>
      </c>
      <c r="Q755">
        <v>0.71419999999999995</v>
      </c>
    </row>
    <row r="756" spans="1:17" x14ac:dyDescent="0.35">
      <c r="A756" t="s">
        <v>760</v>
      </c>
      <c r="B756" t="s">
        <v>2249</v>
      </c>
      <c r="C756">
        <v>43</v>
      </c>
      <c r="D756" t="s">
        <v>2992</v>
      </c>
      <c r="E756" t="s">
        <v>3003</v>
      </c>
      <c r="F756" t="s">
        <v>3021</v>
      </c>
      <c r="G756">
        <v>2</v>
      </c>
      <c r="H756">
        <v>1756590</v>
      </c>
      <c r="I756">
        <v>499083</v>
      </c>
      <c r="J756">
        <v>27.48</v>
      </c>
      <c r="K756">
        <v>36</v>
      </c>
      <c r="L756" t="s">
        <v>3046</v>
      </c>
      <c r="M756">
        <v>405</v>
      </c>
      <c r="N756">
        <v>7</v>
      </c>
      <c r="O756" t="s">
        <v>3054</v>
      </c>
      <c r="P756" t="s">
        <v>3682</v>
      </c>
      <c r="Q756">
        <v>0.28410000000000002</v>
      </c>
    </row>
    <row r="757" spans="1:17" x14ac:dyDescent="0.35">
      <c r="A757" t="s">
        <v>761</v>
      </c>
      <c r="B757" t="s">
        <v>2250</v>
      </c>
      <c r="C757">
        <v>46</v>
      </c>
      <c r="D757" t="s">
        <v>2992</v>
      </c>
      <c r="E757" t="s">
        <v>3004</v>
      </c>
      <c r="F757" t="s">
        <v>3018</v>
      </c>
      <c r="G757">
        <v>9</v>
      </c>
      <c r="H757">
        <v>716437</v>
      </c>
      <c r="I757">
        <v>81844</v>
      </c>
      <c r="J757">
        <v>21.19</v>
      </c>
      <c r="K757">
        <v>24</v>
      </c>
      <c r="L757" t="s">
        <v>3049</v>
      </c>
      <c r="M757">
        <v>584</v>
      </c>
      <c r="N757">
        <v>7</v>
      </c>
      <c r="O757" t="s">
        <v>3052</v>
      </c>
      <c r="P757" t="s">
        <v>3683</v>
      </c>
      <c r="Q757">
        <v>0.1142</v>
      </c>
    </row>
    <row r="758" spans="1:17" x14ac:dyDescent="0.35">
      <c r="A758" t="s">
        <v>762</v>
      </c>
      <c r="B758" t="s">
        <v>2251</v>
      </c>
      <c r="C758">
        <v>61</v>
      </c>
      <c r="D758" t="s">
        <v>2990</v>
      </c>
      <c r="E758" t="s">
        <v>2998</v>
      </c>
      <c r="F758" t="s">
        <v>3018</v>
      </c>
      <c r="G758">
        <v>26</v>
      </c>
      <c r="H758">
        <v>1807687</v>
      </c>
      <c r="I758">
        <v>237400</v>
      </c>
      <c r="J758">
        <v>17.32</v>
      </c>
      <c r="K758">
        <v>24</v>
      </c>
      <c r="L758" t="s">
        <v>3050</v>
      </c>
      <c r="M758">
        <v>718</v>
      </c>
      <c r="N758">
        <v>3</v>
      </c>
      <c r="O758" t="s">
        <v>3055</v>
      </c>
      <c r="P758" t="s">
        <v>3684</v>
      </c>
      <c r="Q758">
        <v>0.1313</v>
      </c>
    </row>
    <row r="759" spans="1:17" x14ac:dyDescent="0.35">
      <c r="A759" t="s">
        <v>763</v>
      </c>
      <c r="B759" t="s">
        <v>2252</v>
      </c>
      <c r="C759">
        <v>44</v>
      </c>
      <c r="D759" t="s">
        <v>2990</v>
      </c>
      <c r="E759" t="s">
        <v>3004</v>
      </c>
      <c r="F759" t="s">
        <v>3019</v>
      </c>
      <c r="G759">
        <v>27</v>
      </c>
      <c r="H759">
        <v>740315</v>
      </c>
      <c r="I759">
        <v>282091</v>
      </c>
      <c r="J759">
        <v>10.94</v>
      </c>
      <c r="K759">
        <v>60</v>
      </c>
      <c r="L759" t="s">
        <v>3050</v>
      </c>
      <c r="M759">
        <v>499</v>
      </c>
      <c r="N759">
        <v>1</v>
      </c>
      <c r="O759" t="s">
        <v>3054</v>
      </c>
      <c r="P759" t="s">
        <v>3685</v>
      </c>
      <c r="Q759">
        <v>0.38100000000000001</v>
      </c>
    </row>
    <row r="760" spans="1:17" x14ac:dyDescent="0.35">
      <c r="A760" t="s">
        <v>764</v>
      </c>
      <c r="B760" t="s">
        <v>2253</v>
      </c>
      <c r="C760">
        <v>29</v>
      </c>
      <c r="D760" t="s">
        <v>2992</v>
      </c>
      <c r="E760" t="s">
        <v>3007</v>
      </c>
      <c r="F760" t="s">
        <v>3020</v>
      </c>
      <c r="G760">
        <v>7</v>
      </c>
      <c r="H760">
        <v>1179430</v>
      </c>
      <c r="I760">
        <v>106795</v>
      </c>
      <c r="J760">
        <v>18.690000000000001</v>
      </c>
      <c r="K760">
        <v>48</v>
      </c>
      <c r="L760" t="s">
        <v>3051</v>
      </c>
      <c r="M760">
        <v>771</v>
      </c>
      <c r="N760">
        <v>7</v>
      </c>
      <c r="O760" t="s">
        <v>3052</v>
      </c>
      <c r="P760" t="s">
        <v>3686</v>
      </c>
      <c r="Q760">
        <v>9.0499999999999997E-2</v>
      </c>
    </row>
    <row r="761" spans="1:17" x14ac:dyDescent="0.35">
      <c r="A761" t="s">
        <v>765</v>
      </c>
      <c r="B761" t="s">
        <v>2254</v>
      </c>
      <c r="C761">
        <v>31</v>
      </c>
      <c r="D761" t="s">
        <v>2990</v>
      </c>
      <c r="E761" t="s">
        <v>3002</v>
      </c>
      <c r="F761" t="s">
        <v>3018</v>
      </c>
      <c r="G761">
        <v>25</v>
      </c>
      <c r="H761">
        <v>2334174</v>
      </c>
      <c r="I761">
        <v>293586</v>
      </c>
      <c r="J761">
        <v>9.14</v>
      </c>
      <c r="K761">
        <v>60</v>
      </c>
      <c r="L761" t="s">
        <v>3051</v>
      </c>
      <c r="M761">
        <v>395</v>
      </c>
      <c r="N761">
        <v>1</v>
      </c>
      <c r="O761" t="s">
        <v>3056</v>
      </c>
      <c r="P761" t="s">
        <v>3341</v>
      </c>
      <c r="Q761">
        <v>0.1258</v>
      </c>
    </row>
    <row r="762" spans="1:17" x14ac:dyDescent="0.35">
      <c r="A762" t="s">
        <v>766</v>
      </c>
      <c r="B762" t="s">
        <v>2255</v>
      </c>
      <c r="C762">
        <v>24</v>
      </c>
      <c r="D762" t="s">
        <v>2990</v>
      </c>
      <c r="E762" t="s">
        <v>2999</v>
      </c>
      <c r="F762" t="s">
        <v>3019</v>
      </c>
      <c r="G762">
        <v>22</v>
      </c>
      <c r="H762">
        <v>2140584</v>
      </c>
      <c r="I762">
        <v>296815</v>
      </c>
      <c r="J762">
        <v>10.75</v>
      </c>
      <c r="K762">
        <v>12</v>
      </c>
      <c r="L762" t="s">
        <v>3047</v>
      </c>
      <c r="M762">
        <v>390</v>
      </c>
      <c r="N762">
        <v>6</v>
      </c>
      <c r="O762" t="s">
        <v>3055</v>
      </c>
      <c r="P762" t="s">
        <v>3687</v>
      </c>
      <c r="Q762">
        <v>0.13869999999999999</v>
      </c>
    </row>
    <row r="763" spans="1:17" x14ac:dyDescent="0.35">
      <c r="A763" t="s">
        <v>767</v>
      </c>
      <c r="B763" t="s">
        <v>2256</v>
      </c>
      <c r="C763">
        <v>63</v>
      </c>
      <c r="D763" t="s">
        <v>2990</v>
      </c>
      <c r="E763" t="s">
        <v>3006</v>
      </c>
      <c r="F763" t="s">
        <v>3018</v>
      </c>
      <c r="G763">
        <v>4</v>
      </c>
      <c r="H763">
        <v>488449</v>
      </c>
      <c r="I763">
        <v>138094</v>
      </c>
      <c r="J763">
        <v>24.57</v>
      </c>
      <c r="K763">
        <v>36</v>
      </c>
      <c r="L763" t="s">
        <v>3051</v>
      </c>
      <c r="M763">
        <v>359</v>
      </c>
      <c r="N763">
        <v>2</v>
      </c>
      <c r="O763" t="s">
        <v>3053</v>
      </c>
      <c r="P763" t="s">
        <v>3688</v>
      </c>
      <c r="Q763">
        <v>0.28270000000000001</v>
      </c>
    </row>
    <row r="764" spans="1:17" x14ac:dyDescent="0.35">
      <c r="A764" t="s">
        <v>768</v>
      </c>
      <c r="B764" t="s">
        <v>2257</v>
      </c>
      <c r="C764">
        <v>35</v>
      </c>
      <c r="D764" t="s">
        <v>2990</v>
      </c>
      <c r="E764" t="s">
        <v>3007</v>
      </c>
      <c r="F764" t="s">
        <v>3021</v>
      </c>
      <c r="G764">
        <v>18</v>
      </c>
      <c r="H764">
        <v>1579872</v>
      </c>
      <c r="I764">
        <v>365740</v>
      </c>
      <c r="J764">
        <v>18.88</v>
      </c>
      <c r="K764">
        <v>48</v>
      </c>
      <c r="L764" t="s">
        <v>3048</v>
      </c>
      <c r="M764">
        <v>492</v>
      </c>
      <c r="N764">
        <v>3</v>
      </c>
      <c r="O764" t="s">
        <v>3056</v>
      </c>
      <c r="P764" t="s">
        <v>3325</v>
      </c>
      <c r="Q764">
        <v>0.23150000000000001</v>
      </c>
    </row>
    <row r="765" spans="1:17" x14ac:dyDescent="0.35">
      <c r="A765" t="s">
        <v>769</v>
      </c>
      <c r="B765" t="s">
        <v>2258</v>
      </c>
      <c r="C765">
        <v>46</v>
      </c>
      <c r="D765" t="s">
        <v>2992</v>
      </c>
      <c r="E765" t="s">
        <v>3006</v>
      </c>
      <c r="F765" t="s">
        <v>3018</v>
      </c>
      <c r="G765">
        <v>5</v>
      </c>
      <c r="H765">
        <v>2139925</v>
      </c>
      <c r="I765">
        <v>757242</v>
      </c>
      <c r="J765">
        <v>19.61</v>
      </c>
      <c r="K765">
        <v>24</v>
      </c>
      <c r="L765" t="s">
        <v>3050</v>
      </c>
      <c r="M765">
        <v>567</v>
      </c>
      <c r="N765">
        <v>0</v>
      </c>
      <c r="O765" t="s">
        <v>3054</v>
      </c>
      <c r="P765" t="s">
        <v>3297</v>
      </c>
      <c r="Q765">
        <v>0.35389999999999999</v>
      </c>
    </row>
    <row r="766" spans="1:17" x14ac:dyDescent="0.35">
      <c r="A766" t="s">
        <v>770</v>
      </c>
      <c r="B766" t="s">
        <v>2259</v>
      </c>
      <c r="C766">
        <v>33</v>
      </c>
      <c r="D766" t="s">
        <v>2992</v>
      </c>
      <c r="E766" t="s">
        <v>2999</v>
      </c>
      <c r="F766" t="s">
        <v>3020</v>
      </c>
      <c r="G766">
        <v>24</v>
      </c>
      <c r="H766">
        <v>1372097</v>
      </c>
      <c r="I766">
        <v>210246</v>
      </c>
      <c r="J766">
        <v>11.9</v>
      </c>
      <c r="K766">
        <v>36</v>
      </c>
      <c r="L766" t="s">
        <v>3048</v>
      </c>
      <c r="M766">
        <v>754</v>
      </c>
      <c r="N766">
        <v>7</v>
      </c>
      <c r="O766" t="s">
        <v>3054</v>
      </c>
      <c r="P766" t="s">
        <v>3689</v>
      </c>
      <c r="Q766">
        <v>0.1532</v>
      </c>
    </row>
    <row r="767" spans="1:17" x14ac:dyDescent="0.35">
      <c r="A767" t="s">
        <v>771</v>
      </c>
      <c r="B767" t="s">
        <v>2260</v>
      </c>
      <c r="C767">
        <v>45</v>
      </c>
      <c r="D767" t="s">
        <v>2996</v>
      </c>
      <c r="E767" t="s">
        <v>3003</v>
      </c>
      <c r="F767" t="s">
        <v>3018</v>
      </c>
      <c r="G767">
        <v>15</v>
      </c>
      <c r="H767">
        <v>868152</v>
      </c>
      <c r="I767">
        <v>631726</v>
      </c>
      <c r="J767">
        <v>16.75</v>
      </c>
      <c r="K767">
        <v>36</v>
      </c>
      <c r="L767" t="s">
        <v>3050</v>
      </c>
      <c r="M767">
        <v>810</v>
      </c>
      <c r="N767">
        <v>7</v>
      </c>
      <c r="O767" t="s">
        <v>3056</v>
      </c>
      <c r="P767" t="s">
        <v>3142</v>
      </c>
      <c r="Q767">
        <v>0.72770000000000001</v>
      </c>
    </row>
    <row r="768" spans="1:17" x14ac:dyDescent="0.35">
      <c r="A768" t="s">
        <v>772</v>
      </c>
      <c r="B768" t="s">
        <v>2261</v>
      </c>
      <c r="C768">
        <v>60</v>
      </c>
      <c r="D768" t="s">
        <v>2992</v>
      </c>
      <c r="E768" t="s">
        <v>3004</v>
      </c>
      <c r="F768" t="s">
        <v>3020</v>
      </c>
      <c r="G768">
        <v>28</v>
      </c>
      <c r="H768">
        <v>1741456</v>
      </c>
      <c r="I768">
        <v>708332</v>
      </c>
      <c r="J768">
        <v>20.9</v>
      </c>
      <c r="K768">
        <v>24</v>
      </c>
      <c r="L768" t="s">
        <v>3046</v>
      </c>
      <c r="M768">
        <v>638</v>
      </c>
      <c r="N768">
        <v>1</v>
      </c>
      <c r="O768" t="s">
        <v>3054</v>
      </c>
      <c r="P768" t="s">
        <v>3690</v>
      </c>
      <c r="Q768">
        <v>0.40670000000000001</v>
      </c>
    </row>
    <row r="769" spans="1:17" x14ac:dyDescent="0.35">
      <c r="A769" t="s">
        <v>773</v>
      </c>
      <c r="B769" t="s">
        <v>2262</v>
      </c>
      <c r="C769">
        <v>42</v>
      </c>
      <c r="D769" t="s">
        <v>2990</v>
      </c>
      <c r="E769" t="s">
        <v>3003</v>
      </c>
      <c r="F769" t="s">
        <v>3018</v>
      </c>
      <c r="G769">
        <v>14</v>
      </c>
      <c r="H769">
        <v>611374</v>
      </c>
      <c r="I769">
        <v>309508</v>
      </c>
      <c r="J769">
        <v>14.24</v>
      </c>
      <c r="K769">
        <v>24</v>
      </c>
      <c r="L769" t="s">
        <v>3049</v>
      </c>
      <c r="M769">
        <v>688</v>
      </c>
      <c r="N769">
        <v>0</v>
      </c>
      <c r="O769" t="s">
        <v>3055</v>
      </c>
      <c r="P769" t="s">
        <v>3249</v>
      </c>
      <c r="Q769">
        <v>0.50619999999999998</v>
      </c>
    </row>
    <row r="770" spans="1:17" x14ac:dyDescent="0.35">
      <c r="A770" t="s">
        <v>774</v>
      </c>
      <c r="B770" t="s">
        <v>2263</v>
      </c>
      <c r="C770">
        <v>32</v>
      </c>
      <c r="D770" t="s">
        <v>2990</v>
      </c>
      <c r="E770" t="s">
        <v>3005</v>
      </c>
      <c r="F770" t="s">
        <v>3018</v>
      </c>
      <c r="G770">
        <v>24</v>
      </c>
      <c r="H770">
        <v>1132246</v>
      </c>
      <c r="I770">
        <v>424303</v>
      </c>
      <c r="J770">
        <v>20.51</v>
      </c>
      <c r="K770">
        <v>24</v>
      </c>
      <c r="L770" t="s">
        <v>3049</v>
      </c>
      <c r="M770">
        <v>734</v>
      </c>
      <c r="N770">
        <v>6</v>
      </c>
      <c r="O770" t="s">
        <v>3053</v>
      </c>
      <c r="P770" t="s">
        <v>3681</v>
      </c>
      <c r="Q770">
        <v>0.37469999999999998</v>
      </c>
    </row>
    <row r="771" spans="1:17" x14ac:dyDescent="0.35">
      <c r="A771" t="s">
        <v>775</v>
      </c>
      <c r="B771" t="s">
        <v>2264</v>
      </c>
      <c r="C771">
        <v>28</v>
      </c>
      <c r="D771" t="s">
        <v>2992</v>
      </c>
      <c r="E771" t="s">
        <v>3006</v>
      </c>
      <c r="F771" t="s">
        <v>3021</v>
      </c>
      <c r="G771">
        <v>4</v>
      </c>
      <c r="H771">
        <v>1613441</v>
      </c>
      <c r="I771">
        <v>106346</v>
      </c>
      <c r="J771">
        <v>16.22</v>
      </c>
      <c r="K771">
        <v>60</v>
      </c>
      <c r="L771" t="s">
        <v>3047</v>
      </c>
      <c r="M771">
        <v>999</v>
      </c>
      <c r="N771">
        <v>6</v>
      </c>
      <c r="O771" t="s">
        <v>3057</v>
      </c>
      <c r="P771" t="s">
        <v>3691</v>
      </c>
      <c r="Q771">
        <v>6.59E-2</v>
      </c>
    </row>
    <row r="772" spans="1:17" x14ac:dyDescent="0.35">
      <c r="A772" t="s">
        <v>776</v>
      </c>
      <c r="B772" t="s">
        <v>2265</v>
      </c>
      <c r="C772">
        <v>55</v>
      </c>
      <c r="D772" t="s">
        <v>2992</v>
      </c>
      <c r="E772" t="s">
        <v>3004</v>
      </c>
      <c r="F772" t="s">
        <v>3018</v>
      </c>
      <c r="G772">
        <v>26</v>
      </c>
      <c r="H772">
        <v>676762</v>
      </c>
      <c r="I772">
        <v>305713</v>
      </c>
      <c r="J772">
        <v>24.75</v>
      </c>
      <c r="K772">
        <v>24</v>
      </c>
      <c r="L772" t="s">
        <v>3050</v>
      </c>
      <c r="M772">
        <v>787</v>
      </c>
      <c r="N772">
        <v>0</v>
      </c>
      <c r="O772" t="s">
        <v>3055</v>
      </c>
      <c r="P772" t="s">
        <v>3429</v>
      </c>
      <c r="Q772">
        <v>0.45169999999999999</v>
      </c>
    </row>
    <row r="773" spans="1:17" x14ac:dyDescent="0.35">
      <c r="A773" t="s">
        <v>777</v>
      </c>
      <c r="B773" t="s">
        <v>2266</v>
      </c>
      <c r="C773">
        <v>53</v>
      </c>
      <c r="D773" t="s">
        <v>2990</v>
      </c>
      <c r="E773" t="s">
        <v>3006</v>
      </c>
      <c r="F773" t="s">
        <v>3019</v>
      </c>
      <c r="G773">
        <v>0</v>
      </c>
      <c r="H773">
        <v>2166062</v>
      </c>
      <c r="I773">
        <v>631985</v>
      </c>
      <c r="J773">
        <v>13.63</v>
      </c>
      <c r="K773">
        <v>36</v>
      </c>
      <c r="L773" t="s">
        <v>3051</v>
      </c>
      <c r="M773">
        <v>322</v>
      </c>
      <c r="N773">
        <v>1</v>
      </c>
      <c r="O773" t="s">
        <v>3060</v>
      </c>
      <c r="P773" t="s">
        <v>3692</v>
      </c>
      <c r="Q773">
        <v>0.2918</v>
      </c>
    </row>
    <row r="774" spans="1:17" x14ac:dyDescent="0.35">
      <c r="A774" t="s">
        <v>778</v>
      </c>
      <c r="B774" t="s">
        <v>2267</v>
      </c>
      <c r="C774">
        <v>48</v>
      </c>
      <c r="D774" t="s">
        <v>2990</v>
      </c>
      <c r="E774" t="s">
        <v>2998</v>
      </c>
      <c r="F774" t="s">
        <v>3019</v>
      </c>
      <c r="G774">
        <v>23</v>
      </c>
      <c r="H774">
        <v>722601</v>
      </c>
      <c r="I774">
        <v>28024</v>
      </c>
      <c r="J774">
        <v>23.65</v>
      </c>
      <c r="K774">
        <v>60</v>
      </c>
      <c r="L774" t="s">
        <v>3051</v>
      </c>
      <c r="M774">
        <v>699</v>
      </c>
      <c r="N774">
        <v>5</v>
      </c>
      <c r="O774" t="s">
        <v>3054</v>
      </c>
      <c r="P774" t="s">
        <v>3693</v>
      </c>
      <c r="Q774">
        <v>3.8800000000000001E-2</v>
      </c>
    </row>
    <row r="775" spans="1:17" x14ac:dyDescent="0.35">
      <c r="A775" t="s">
        <v>779</v>
      </c>
      <c r="B775" t="s">
        <v>2268</v>
      </c>
      <c r="C775">
        <v>32</v>
      </c>
      <c r="D775" t="s">
        <v>2992</v>
      </c>
      <c r="E775" t="s">
        <v>2998</v>
      </c>
      <c r="F775" t="s">
        <v>3021</v>
      </c>
      <c r="G775">
        <v>25</v>
      </c>
      <c r="H775">
        <v>1368554</v>
      </c>
      <c r="I775">
        <v>499336</v>
      </c>
      <c r="J775">
        <v>15.84</v>
      </c>
      <c r="K775">
        <v>24</v>
      </c>
      <c r="L775" t="s">
        <v>3047</v>
      </c>
      <c r="M775">
        <v>770</v>
      </c>
      <c r="N775">
        <v>0</v>
      </c>
      <c r="O775" t="s">
        <v>3054</v>
      </c>
      <c r="P775" t="s">
        <v>3694</v>
      </c>
      <c r="Q775">
        <v>0.3649</v>
      </c>
    </row>
    <row r="776" spans="1:17" x14ac:dyDescent="0.35">
      <c r="A776" t="s">
        <v>780</v>
      </c>
      <c r="B776" t="s">
        <v>2269</v>
      </c>
      <c r="C776">
        <v>37</v>
      </c>
      <c r="D776" t="s">
        <v>2992</v>
      </c>
      <c r="E776" t="s">
        <v>2998</v>
      </c>
      <c r="F776" t="s">
        <v>3019</v>
      </c>
      <c r="G776">
        <v>24</v>
      </c>
      <c r="H776">
        <v>1467087</v>
      </c>
      <c r="I776">
        <v>183187</v>
      </c>
      <c r="J776">
        <v>9.76</v>
      </c>
      <c r="K776">
        <v>36</v>
      </c>
      <c r="L776" t="s">
        <v>3047</v>
      </c>
      <c r="M776">
        <v>524</v>
      </c>
      <c r="N776">
        <v>1</v>
      </c>
      <c r="O776" t="s">
        <v>3052</v>
      </c>
      <c r="P776" t="s">
        <v>3210</v>
      </c>
      <c r="Q776">
        <v>0.1249</v>
      </c>
    </row>
    <row r="777" spans="1:17" x14ac:dyDescent="0.35">
      <c r="A777" t="s">
        <v>781</v>
      </c>
      <c r="B777" t="s">
        <v>2270</v>
      </c>
      <c r="C777">
        <v>42</v>
      </c>
      <c r="D777" t="s">
        <v>2990</v>
      </c>
      <c r="E777" t="s">
        <v>3003</v>
      </c>
      <c r="F777" t="s">
        <v>3021</v>
      </c>
      <c r="G777">
        <v>25</v>
      </c>
      <c r="H777">
        <v>869556</v>
      </c>
      <c r="I777">
        <v>578685</v>
      </c>
      <c r="J777">
        <v>8.48</v>
      </c>
      <c r="K777">
        <v>12</v>
      </c>
      <c r="L777" t="s">
        <v>3047</v>
      </c>
      <c r="M777">
        <v>654</v>
      </c>
      <c r="N777">
        <v>2</v>
      </c>
      <c r="O777" t="s">
        <v>3053</v>
      </c>
      <c r="P777" t="s">
        <v>3695</v>
      </c>
      <c r="Q777">
        <v>0.66549999999999998</v>
      </c>
    </row>
    <row r="778" spans="1:17" x14ac:dyDescent="0.35">
      <c r="A778" t="s">
        <v>782</v>
      </c>
      <c r="B778" t="s">
        <v>2271</v>
      </c>
      <c r="C778">
        <v>33</v>
      </c>
      <c r="D778" t="s">
        <v>2992</v>
      </c>
      <c r="E778" t="s">
        <v>3004</v>
      </c>
      <c r="F778" t="s">
        <v>3019</v>
      </c>
      <c r="G778">
        <v>29</v>
      </c>
      <c r="H778">
        <v>1481367</v>
      </c>
      <c r="I778">
        <v>284237</v>
      </c>
      <c r="J778">
        <v>16.84</v>
      </c>
      <c r="K778">
        <v>24</v>
      </c>
      <c r="L778" t="s">
        <v>3046</v>
      </c>
      <c r="M778">
        <v>620</v>
      </c>
      <c r="N778">
        <v>5</v>
      </c>
      <c r="O778" t="s">
        <v>3057</v>
      </c>
      <c r="P778" t="s">
        <v>3696</v>
      </c>
      <c r="Q778">
        <v>0.19189999999999999</v>
      </c>
    </row>
    <row r="779" spans="1:17" x14ac:dyDescent="0.35">
      <c r="A779" t="s">
        <v>783</v>
      </c>
      <c r="B779" t="s">
        <v>2272</v>
      </c>
      <c r="C779">
        <v>45</v>
      </c>
      <c r="D779" t="s">
        <v>2992</v>
      </c>
      <c r="E779" t="s">
        <v>3006</v>
      </c>
      <c r="F779" t="s">
        <v>3021</v>
      </c>
      <c r="G779">
        <v>13</v>
      </c>
      <c r="H779">
        <v>-524710</v>
      </c>
      <c r="I779">
        <v>279480</v>
      </c>
      <c r="J779">
        <v>9.24</v>
      </c>
      <c r="K779">
        <v>60</v>
      </c>
      <c r="L779" t="s">
        <v>3050</v>
      </c>
      <c r="M779">
        <v>421</v>
      </c>
      <c r="N779">
        <v>3</v>
      </c>
      <c r="O779" t="s">
        <v>3056</v>
      </c>
      <c r="P779" t="s">
        <v>3187</v>
      </c>
      <c r="Q779">
        <v>0.53259999999999996</v>
      </c>
    </row>
    <row r="780" spans="1:17" x14ac:dyDescent="0.35">
      <c r="A780" t="s">
        <v>784</v>
      </c>
      <c r="B780" t="s">
        <v>2273</v>
      </c>
      <c r="C780">
        <v>25</v>
      </c>
      <c r="D780" t="s">
        <v>2990</v>
      </c>
      <c r="E780" t="s">
        <v>3003</v>
      </c>
      <c r="F780" t="s">
        <v>3021</v>
      </c>
      <c r="G780">
        <v>28</v>
      </c>
      <c r="H780">
        <v>423373</v>
      </c>
      <c r="I780">
        <v>508906</v>
      </c>
      <c r="J780">
        <v>15.45</v>
      </c>
      <c r="K780">
        <v>24</v>
      </c>
      <c r="L780" t="s">
        <v>3048</v>
      </c>
      <c r="M780">
        <v>848</v>
      </c>
      <c r="N780">
        <v>5</v>
      </c>
      <c r="O780" t="s">
        <v>3054</v>
      </c>
      <c r="P780" t="s">
        <v>3518</v>
      </c>
      <c r="Q780">
        <v>1.202</v>
      </c>
    </row>
    <row r="781" spans="1:17" x14ac:dyDescent="0.35">
      <c r="A781" t="s">
        <v>785</v>
      </c>
      <c r="B781" t="s">
        <v>2274</v>
      </c>
      <c r="C781">
        <v>62</v>
      </c>
      <c r="D781" t="s">
        <v>2992</v>
      </c>
      <c r="E781" t="s">
        <v>3007</v>
      </c>
      <c r="F781" t="s">
        <v>3020</v>
      </c>
      <c r="G781">
        <v>23</v>
      </c>
      <c r="I781">
        <v>485590</v>
      </c>
      <c r="J781">
        <v>20.71</v>
      </c>
      <c r="K781">
        <v>24</v>
      </c>
      <c r="L781" t="s">
        <v>3048</v>
      </c>
      <c r="M781">
        <v>330</v>
      </c>
      <c r="N781">
        <v>5</v>
      </c>
      <c r="O781" t="s">
        <v>3057</v>
      </c>
      <c r="P781" t="s">
        <v>3071</v>
      </c>
      <c r="Q781">
        <v>0.46639999999999998</v>
      </c>
    </row>
    <row r="782" spans="1:17" x14ac:dyDescent="0.35">
      <c r="A782" t="s">
        <v>786</v>
      </c>
      <c r="B782" t="s">
        <v>2275</v>
      </c>
      <c r="C782">
        <v>34</v>
      </c>
      <c r="D782" t="s">
        <v>2992</v>
      </c>
      <c r="E782" t="s">
        <v>3006</v>
      </c>
      <c r="F782" t="s">
        <v>3018</v>
      </c>
      <c r="G782">
        <v>12</v>
      </c>
      <c r="H782">
        <v>630930</v>
      </c>
      <c r="I782">
        <v>195121</v>
      </c>
      <c r="J782">
        <v>26.66</v>
      </c>
      <c r="K782">
        <v>48</v>
      </c>
      <c r="L782" t="s">
        <v>3050</v>
      </c>
      <c r="M782">
        <v>509</v>
      </c>
      <c r="N782">
        <v>6</v>
      </c>
      <c r="O782" t="s">
        <v>3054</v>
      </c>
      <c r="P782" t="s">
        <v>3069</v>
      </c>
      <c r="Q782">
        <v>0.30930000000000002</v>
      </c>
    </row>
    <row r="783" spans="1:17" x14ac:dyDescent="0.35">
      <c r="A783" t="s">
        <v>787</v>
      </c>
      <c r="B783" t="s">
        <v>2276</v>
      </c>
      <c r="C783">
        <v>58</v>
      </c>
      <c r="D783" t="s">
        <v>2992</v>
      </c>
      <c r="E783" t="s">
        <v>3007</v>
      </c>
      <c r="F783" t="s">
        <v>3019</v>
      </c>
      <c r="G783">
        <v>14</v>
      </c>
      <c r="H783">
        <v>267468</v>
      </c>
      <c r="I783">
        <v>565932</v>
      </c>
      <c r="J783">
        <v>9.93</v>
      </c>
      <c r="K783">
        <v>60</v>
      </c>
      <c r="L783" t="s">
        <v>3051</v>
      </c>
      <c r="M783">
        <v>592</v>
      </c>
      <c r="N783">
        <v>0</v>
      </c>
      <c r="O783" t="s">
        <v>3052</v>
      </c>
      <c r="P783" t="s">
        <v>3697</v>
      </c>
      <c r="Q783">
        <v>2.1158999999999999</v>
      </c>
    </row>
    <row r="784" spans="1:17" x14ac:dyDescent="0.35">
      <c r="A784" t="s">
        <v>788</v>
      </c>
      <c r="B784" t="s">
        <v>2277</v>
      </c>
      <c r="C784">
        <v>54</v>
      </c>
      <c r="E784" t="s">
        <v>3000</v>
      </c>
      <c r="G784">
        <v>6</v>
      </c>
      <c r="H784">
        <v>1045363</v>
      </c>
      <c r="I784">
        <v>53340</v>
      </c>
      <c r="J784">
        <v>26.35</v>
      </c>
      <c r="K784">
        <v>12</v>
      </c>
      <c r="L784" t="s">
        <v>3049</v>
      </c>
      <c r="M784">
        <v>695</v>
      </c>
      <c r="N784">
        <v>0</v>
      </c>
      <c r="O784" t="s">
        <v>3052</v>
      </c>
      <c r="P784" t="s">
        <v>3698</v>
      </c>
      <c r="Q784">
        <v>5.0999999999999997E-2</v>
      </c>
    </row>
    <row r="785" spans="1:17" x14ac:dyDescent="0.35">
      <c r="A785" t="s">
        <v>789</v>
      </c>
      <c r="B785" t="s">
        <v>2278</v>
      </c>
      <c r="C785">
        <v>31</v>
      </c>
      <c r="D785" t="s">
        <v>2990</v>
      </c>
      <c r="E785" t="s">
        <v>2999</v>
      </c>
      <c r="F785" t="s">
        <v>3019</v>
      </c>
      <c r="G785">
        <v>27</v>
      </c>
      <c r="H785">
        <v>1578616</v>
      </c>
      <c r="I785">
        <v>689277</v>
      </c>
      <c r="J785">
        <v>8.4</v>
      </c>
      <c r="K785">
        <v>12</v>
      </c>
      <c r="L785" t="s">
        <v>3050</v>
      </c>
      <c r="M785">
        <v>372</v>
      </c>
      <c r="N785">
        <v>2</v>
      </c>
      <c r="O785" t="s">
        <v>3056</v>
      </c>
      <c r="P785" t="s">
        <v>3699</v>
      </c>
      <c r="Q785">
        <v>0.43659999999999999</v>
      </c>
    </row>
    <row r="786" spans="1:17" x14ac:dyDescent="0.35">
      <c r="A786" t="s">
        <v>790</v>
      </c>
      <c r="B786" t="s">
        <v>2279</v>
      </c>
      <c r="C786">
        <v>45</v>
      </c>
      <c r="D786" t="s">
        <v>2990</v>
      </c>
      <c r="E786" t="s">
        <v>3003</v>
      </c>
      <c r="F786" t="s">
        <v>3021</v>
      </c>
      <c r="G786">
        <v>23</v>
      </c>
      <c r="H786">
        <v>2011094</v>
      </c>
      <c r="I786">
        <v>416981</v>
      </c>
      <c r="J786">
        <v>26.81</v>
      </c>
      <c r="K786">
        <v>60</v>
      </c>
      <c r="L786" t="s">
        <v>3050</v>
      </c>
      <c r="N786">
        <v>4</v>
      </c>
      <c r="O786" t="s">
        <v>3054</v>
      </c>
      <c r="P786" t="s">
        <v>3700</v>
      </c>
      <c r="Q786">
        <v>0.20730000000000001</v>
      </c>
    </row>
    <row r="787" spans="1:17" x14ac:dyDescent="0.35">
      <c r="A787" t="s">
        <v>791</v>
      </c>
      <c r="B787" t="s">
        <v>2280</v>
      </c>
      <c r="C787">
        <v>54</v>
      </c>
      <c r="D787" t="s">
        <v>2990</v>
      </c>
      <c r="E787" t="s">
        <v>3008</v>
      </c>
      <c r="F787" t="s">
        <v>3019</v>
      </c>
      <c r="G787">
        <v>2</v>
      </c>
      <c r="H787">
        <v>1032746</v>
      </c>
      <c r="I787">
        <v>465093</v>
      </c>
      <c r="J787">
        <v>12.97</v>
      </c>
      <c r="K787">
        <v>36</v>
      </c>
      <c r="L787" t="s">
        <v>3049</v>
      </c>
      <c r="M787">
        <v>663</v>
      </c>
      <c r="N787">
        <v>1</v>
      </c>
      <c r="O787" t="s">
        <v>3055</v>
      </c>
      <c r="P787" t="s">
        <v>3701</v>
      </c>
      <c r="Q787">
        <v>0.45029999999999998</v>
      </c>
    </row>
    <row r="788" spans="1:17" x14ac:dyDescent="0.35">
      <c r="A788" t="s">
        <v>792</v>
      </c>
      <c r="B788" t="s">
        <v>2281</v>
      </c>
      <c r="C788">
        <v>55</v>
      </c>
      <c r="D788" t="s">
        <v>2992</v>
      </c>
      <c r="E788" t="s">
        <v>3004</v>
      </c>
      <c r="F788" t="s">
        <v>3021</v>
      </c>
      <c r="G788">
        <v>20</v>
      </c>
      <c r="H788">
        <v>584772</v>
      </c>
      <c r="I788">
        <v>488947</v>
      </c>
      <c r="J788">
        <v>14.69</v>
      </c>
      <c r="K788">
        <v>12</v>
      </c>
      <c r="L788" t="s">
        <v>3048</v>
      </c>
      <c r="M788">
        <v>721</v>
      </c>
      <c r="N788">
        <v>5</v>
      </c>
      <c r="O788" t="s">
        <v>3054</v>
      </c>
      <c r="P788" t="s">
        <v>3702</v>
      </c>
      <c r="Q788">
        <v>0.83609999999999995</v>
      </c>
    </row>
    <row r="789" spans="1:17" x14ac:dyDescent="0.35">
      <c r="A789" t="s">
        <v>793</v>
      </c>
      <c r="B789" t="s">
        <v>2282</v>
      </c>
      <c r="C789">
        <v>26</v>
      </c>
      <c r="D789" t="s">
        <v>2992</v>
      </c>
      <c r="E789" t="s">
        <v>2998</v>
      </c>
      <c r="F789" t="s">
        <v>3019</v>
      </c>
      <c r="G789">
        <v>7</v>
      </c>
      <c r="H789">
        <v>1334424</v>
      </c>
      <c r="I789">
        <v>130130</v>
      </c>
      <c r="J789">
        <v>15.64</v>
      </c>
      <c r="K789">
        <v>36</v>
      </c>
      <c r="L789" t="s">
        <v>3051</v>
      </c>
      <c r="M789">
        <v>686</v>
      </c>
      <c r="N789">
        <v>7</v>
      </c>
      <c r="O789" t="s">
        <v>3056</v>
      </c>
      <c r="P789" t="s">
        <v>3703</v>
      </c>
      <c r="Q789">
        <v>9.7500000000000003E-2</v>
      </c>
    </row>
    <row r="790" spans="1:17" x14ac:dyDescent="0.35">
      <c r="A790" t="s">
        <v>794</v>
      </c>
      <c r="B790" t="s">
        <v>2283</v>
      </c>
      <c r="C790">
        <v>41</v>
      </c>
      <c r="D790" t="s">
        <v>2990</v>
      </c>
      <c r="E790" t="s">
        <v>2999</v>
      </c>
      <c r="F790" t="s">
        <v>3018</v>
      </c>
      <c r="G790">
        <v>23</v>
      </c>
      <c r="H790">
        <v>1872128</v>
      </c>
      <c r="I790">
        <v>621891</v>
      </c>
      <c r="J790">
        <v>22.58</v>
      </c>
      <c r="K790">
        <v>60</v>
      </c>
      <c r="L790" t="s">
        <v>3046</v>
      </c>
      <c r="M790">
        <v>364</v>
      </c>
      <c r="N790">
        <v>6</v>
      </c>
      <c r="O790" t="s">
        <v>3057</v>
      </c>
      <c r="P790" t="s">
        <v>3226</v>
      </c>
      <c r="Q790">
        <v>0.3322</v>
      </c>
    </row>
    <row r="791" spans="1:17" x14ac:dyDescent="0.35">
      <c r="A791" t="s">
        <v>795</v>
      </c>
      <c r="B791" t="s">
        <v>2284</v>
      </c>
      <c r="C791">
        <v>63</v>
      </c>
      <c r="D791" t="s">
        <v>2992</v>
      </c>
      <c r="E791" t="s">
        <v>2999</v>
      </c>
      <c r="F791" t="s">
        <v>3018</v>
      </c>
      <c r="G791">
        <v>13</v>
      </c>
      <c r="H791">
        <v>794805</v>
      </c>
      <c r="I791">
        <v>577564</v>
      </c>
      <c r="J791">
        <v>9.6999999999999993</v>
      </c>
      <c r="K791">
        <v>60</v>
      </c>
      <c r="L791" t="s">
        <v>3048</v>
      </c>
      <c r="M791">
        <v>0</v>
      </c>
      <c r="N791">
        <v>5</v>
      </c>
      <c r="O791" t="s">
        <v>3057</v>
      </c>
      <c r="P791" t="s">
        <v>3704</v>
      </c>
      <c r="Q791">
        <v>0.72670000000000001</v>
      </c>
    </row>
    <row r="792" spans="1:17" x14ac:dyDescent="0.35">
      <c r="A792" t="s">
        <v>796</v>
      </c>
      <c r="B792" t="s">
        <v>2285</v>
      </c>
      <c r="C792">
        <v>59</v>
      </c>
      <c r="D792" t="s">
        <v>2990</v>
      </c>
      <c r="E792" t="s">
        <v>3007</v>
      </c>
      <c r="F792" t="s">
        <v>3020</v>
      </c>
      <c r="G792">
        <v>6</v>
      </c>
      <c r="H792">
        <v>356076</v>
      </c>
      <c r="I792">
        <v>277803</v>
      </c>
      <c r="J792">
        <v>26.05</v>
      </c>
      <c r="K792">
        <v>12</v>
      </c>
      <c r="L792" t="s">
        <v>3046</v>
      </c>
      <c r="M792">
        <v>691</v>
      </c>
      <c r="N792">
        <v>6</v>
      </c>
      <c r="O792" t="s">
        <v>3057</v>
      </c>
      <c r="P792" t="s">
        <v>3563</v>
      </c>
      <c r="Q792">
        <v>0.7802</v>
      </c>
    </row>
    <row r="793" spans="1:17" x14ac:dyDescent="0.35">
      <c r="A793" t="s">
        <v>797</v>
      </c>
      <c r="B793" t="s">
        <v>2286</v>
      </c>
      <c r="C793">
        <v>48</v>
      </c>
      <c r="D793" t="s">
        <v>2990</v>
      </c>
      <c r="E793" t="s">
        <v>3007</v>
      </c>
      <c r="F793" t="s">
        <v>3021</v>
      </c>
      <c r="G793">
        <v>24</v>
      </c>
      <c r="H793">
        <v>2104401</v>
      </c>
      <c r="I793">
        <v>549739</v>
      </c>
      <c r="J793">
        <v>14.92</v>
      </c>
      <c r="K793">
        <v>12</v>
      </c>
      <c r="L793" t="s">
        <v>3051</v>
      </c>
      <c r="M793">
        <v>443</v>
      </c>
      <c r="N793">
        <v>5</v>
      </c>
      <c r="O793" t="s">
        <v>3057</v>
      </c>
      <c r="P793" t="s">
        <v>3168</v>
      </c>
      <c r="Q793">
        <v>0.26119999999999999</v>
      </c>
    </row>
    <row r="794" spans="1:17" x14ac:dyDescent="0.35">
      <c r="A794" t="s">
        <v>798</v>
      </c>
      <c r="B794" t="s">
        <v>2287</v>
      </c>
      <c r="C794">
        <v>43</v>
      </c>
      <c r="D794" t="s">
        <v>2992</v>
      </c>
      <c r="E794" t="s">
        <v>3003</v>
      </c>
      <c r="F794" t="s">
        <v>3021</v>
      </c>
      <c r="G794">
        <v>9</v>
      </c>
      <c r="H794">
        <v>1015036</v>
      </c>
      <c r="I794">
        <v>440343</v>
      </c>
      <c r="J794">
        <v>18.510000000000002</v>
      </c>
      <c r="K794">
        <v>60</v>
      </c>
      <c r="L794" t="s">
        <v>3046</v>
      </c>
      <c r="N794">
        <v>6</v>
      </c>
      <c r="O794" t="s">
        <v>3057</v>
      </c>
      <c r="P794" t="s">
        <v>3705</v>
      </c>
      <c r="Q794">
        <v>0.43380000000000002</v>
      </c>
    </row>
    <row r="795" spans="1:17" x14ac:dyDescent="0.35">
      <c r="A795" t="s">
        <v>799</v>
      </c>
      <c r="B795" t="s">
        <v>2288</v>
      </c>
      <c r="C795">
        <v>44</v>
      </c>
      <c r="D795" t="s">
        <v>2992</v>
      </c>
      <c r="E795" t="s">
        <v>3002</v>
      </c>
      <c r="F795" t="s">
        <v>3021</v>
      </c>
      <c r="G795">
        <v>18</v>
      </c>
      <c r="H795">
        <v>1192384</v>
      </c>
      <c r="I795">
        <v>589383</v>
      </c>
      <c r="J795">
        <v>10.52</v>
      </c>
      <c r="K795">
        <v>36</v>
      </c>
      <c r="L795" t="s">
        <v>3051</v>
      </c>
      <c r="M795">
        <v>598</v>
      </c>
      <c r="N795">
        <v>0</v>
      </c>
      <c r="O795" t="s">
        <v>3057</v>
      </c>
      <c r="P795" t="s">
        <v>3357</v>
      </c>
      <c r="Q795">
        <v>0.49430000000000002</v>
      </c>
    </row>
    <row r="796" spans="1:17" x14ac:dyDescent="0.35">
      <c r="A796" t="s">
        <v>800</v>
      </c>
      <c r="B796" t="s">
        <v>2289</v>
      </c>
      <c r="C796">
        <v>59</v>
      </c>
      <c r="D796" t="s">
        <v>2992</v>
      </c>
      <c r="E796" t="s">
        <v>2999</v>
      </c>
      <c r="F796" t="s">
        <v>3019</v>
      </c>
      <c r="G796">
        <v>9</v>
      </c>
      <c r="H796">
        <v>1995111</v>
      </c>
      <c r="I796">
        <v>527235</v>
      </c>
      <c r="J796">
        <v>27.11</v>
      </c>
      <c r="K796">
        <v>60</v>
      </c>
      <c r="L796" t="s">
        <v>3047</v>
      </c>
      <c r="M796">
        <v>581</v>
      </c>
      <c r="N796">
        <v>1</v>
      </c>
      <c r="O796" t="s">
        <v>3053</v>
      </c>
      <c r="P796" t="s">
        <v>3263</v>
      </c>
      <c r="Q796">
        <v>0.26429999999999998</v>
      </c>
    </row>
    <row r="797" spans="1:17" x14ac:dyDescent="0.35">
      <c r="A797" t="s">
        <v>801</v>
      </c>
      <c r="B797" t="s">
        <v>2290</v>
      </c>
      <c r="C797">
        <v>44</v>
      </c>
      <c r="D797" t="s">
        <v>2992</v>
      </c>
      <c r="E797" t="s">
        <v>3002</v>
      </c>
      <c r="F797" t="s">
        <v>3018</v>
      </c>
      <c r="G797">
        <v>12</v>
      </c>
      <c r="H797">
        <v>2361913</v>
      </c>
      <c r="I797">
        <v>315599</v>
      </c>
      <c r="J797">
        <v>11.72</v>
      </c>
      <c r="K797">
        <v>48</v>
      </c>
      <c r="L797" t="s">
        <v>3050</v>
      </c>
      <c r="M797">
        <v>340</v>
      </c>
      <c r="N797">
        <v>2</v>
      </c>
      <c r="O797" t="s">
        <v>3056</v>
      </c>
      <c r="P797" t="s">
        <v>3706</v>
      </c>
      <c r="Q797">
        <v>0.1336</v>
      </c>
    </row>
    <row r="798" spans="1:17" x14ac:dyDescent="0.35">
      <c r="A798" t="s">
        <v>802</v>
      </c>
      <c r="B798" t="s">
        <v>2291</v>
      </c>
      <c r="C798">
        <v>56</v>
      </c>
      <c r="D798" t="s">
        <v>2990</v>
      </c>
      <c r="E798" t="s">
        <v>3002</v>
      </c>
      <c r="F798" t="s">
        <v>3021</v>
      </c>
      <c r="G798">
        <v>7</v>
      </c>
      <c r="H798">
        <v>478871</v>
      </c>
      <c r="I798">
        <v>451722</v>
      </c>
      <c r="J798">
        <v>9.19</v>
      </c>
      <c r="K798">
        <v>12</v>
      </c>
      <c r="L798" t="s">
        <v>3047</v>
      </c>
      <c r="M798">
        <v>672</v>
      </c>
      <c r="N798">
        <v>0</v>
      </c>
      <c r="O798" t="s">
        <v>3056</v>
      </c>
      <c r="P798" t="s">
        <v>3707</v>
      </c>
      <c r="Q798">
        <v>0.94330000000000003</v>
      </c>
    </row>
    <row r="799" spans="1:17" x14ac:dyDescent="0.35">
      <c r="A799" t="s">
        <v>803</v>
      </c>
      <c r="B799" t="s">
        <v>2292</v>
      </c>
      <c r="C799">
        <v>38</v>
      </c>
      <c r="D799" t="s">
        <v>2990</v>
      </c>
      <c r="E799" t="s">
        <v>3001</v>
      </c>
      <c r="F799" t="s">
        <v>3018</v>
      </c>
      <c r="G799">
        <v>27</v>
      </c>
      <c r="H799">
        <v>1343950</v>
      </c>
      <c r="I799">
        <v>714489</v>
      </c>
      <c r="J799">
        <v>11.47</v>
      </c>
      <c r="K799">
        <v>60</v>
      </c>
      <c r="L799" t="s">
        <v>3046</v>
      </c>
      <c r="M799">
        <v>321</v>
      </c>
      <c r="N799">
        <v>3</v>
      </c>
      <c r="O799" t="s">
        <v>3052</v>
      </c>
      <c r="P799" t="s">
        <v>3471</v>
      </c>
      <c r="Q799">
        <v>0.53159999999999996</v>
      </c>
    </row>
    <row r="800" spans="1:17" x14ac:dyDescent="0.35">
      <c r="A800" t="s">
        <v>804</v>
      </c>
      <c r="B800" t="s">
        <v>2293</v>
      </c>
      <c r="C800">
        <v>33</v>
      </c>
      <c r="D800" t="s">
        <v>2990</v>
      </c>
      <c r="E800" t="s">
        <v>3003</v>
      </c>
      <c r="F800" t="s">
        <v>3018</v>
      </c>
      <c r="G800">
        <v>15</v>
      </c>
      <c r="H800">
        <v>490375</v>
      </c>
      <c r="I800">
        <v>739785</v>
      </c>
      <c r="J800">
        <v>13.44</v>
      </c>
      <c r="K800">
        <v>12</v>
      </c>
      <c r="L800" t="s">
        <v>3049</v>
      </c>
      <c r="M800">
        <v>400</v>
      </c>
      <c r="N800">
        <v>6</v>
      </c>
      <c r="O800" t="s">
        <v>3054</v>
      </c>
      <c r="P800" t="s">
        <v>3168</v>
      </c>
      <c r="Q800">
        <v>1.5085999999999999</v>
      </c>
    </row>
    <row r="801" spans="1:17" x14ac:dyDescent="0.35">
      <c r="A801" t="s">
        <v>805</v>
      </c>
      <c r="B801" t="s">
        <v>2294</v>
      </c>
      <c r="C801">
        <v>54</v>
      </c>
      <c r="D801" t="s">
        <v>2992</v>
      </c>
      <c r="E801" t="s">
        <v>3002</v>
      </c>
      <c r="F801" t="s">
        <v>3019</v>
      </c>
      <c r="G801">
        <v>12</v>
      </c>
      <c r="I801">
        <v>459503</v>
      </c>
      <c r="J801">
        <v>10.82</v>
      </c>
      <c r="K801">
        <v>48</v>
      </c>
      <c r="L801" t="s">
        <v>3051</v>
      </c>
      <c r="M801">
        <v>750</v>
      </c>
      <c r="N801">
        <v>6</v>
      </c>
      <c r="O801" t="s">
        <v>3056</v>
      </c>
      <c r="P801" t="s">
        <v>3708</v>
      </c>
      <c r="Q801">
        <v>0.27010000000000001</v>
      </c>
    </row>
    <row r="802" spans="1:17" x14ac:dyDescent="0.35">
      <c r="A802" t="s">
        <v>806</v>
      </c>
      <c r="B802" t="s">
        <v>2295</v>
      </c>
      <c r="C802">
        <v>52</v>
      </c>
      <c r="D802" t="s">
        <v>2992</v>
      </c>
      <c r="E802" t="s">
        <v>3001</v>
      </c>
      <c r="F802" t="s">
        <v>3018</v>
      </c>
      <c r="G802">
        <v>22</v>
      </c>
      <c r="H802">
        <v>1955767</v>
      </c>
      <c r="I802">
        <v>261133</v>
      </c>
      <c r="J802">
        <v>23.59</v>
      </c>
      <c r="K802">
        <v>12</v>
      </c>
      <c r="L802" t="s">
        <v>3050</v>
      </c>
      <c r="M802">
        <v>607</v>
      </c>
      <c r="N802">
        <v>4</v>
      </c>
      <c r="O802" t="s">
        <v>3057</v>
      </c>
      <c r="P802" t="s">
        <v>3368</v>
      </c>
      <c r="Q802">
        <v>0.13350000000000001</v>
      </c>
    </row>
    <row r="803" spans="1:17" x14ac:dyDescent="0.35">
      <c r="A803" t="s">
        <v>807</v>
      </c>
      <c r="B803" t="s">
        <v>2296</v>
      </c>
      <c r="C803">
        <v>53</v>
      </c>
      <c r="D803" t="s">
        <v>2992</v>
      </c>
      <c r="E803" t="s">
        <v>3005</v>
      </c>
      <c r="F803" t="s">
        <v>3019</v>
      </c>
      <c r="G803">
        <v>5</v>
      </c>
      <c r="H803">
        <v>2122811</v>
      </c>
      <c r="I803">
        <v>672845</v>
      </c>
      <c r="J803">
        <v>20.71</v>
      </c>
      <c r="K803">
        <v>60</v>
      </c>
      <c r="L803" t="s">
        <v>3050</v>
      </c>
      <c r="M803">
        <v>426</v>
      </c>
      <c r="N803">
        <v>0</v>
      </c>
      <c r="O803" t="s">
        <v>3052</v>
      </c>
      <c r="P803" t="s">
        <v>3648</v>
      </c>
      <c r="Q803">
        <v>0.317</v>
      </c>
    </row>
    <row r="804" spans="1:17" x14ac:dyDescent="0.35">
      <c r="A804" t="s">
        <v>808</v>
      </c>
      <c r="B804" t="s">
        <v>2297</v>
      </c>
      <c r="C804">
        <v>36</v>
      </c>
      <c r="D804" t="s">
        <v>2990</v>
      </c>
      <c r="E804" t="s">
        <v>2998</v>
      </c>
      <c r="F804" t="s">
        <v>3019</v>
      </c>
      <c r="G804">
        <v>13</v>
      </c>
      <c r="H804">
        <v>2118762</v>
      </c>
      <c r="I804">
        <v>522648</v>
      </c>
      <c r="J804">
        <v>8.81</v>
      </c>
      <c r="K804">
        <v>12</v>
      </c>
      <c r="L804" t="s">
        <v>3046</v>
      </c>
      <c r="M804">
        <v>475</v>
      </c>
      <c r="N804">
        <v>5</v>
      </c>
      <c r="O804" t="s">
        <v>3055</v>
      </c>
      <c r="P804" t="s">
        <v>3709</v>
      </c>
      <c r="Q804">
        <v>0.2467</v>
      </c>
    </row>
    <row r="805" spans="1:17" x14ac:dyDescent="0.35">
      <c r="A805" t="s">
        <v>809</v>
      </c>
      <c r="B805" t="s">
        <v>2298</v>
      </c>
      <c r="C805">
        <v>23</v>
      </c>
      <c r="D805" t="s">
        <v>2990</v>
      </c>
      <c r="E805" t="s">
        <v>3004</v>
      </c>
      <c r="F805" t="s">
        <v>3018</v>
      </c>
      <c r="G805">
        <v>11</v>
      </c>
      <c r="H805">
        <v>802605</v>
      </c>
      <c r="I805">
        <v>618506</v>
      </c>
      <c r="J805">
        <v>15.47</v>
      </c>
      <c r="K805">
        <v>60</v>
      </c>
      <c r="L805" t="s">
        <v>3049</v>
      </c>
      <c r="M805">
        <v>842</v>
      </c>
      <c r="N805">
        <v>6</v>
      </c>
      <c r="O805" t="s">
        <v>3057</v>
      </c>
      <c r="P805" t="s">
        <v>3710</v>
      </c>
      <c r="Q805">
        <v>0.77059999999999995</v>
      </c>
    </row>
    <row r="806" spans="1:17" x14ac:dyDescent="0.35">
      <c r="A806" t="s">
        <v>810</v>
      </c>
      <c r="B806" t="s">
        <v>2299</v>
      </c>
      <c r="C806">
        <v>37</v>
      </c>
      <c r="D806" t="s">
        <v>2992</v>
      </c>
      <c r="E806" t="s">
        <v>3005</v>
      </c>
      <c r="F806" t="s">
        <v>3018</v>
      </c>
      <c r="G806">
        <v>2</v>
      </c>
      <c r="H806">
        <v>1258560</v>
      </c>
      <c r="I806">
        <v>367235</v>
      </c>
      <c r="J806">
        <v>20.65</v>
      </c>
      <c r="K806">
        <v>60</v>
      </c>
      <c r="L806" t="s">
        <v>3050</v>
      </c>
      <c r="M806">
        <v>731</v>
      </c>
      <c r="N806">
        <v>3</v>
      </c>
      <c r="O806" t="s">
        <v>3053</v>
      </c>
      <c r="P806" t="s">
        <v>3449</v>
      </c>
      <c r="Q806">
        <v>0.2918</v>
      </c>
    </row>
    <row r="807" spans="1:17" x14ac:dyDescent="0.35">
      <c r="A807" t="s">
        <v>811</v>
      </c>
      <c r="B807" t="s">
        <v>2300</v>
      </c>
      <c r="C807">
        <v>23</v>
      </c>
      <c r="D807" t="s">
        <v>2990</v>
      </c>
      <c r="E807" t="s">
        <v>3017</v>
      </c>
      <c r="F807" t="s">
        <v>3019</v>
      </c>
      <c r="G807">
        <v>0</v>
      </c>
      <c r="I807">
        <v>167745</v>
      </c>
      <c r="J807">
        <v>21.65</v>
      </c>
      <c r="K807">
        <v>48</v>
      </c>
      <c r="L807" t="s">
        <v>3050</v>
      </c>
      <c r="M807">
        <v>848</v>
      </c>
      <c r="N807">
        <v>7</v>
      </c>
      <c r="O807" t="s">
        <v>3053</v>
      </c>
      <c r="P807" t="s">
        <v>3711</v>
      </c>
      <c r="Q807">
        <v>0.43480000000000002</v>
      </c>
    </row>
    <row r="808" spans="1:17" x14ac:dyDescent="0.35">
      <c r="A808" t="s">
        <v>812</v>
      </c>
      <c r="B808" t="s">
        <v>2301</v>
      </c>
      <c r="C808">
        <v>31</v>
      </c>
      <c r="D808" t="s">
        <v>2990</v>
      </c>
      <c r="E808" t="s">
        <v>3000</v>
      </c>
      <c r="F808" t="s">
        <v>3020</v>
      </c>
      <c r="G808">
        <v>9</v>
      </c>
      <c r="H808">
        <v>1849211</v>
      </c>
      <c r="I808">
        <v>580897</v>
      </c>
      <c r="J808">
        <v>22.7</v>
      </c>
      <c r="K808">
        <v>24</v>
      </c>
      <c r="L808" t="s">
        <v>3046</v>
      </c>
      <c r="M808">
        <v>535</v>
      </c>
      <c r="N808">
        <v>0</v>
      </c>
      <c r="O808" t="s">
        <v>3054</v>
      </c>
      <c r="P808" t="s">
        <v>3712</v>
      </c>
      <c r="Q808">
        <v>0.31409999999999999</v>
      </c>
    </row>
    <row r="809" spans="1:17" x14ac:dyDescent="0.35">
      <c r="A809" t="s">
        <v>813</v>
      </c>
      <c r="B809" t="s">
        <v>2302</v>
      </c>
      <c r="C809">
        <v>37</v>
      </c>
      <c r="D809" t="s">
        <v>2990</v>
      </c>
      <c r="E809" t="s">
        <v>3009</v>
      </c>
      <c r="F809" t="s">
        <v>3021</v>
      </c>
      <c r="G809">
        <v>25</v>
      </c>
      <c r="H809">
        <v>899407</v>
      </c>
      <c r="I809">
        <v>457651</v>
      </c>
      <c r="J809">
        <v>11.23</v>
      </c>
      <c r="K809">
        <v>12</v>
      </c>
      <c r="M809">
        <v>799</v>
      </c>
      <c r="N809">
        <v>4</v>
      </c>
      <c r="O809" t="s">
        <v>3054</v>
      </c>
      <c r="P809" t="s">
        <v>3372</v>
      </c>
      <c r="Q809">
        <v>0.50880000000000003</v>
      </c>
    </row>
    <row r="810" spans="1:17" x14ac:dyDescent="0.35">
      <c r="A810" t="s">
        <v>814</v>
      </c>
      <c r="B810" t="s">
        <v>2303</v>
      </c>
      <c r="C810">
        <v>28</v>
      </c>
      <c r="D810" t="s">
        <v>2990</v>
      </c>
      <c r="E810" t="s">
        <v>3006</v>
      </c>
      <c r="F810" t="s">
        <v>3020</v>
      </c>
      <c r="G810">
        <v>25</v>
      </c>
      <c r="H810">
        <v>1898224</v>
      </c>
      <c r="I810">
        <v>598328</v>
      </c>
      <c r="J810">
        <v>24.54</v>
      </c>
      <c r="K810">
        <v>60</v>
      </c>
      <c r="L810" t="s">
        <v>3050</v>
      </c>
      <c r="M810">
        <v>653</v>
      </c>
      <c r="N810">
        <v>1</v>
      </c>
      <c r="O810" t="s">
        <v>3053</v>
      </c>
      <c r="P810" t="s">
        <v>3713</v>
      </c>
      <c r="Q810">
        <v>0.31519999999999998</v>
      </c>
    </row>
    <row r="811" spans="1:17" x14ac:dyDescent="0.35">
      <c r="A811" t="s">
        <v>815</v>
      </c>
      <c r="B811" t="s">
        <v>2304</v>
      </c>
      <c r="C811">
        <v>53</v>
      </c>
      <c r="D811" t="s">
        <v>2990</v>
      </c>
      <c r="E811" t="s">
        <v>3001</v>
      </c>
      <c r="F811" t="s">
        <v>3021</v>
      </c>
      <c r="G811">
        <v>22</v>
      </c>
      <c r="H811">
        <v>1768878</v>
      </c>
      <c r="I811">
        <v>564279</v>
      </c>
      <c r="J811">
        <v>14.49</v>
      </c>
      <c r="K811">
        <v>48</v>
      </c>
      <c r="L811" t="s">
        <v>3049</v>
      </c>
      <c r="M811">
        <v>306</v>
      </c>
      <c r="N811">
        <v>1</v>
      </c>
      <c r="O811" t="s">
        <v>3052</v>
      </c>
      <c r="P811" t="s">
        <v>3073</v>
      </c>
      <c r="Q811">
        <v>0.31900000000000001</v>
      </c>
    </row>
    <row r="812" spans="1:17" x14ac:dyDescent="0.35">
      <c r="A812" t="s">
        <v>816</v>
      </c>
      <c r="B812" t="s">
        <v>2305</v>
      </c>
      <c r="C812">
        <v>48</v>
      </c>
      <c r="D812" t="s">
        <v>2990</v>
      </c>
      <c r="E812" t="s">
        <v>3005</v>
      </c>
      <c r="F812" t="s">
        <v>3019</v>
      </c>
      <c r="G812">
        <v>5</v>
      </c>
      <c r="H812">
        <v>544359</v>
      </c>
      <c r="I812">
        <v>406721</v>
      </c>
      <c r="J812">
        <v>8.65</v>
      </c>
      <c r="K812">
        <v>12</v>
      </c>
      <c r="L812" t="s">
        <v>3048</v>
      </c>
      <c r="M812">
        <v>541</v>
      </c>
      <c r="N812">
        <v>4</v>
      </c>
      <c r="O812" t="s">
        <v>3052</v>
      </c>
      <c r="P812" t="s">
        <v>3714</v>
      </c>
      <c r="Q812">
        <v>0.74719999999999998</v>
      </c>
    </row>
    <row r="813" spans="1:17" x14ac:dyDescent="0.35">
      <c r="A813" t="s">
        <v>817</v>
      </c>
      <c r="B813" t="s">
        <v>2306</v>
      </c>
      <c r="C813">
        <v>52</v>
      </c>
      <c r="D813" t="s">
        <v>2992</v>
      </c>
      <c r="E813" t="s">
        <v>3004</v>
      </c>
      <c r="F813" t="s">
        <v>3018</v>
      </c>
      <c r="G813">
        <v>27</v>
      </c>
      <c r="H813">
        <v>2171083</v>
      </c>
      <c r="I813">
        <v>301755</v>
      </c>
      <c r="J813">
        <v>8.2200000000000006</v>
      </c>
      <c r="K813">
        <v>12</v>
      </c>
      <c r="L813" t="s">
        <v>3048</v>
      </c>
      <c r="M813">
        <v>491</v>
      </c>
      <c r="N813">
        <v>3</v>
      </c>
      <c r="O813" t="s">
        <v>3057</v>
      </c>
      <c r="P813" t="s">
        <v>3715</v>
      </c>
      <c r="Q813">
        <v>0.13900000000000001</v>
      </c>
    </row>
    <row r="814" spans="1:17" x14ac:dyDescent="0.35">
      <c r="A814" t="s">
        <v>818</v>
      </c>
      <c r="B814" t="s">
        <v>2307</v>
      </c>
      <c r="C814">
        <v>57</v>
      </c>
      <c r="D814" t="s">
        <v>2990</v>
      </c>
      <c r="E814" t="s">
        <v>3002</v>
      </c>
      <c r="F814" t="s">
        <v>3019</v>
      </c>
      <c r="G814">
        <v>8</v>
      </c>
      <c r="H814">
        <v>399055</v>
      </c>
      <c r="I814">
        <v>267536</v>
      </c>
      <c r="J814">
        <v>12.97</v>
      </c>
      <c r="K814">
        <v>24</v>
      </c>
      <c r="L814" t="s">
        <v>3046</v>
      </c>
      <c r="M814">
        <v>664</v>
      </c>
      <c r="N814">
        <v>7</v>
      </c>
      <c r="O814" t="s">
        <v>3054</v>
      </c>
      <c r="P814" t="s">
        <v>3716</v>
      </c>
      <c r="Q814">
        <v>0.6704</v>
      </c>
    </row>
    <row r="815" spans="1:17" x14ac:dyDescent="0.35">
      <c r="A815" t="s">
        <v>819</v>
      </c>
      <c r="B815" t="s">
        <v>2308</v>
      </c>
      <c r="C815">
        <v>21</v>
      </c>
      <c r="D815" t="s">
        <v>2992</v>
      </c>
      <c r="E815" t="s">
        <v>3008</v>
      </c>
      <c r="F815" t="s">
        <v>3020</v>
      </c>
      <c r="G815">
        <v>5</v>
      </c>
      <c r="H815">
        <v>1432078</v>
      </c>
      <c r="I815">
        <v>0</v>
      </c>
      <c r="J815">
        <v>13.95</v>
      </c>
      <c r="K815">
        <v>48</v>
      </c>
      <c r="L815" t="s">
        <v>3051</v>
      </c>
      <c r="M815">
        <v>585</v>
      </c>
      <c r="N815">
        <v>0</v>
      </c>
      <c r="O815" t="s">
        <v>3056</v>
      </c>
      <c r="P815" t="s">
        <v>3717</v>
      </c>
      <c r="Q815">
        <v>3.8100000000000002E-2</v>
      </c>
    </row>
    <row r="816" spans="1:17" x14ac:dyDescent="0.35">
      <c r="A816" t="s">
        <v>820</v>
      </c>
      <c r="B816" t="s">
        <v>2309</v>
      </c>
      <c r="C816">
        <v>25</v>
      </c>
      <c r="D816" t="s">
        <v>2992</v>
      </c>
      <c r="E816" t="s">
        <v>3001</v>
      </c>
      <c r="F816" t="s">
        <v>3021</v>
      </c>
      <c r="G816">
        <v>18</v>
      </c>
      <c r="H816">
        <v>1425077</v>
      </c>
      <c r="I816">
        <v>193423</v>
      </c>
      <c r="J816">
        <v>25.01</v>
      </c>
      <c r="K816">
        <v>24</v>
      </c>
      <c r="L816" t="s">
        <v>3051</v>
      </c>
      <c r="M816">
        <v>684</v>
      </c>
      <c r="N816">
        <v>0</v>
      </c>
      <c r="O816" t="s">
        <v>3053</v>
      </c>
      <c r="P816" t="s">
        <v>3110</v>
      </c>
      <c r="Q816">
        <v>0.13569999999999999</v>
      </c>
    </row>
    <row r="817" spans="1:17" x14ac:dyDescent="0.35">
      <c r="A817" t="s">
        <v>821</v>
      </c>
      <c r="B817" t="s">
        <v>2310</v>
      </c>
      <c r="C817">
        <v>32</v>
      </c>
      <c r="D817" t="s">
        <v>2990</v>
      </c>
      <c r="E817" t="s">
        <v>3005</v>
      </c>
      <c r="F817" t="s">
        <v>3018</v>
      </c>
      <c r="G817">
        <v>1</v>
      </c>
      <c r="H817">
        <v>440116</v>
      </c>
      <c r="I817">
        <v>133688</v>
      </c>
      <c r="J817">
        <v>26.77</v>
      </c>
      <c r="K817">
        <v>48</v>
      </c>
      <c r="L817" t="s">
        <v>3051</v>
      </c>
      <c r="M817">
        <v>834</v>
      </c>
      <c r="N817">
        <v>4</v>
      </c>
      <c r="O817" t="s">
        <v>3052</v>
      </c>
      <c r="P817" t="s">
        <v>3163</v>
      </c>
      <c r="Q817">
        <v>0.30380000000000001</v>
      </c>
    </row>
    <row r="818" spans="1:17" x14ac:dyDescent="0.35">
      <c r="A818" t="s">
        <v>822</v>
      </c>
      <c r="B818" t="s">
        <v>2311</v>
      </c>
      <c r="C818">
        <v>46</v>
      </c>
      <c r="D818" t="s">
        <v>2992</v>
      </c>
      <c r="E818" t="s">
        <v>3005</v>
      </c>
      <c r="F818" t="s">
        <v>3019</v>
      </c>
      <c r="G818">
        <v>20</v>
      </c>
      <c r="H818">
        <v>2067106</v>
      </c>
      <c r="I818">
        <v>389836</v>
      </c>
      <c r="J818">
        <v>16.93</v>
      </c>
      <c r="K818">
        <v>48</v>
      </c>
      <c r="L818" t="s">
        <v>3051</v>
      </c>
      <c r="M818">
        <v>537</v>
      </c>
      <c r="N818">
        <v>1</v>
      </c>
      <c r="O818" t="s">
        <v>3052</v>
      </c>
      <c r="P818" t="s">
        <v>3563</v>
      </c>
      <c r="Q818">
        <v>0.18859999999999999</v>
      </c>
    </row>
    <row r="819" spans="1:17" x14ac:dyDescent="0.35">
      <c r="A819" t="s">
        <v>823</v>
      </c>
      <c r="B819" t="s">
        <v>2312</v>
      </c>
      <c r="C819">
        <v>49</v>
      </c>
      <c r="D819" t="s">
        <v>2990</v>
      </c>
      <c r="E819" t="s">
        <v>3000</v>
      </c>
      <c r="F819" t="s">
        <v>3019</v>
      </c>
      <c r="G819">
        <v>13</v>
      </c>
      <c r="H819">
        <v>1404744</v>
      </c>
      <c r="I819">
        <v>505097</v>
      </c>
      <c r="J819">
        <v>25.73</v>
      </c>
      <c r="K819">
        <v>24</v>
      </c>
      <c r="L819" t="s">
        <v>3046</v>
      </c>
      <c r="M819">
        <v>732</v>
      </c>
      <c r="N819">
        <v>5</v>
      </c>
      <c r="O819" t="s">
        <v>3055</v>
      </c>
      <c r="P819" t="s">
        <v>3587</v>
      </c>
      <c r="Q819">
        <v>0.35959999999999998</v>
      </c>
    </row>
    <row r="820" spans="1:17" x14ac:dyDescent="0.35">
      <c r="A820" t="s">
        <v>824</v>
      </c>
      <c r="B820" t="s">
        <v>2313</v>
      </c>
      <c r="C820">
        <v>40</v>
      </c>
      <c r="D820" t="s">
        <v>2990</v>
      </c>
      <c r="E820" t="s">
        <v>3002</v>
      </c>
      <c r="F820" t="s">
        <v>3021</v>
      </c>
      <c r="G820">
        <v>16</v>
      </c>
      <c r="H820">
        <v>1251860</v>
      </c>
      <c r="I820">
        <v>710796</v>
      </c>
      <c r="J820">
        <v>21.9</v>
      </c>
      <c r="K820">
        <v>48</v>
      </c>
      <c r="L820" t="s">
        <v>3051</v>
      </c>
      <c r="M820">
        <v>357</v>
      </c>
      <c r="N820">
        <v>0</v>
      </c>
      <c r="O820" t="s">
        <v>3057</v>
      </c>
      <c r="P820" t="s">
        <v>3231</v>
      </c>
      <c r="Q820">
        <v>0.56779999999999997</v>
      </c>
    </row>
    <row r="821" spans="1:17" x14ac:dyDescent="0.35">
      <c r="A821" t="s">
        <v>825</v>
      </c>
      <c r="B821" t="s">
        <v>2314</v>
      </c>
      <c r="C821">
        <v>26</v>
      </c>
      <c r="D821" t="s">
        <v>2992</v>
      </c>
      <c r="E821" t="s">
        <v>3005</v>
      </c>
      <c r="F821" t="s">
        <v>3020</v>
      </c>
      <c r="G821">
        <v>19</v>
      </c>
      <c r="H821">
        <v>2353408</v>
      </c>
      <c r="I821">
        <v>205194</v>
      </c>
      <c r="J821">
        <v>26.99</v>
      </c>
      <c r="K821">
        <v>60</v>
      </c>
      <c r="L821" t="s">
        <v>3051</v>
      </c>
      <c r="M821">
        <v>310</v>
      </c>
      <c r="N821">
        <v>5</v>
      </c>
      <c r="O821" t="s">
        <v>3055</v>
      </c>
      <c r="P821" t="s">
        <v>3718</v>
      </c>
      <c r="Q821">
        <v>8.72E-2</v>
      </c>
    </row>
    <row r="822" spans="1:17" x14ac:dyDescent="0.35">
      <c r="A822" t="s">
        <v>826</v>
      </c>
      <c r="B822" t="s">
        <v>2315</v>
      </c>
      <c r="C822">
        <v>58</v>
      </c>
      <c r="D822" t="s">
        <v>2992</v>
      </c>
      <c r="E822" t="s">
        <v>2999</v>
      </c>
      <c r="F822" t="s">
        <v>3021</v>
      </c>
      <c r="G822">
        <v>24</v>
      </c>
      <c r="H822">
        <v>1432557</v>
      </c>
      <c r="I822">
        <v>112268</v>
      </c>
      <c r="J822">
        <v>16.05</v>
      </c>
      <c r="K822">
        <v>24</v>
      </c>
      <c r="L822" t="s">
        <v>3047</v>
      </c>
      <c r="M822">
        <v>429</v>
      </c>
      <c r="N822">
        <v>2</v>
      </c>
      <c r="O822" t="s">
        <v>3056</v>
      </c>
      <c r="P822" t="s">
        <v>3359</v>
      </c>
      <c r="Q822">
        <v>7.8399999999999997E-2</v>
      </c>
    </row>
    <row r="823" spans="1:17" x14ac:dyDescent="0.35">
      <c r="A823" t="s">
        <v>827</v>
      </c>
      <c r="B823" t="s">
        <v>2316</v>
      </c>
      <c r="C823">
        <v>31</v>
      </c>
      <c r="D823" t="s">
        <v>2990</v>
      </c>
      <c r="E823" t="s">
        <v>2999</v>
      </c>
      <c r="F823" t="s">
        <v>3018</v>
      </c>
      <c r="G823">
        <v>15</v>
      </c>
      <c r="H823">
        <v>693313</v>
      </c>
      <c r="I823">
        <v>615333</v>
      </c>
      <c r="J823">
        <v>9.0500000000000007</v>
      </c>
      <c r="K823">
        <v>36</v>
      </c>
      <c r="L823" t="s">
        <v>3047</v>
      </c>
      <c r="M823">
        <v>630</v>
      </c>
      <c r="N823">
        <v>7</v>
      </c>
      <c r="O823" t="s">
        <v>3052</v>
      </c>
      <c r="P823" t="s">
        <v>3466</v>
      </c>
      <c r="Q823">
        <v>0.88749999999999996</v>
      </c>
    </row>
    <row r="824" spans="1:17" x14ac:dyDescent="0.35">
      <c r="A824" t="s">
        <v>828</v>
      </c>
      <c r="B824" t="s">
        <v>2317</v>
      </c>
      <c r="C824">
        <v>50</v>
      </c>
      <c r="D824" t="s">
        <v>2990</v>
      </c>
      <c r="E824" t="s">
        <v>3007</v>
      </c>
      <c r="F824" t="s">
        <v>3021</v>
      </c>
      <c r="G824">
        <v>27</v>
      </c>
      <c r="H824">
        <v>1372931</v>
      </c>
      <c r="I824">
        <v>223561</v>
      </c>
      <c r="J824">
        <v>10.47</v>
      </c>
      <c r="K824">
        <v>24</v>
      </c>
      <c r="L824" t="s">
        <v>3046</v>
      </c>
      <c r="M824">
        <v>795</v>
      </c>
      <c r="N824">
        <v>2</v>
      </c>
      <c r="O824" t="s">
        <v>3053</v>
      </c>
      <c r="P824" t="s">
        <v>3719</v>
      </c>
      <c r="Q824">
        <v>0.1628</v>
      </c>
    </row>
    <row r="825" spans="1:17" x14ac:dyDescent="0.35">
      <c r="A825" t="s">
        <v>829</v>
      </c>
      <c r="B825" t="s">
        <v>2318</v>
      </c>
      <c r="C825">
        <v>36</v>
      </c>
      <c r="D825" t="s">
        <v>2992</v>
      </c>
      <c r="E825" t="s">
        <v>3001</v>
      </c>
      <c r="F825" t="s">
        <v>3021</v>
      </c>
      <c r="G825">
        <v>19</v>
      </c>
      <c r="H825">
        <v>1411619</v>
      </c>
      <c r="I825">
        <v>720033</v>
      </c>
      <c r="J825">
        <v>22.38</v>
      </c>
      <c r="K825">
        <v>24</v>
      </c>
      <c r="L825" t="s">
        <v>3046</v>
      </c>
      <c r="M825">
        <v>692</v>
      </c>
      <c r="N825">
        <v>1</v>
      </c>
      <c r="O825" t="s">
        <v>3055</v>
      </c>
      <c r="P825" t="s">
        <v>3720</v>
      </c>
      <c r="Q825">
        <v>0.5101</v>
      </c>
    </row>
    <row r="826" spans="1:17" x14ac:dyDescent="0.35">
      <c r="A826" t="s">
        <v>830</v>
      </c>
      <c r="B826" t="s">
        <v>2319</v>
      </c>
      <c r="C826">
        <v>23</v>
      </c>
      <c r="D826" t="s">
        <v>2992</v>
      </c>
      <c r="E826" t="s">
        <v>2998</v>
      </c>
      <c r="F826" t="s">
        <v>3020</v>
      </c>
      <c r="G826">
        <v>13</v>
      </c>
      <c r="H826">
        <v>1144918</v>
      </c>
      <c r="I826">
        <v>620541</v>
      </c>
      <c r="J826">
        <v>11.42</v>
      </c>
      <c r="K826">
        <v>48</v>
      </c>
      <c r="L826" t="s">
        <v>3049</v>
      </c>
      <c r="M826">
        <v>668</v>
      </c>
      <c r="N826">
        <v>6</v>
      </c>
      <c r="O826" t="s">
        <v>3053</v>
      </c>
      <c r="P826" t="s">
        <v>3721</v>
      </c>
      <c r="Q826">
        <v>0.54200000000000004</v>
      </c>
    </row>
    <row r="827" spans="1:17" x14ac:dyDescent="0.35">
      <c r="A827" t="s">
        <v>831</v>
      </c>
      <c r="B827" t="s">
        <v>2320</v>
      </c>
      <c r="C827">
        <v>41</v>
      </c>
      <c r="D827" t="s">
        <v>2992</v>
      </c>
      <c r="E827" t="s">
        <v>3007</v>
      </c>
      <c r="F827" t="s">
        <v>3019</v>
      </c>
      <c r="G827">
        <v>7</v>
      </c>
      <c r="H827">
        <v>1810668</v>
      </c>
      <c r="I827">
        <v>358089</v>
      </c>
      <c r="J827">
        <v>26.92</v>
      </c>
      <c r="K827">
        <v>36</v>
      </c>
      <c r="L827" t="s">
        <v>3047</v>
      </c>
      <c r="M827">
        <v>350</v>
      </c>
      <c r="N827">
        <v>7</v>
      </c>
      <c r="O827" t="s">
        <v>3052</v>
      </c>
      <c r="P827" t="s">
        <v>3722</v>
      </c>
      <c r="Q827">
        <v>0.1978</v>
      </c>
    </row>
    <row r="828" spans="1:17" x14ac:dyDescent="0.35">
      <c r="A828" t="s">
        <v>832</v>
      </c>
      <c r="B828" t="s">
        <v>2321</v>
      </c>
      <c r="C828">
        <v>57</v>
      </c>
      <c r="D828" t="s">
        <v>2992</v>
      </c>
      <c r="E828" t="s">
        <v>2999</v>
      </c>
      <c r="F828" t="s">
        <v>3018</v>
      </c>
      <c r="G828">
        <v>2</v>
      </c>
      <c r="H828">
        <v>1378734</v>
      </c>
      <c r="I828">
        <v>516915</v>
      </c>
      <c r="J828">
        <v>20.51</v>
      </c>
      <c r="K828">
        <v>24</v>
      </c>
      <c r="L828" t="s">
        <v>3050</v>
      </c>
      <c r="M828">
        <v>606</v>
      </c>
      <c r="N828">
        <v>7</v>
      </c>
      <c r="O828" t="s">
        <v>3054</v>
      </c>
      <c r="P828" t="s">
        <v>3235</v>
      </c>
      <c r="Q828">
        <v>0.37490000000000001</v>
      </c>
    </row>
    <row r="829" spans="1:17" x14ac:dyDescent="0.35">
      <c r="A829" t="s">
        <v>833</v>
      </c>
      <c r="B829" t="s">
        <v>2322</v>
      </c>
      <c r="C829">
        <v>55</v>
      </c>
      <c r="D829" t="s">
        <v>2990</v>
      </c>
      <c r="E829" t="s">
        <v>3003</v>
      </c>
      <c r="F829" t="s">
        <v>3018</v>
      </c>
      <c r="G829">
        <v>7</v>
      </c>
      <c r="H829">
        <v>934296</v>
      </c>
      <c r="I829">
        <v>573172</v>
      </c>
      <c r="J829">
        <v>26.01</v>
      </c>
      <c r="K829">
        <v>12</v>
      </c>
      <c r="L829" t="s">
        <v>3048</v>
      </c>
      <c r="M829">
        <v>847</v>
      </c>
      <c r="N829">
        <v>7</v>
      </c>
      <c r="O829" t="s">
        <v>3052</v>
      </c>
      <c r="P829" t="s">
        <v>3723</v>
      </c>
      <c r="Q829">
        <v>0.61350000000000005</v>
      </c>
    </row>
    <row r="830" spans="1:17" x14ac:dyDescent="0.35">
      <c r="A830" t="s">
        <v>834</v>
      </c>
      <c r="B830" t="s">
        <v>2323</v>
      </c>
      <c r="C830">
        <v>57</v>
      </c>
      <c r="D830" t="s">
        <v>2992</v>
      </c>
      <c r="E830" t="s">
        <v>3002</v>
      </c>
      <c r="F830" t="s">
        <v>3020</v>
      </c>
      <c r="G830">
        <v>28</v>
      </c>
      <c r="H830">
        <v>1437669</v>
      </c>
      <c r="I830">
        <v>49345</v>
      </c>
      <c r="J830">
        <v>12.62</v>
      </c>
      <c r="K830">
        <v>24</v>
      </c>
      <c r="L830" t="s">
        <v>3047</v>
      </c>
      <c r="M830">
        <v>455</v>
      </c>
      <c r="N830">
        <v>6</v>
      </c>
      <c r="O830" t="s">
        <v>3055</v>
      </c>
      <c r="P830" t="s">
        <v>3247</v>
      </c>
      <c r="Q830">
        <v>3.4299999999999997E-2</v>
      </c>
    </row>
    <row r="831" spans="1:17" x14ac:dyDescent="0.35">
      <c r="A831" t="s">
        <v>835</v>
      </c>
      <c r="B831" t="s">
        <v>2202</v>
      </c>
      <c r="C831">
        <v>21</v>
      </c>
      <c r="D831" t="s">
        <v>2992</v>
      </c>
      <c r="E831" t="s">
        <v>3000</v>
      </c>
      <c r="F831" t="s">
        <v>3021</v>
      </c>
      <c r="G831">
        <v>12</v>
      </c>
      <c r="H831">
        <v>2100379</v>
      </c>
      <c r="I831">
        <v>201429</v>
      </c>
      <c r="J831">
        <v>27.11</v>
      </c>
      <c r="K831">
        <v>12</v>
      </c>
      <c r="L831" t="s">
        <v>3046</v>
      </c>
      <c r="M831">
        <v>531</v>
      </c>
      <c r="N831">
        <v>3</v>
      </c>
      <c r="O831" t="s">
        <v>3054</v>
      </c>
      <c r="P831" t="s">
        <v>3724</v>
      </c>
      <c r="Q831">
        <v>9.5899999999999999E-2</v>
      </c>
    </row>
    <row r="832" spans="1:17" x14ac:dyDescent="0.35">
      <c r="A832" t="s">
        <v>836</v>
      </c>
      <c r="B832" t="s">
        <v>2324</v>
      </c>
      <c r="C832">
        <v>41</v>
      </c>
      <c r="D832" t="s">
        <v>2990</v>
      </c>
      <c r="E832" t="s">
        <v>3003</v>
      </c>
      <c r="F832" t="s">
        <v>3021</v>
      </c>
      <c r="G832">
        <v>11</v>
      </c>
      <c r="H832">
        <v>2165957</v>
      </c>
      <c r="I832">
        <v>493918</v>
      </c>
      <c r="J832">
        <v>15.83</v>
      </c>
      <c r="K832">
        <v>60</v>
      </c>
      <c r="L832" t="s">
        <v>3049</v>
      </c>
      <c r="M832">
        <v>590</v>
      </c>
      <c r="N832">
        <v>1</v>
      </c>
      <c r="O832" t="s">
        <v>3053</v>
      </c>
      <c r="P832" t="s">
        <v>3609</v>
      </c>
      <c r="Q832">
        <v>0.22800000000000001</v>
      </c>
    </row>
    <row r="833" spans="1:17" x14ac:dyDescent="0.35">
      <c r="A833" t="s">
        <v>837</v>
      </c>
      <c r="B833" t="s">
        <v>2325</v>
      </c>
      <c r="C833">
        <v>44</v>
      </c>
      <c r="D833" t="s">
        <v>2992</v>
      </c>
      <c r="E833" t="s">
        <v>2999</v>
      </c>
      <c r="F833" t="s">
        <v>3021</v>
      </c>
      <c r="G833">
        <v>10</v>
      </c>
      <c r="H833">
        <v>1677618</v>
      </c>
      <c r="I833">
        <v>495406</v>
      </c>
      <c r="J833">
        <v>27.84</v>
      </c>
      <c r="K833">
        <v>48</v>
      </c>
      <c r="L833" t="s">
        <v>3051</v>
      </c>
      <c r="M833">
        <v>639</v>
      </c>
      <c r="N833">
        <v>3</v>
      </c>
      <c r="O833" t="s">
        <v>3055</v>
      </c>
      <c r="P833" t="s">
        <v>3725</v>
      </c>
      <c r="Q833">
        <v>0.29530000000000001</v>
      </c>
    </row>
    <row r="834" spans="1:17" x14ac:dyDescent="0.35">
      <c r="A834" t="s">
        <v>838</v>
      </c>
      <c r="B834" t="s">
        <v>2326</v>
      </c>
      <c r="C834">
        <v>35</v>
      </c>
      <c r="D834" t="s">
        <v>2990</v>
      </c>
      <c r="E834" t="s">
        <v>3006</v>
      </c>
      <c r="F834" t="s">
        <v>3021</v>
      </c>
      <c r="G834">
        <v>24</v>
      </c>
      <c r="H834">
        <v>1899014</v>
      </c>
      <c r="I834">
        <v>505687</v>
      </c>
      <c r="J834">
        <v>19.989999999999998</v>
      </c>
      <c r="K834">
        <v>12</v>
      </c>
      <c r="L834" t="s">
        <v>3050</v>
      </c>
      <c r="M834">
        <v>366</v>
      </c>
      <c r="N834">
        <v>4</v>
      </c>
      <c r="O834" t="s">
        <v>3057</v>
      </c>
      <c r="P834" t="s">
        <v>3726</v>
      </c>
      <c r="Q834">
        <v>0.26629999999999998</v>
      </c>
    </row>
    <row r="835" spans="1:17" x14ac:dyDescent="0.35">
      <c r="A835" t="s">
        <v>839</v>
      </c>
      <c r="B835" t="s">
        <v>2327</v>
      </c>
      <c r="C835">
        <v>45</v>
      </c>
      <c r="D835" t="s">
        <v>2992</v>
      </c>
      <c r="E835" t="s">
        <v>2998</v>
      </c>
      <c r="F835" t="s">
        <v>3018</v>
      </c>
      <c r="G835">
        <v>8</v>
      </c>
      <c r="H835">
        <v>2347354</v>
      </c>
      <c r="I835">
        <v>718730</v>
      </c>
      <c r="J835">
        <v>12.19</v>
      </c>
      <c r="K835">
        <v>36</v>
      </c>
      <c r="L835" t="s">
        <v>3051</v>
      </c>
      <c r="M835">
        <v>410</v>
      </c>
      <c r="N835">
        <v>6</v>
      </c>
      <c r="O835" t="s">
        <v>3055</v>
      </c>
      <c r="P835" t="s">
        <v>3727</v>
      </c>
      <c r="Q835">
        <v>0.30620000000000003</v>
      </c>
    </row>
    <row r="836" spans="1:17" x14ac:dyDescent="0.35">
      <c r="A836" t="s">
        <v>840</v>
      </c>
      <c r="B836" t="s">
        <v>2328</v>
      </c>
      <c r="C836">
        <v>29</v>
      </c>
      <c r="D836" t="s">
        <v>2992</v>
      </c>
      <c r="E836" t="s">
        <v>3001</v>
      </c>
      <c r="G836">
        <v>15</v>
      </c>
      <c r="H836">
        <v>508821</v>
      </c>
      <c r="I836">
        <v>294336</v>
      </c>
      <c r="J836">
        <v>22.83</v>
      </c>
      <c r="K836">
        <v>48</v>
      </c>
      <c r="L836" t="s">
        <v>3049</v>
      </c>
      <c r="M836">
        <v>414</v>
      </c>
      <c r="N836">
        <v>7</v>
      </c>
      <c r="O836" t="s">
        <v>3057</v>
      </c>
      <c r="P836" t="s">
        <v>3728</v>
      </c>
      <c r="Q836">
        <v>0.57850000000000001</v>
      </c>
    </row>
    <row r="837" spans="1:17" x14ac:dyDescent="0.35">
      <c r="A837" t="s">
        <v>841</v>
      </c>
      <c r="B837" t="s">
        <v>2329</v>
      </c>
      <c r="C837">
        <v>40</v>
      </c>
      <c r="D837" t="s">
        <v>2992</v>
      </c>
      <c r="E837" t="s">
        <v>3003</v>
      </c>
      <c r="F837" t="s">
        <v>3018</v>
      </c>
      <c r="G837">
        <v>27</v>
      </c>
      <c r="H837">
        <v>2294785</v>
      </c>
      <c r="I837">
        <v>391994</v>
      </c>
      <c r="J837">
        <v>10.06</v>
      </c>
      <c r="K837">
        <v>60</v>
      </c>
      <c r="L837" t="s">
        <v>3050</v>
      </c>
      <c r="M837">
        <v>445</v>
      </c>
      <c r="N837">
        <v>2</v>
      </c>
      <c r="O837" t="s">
        <v>3056</v>
      </c>
      <c r="P837" t="s">
        <v>3729</v>
      </c>
      <c r="Q837">
        <v>0.17080000000000001</v>
      </c>
    </row>
    <row r="838" spans="1:17" x14ac:dyDescent="0.35">
      <c r="A838" t="s">
        <v>842</v>
      </c>
      <c r="B838" t="s">
        <v>2330</v>
      </c>
      <c r="C838">
        <v>44</v>
      </c>
      <c r="D838" t="s">
        <v>2992</v>
      </c>
      <c r="E838" t="s">
        <v>3002</v>
      </c>
      <c r="F838" t="s">
        <v>3021</v>
      </c>
      <c r="G838">
        <v>29</v>
      </c>
      <c r="H838">
        <v>1726236</v>
      </c>
      <c r="I838">
        <v>112036</v>
      </c>
      <c r="J838">
        <v>16.25</v>
      </c>
      <c r="K838">
        <v>60</v>
      </c>
      <c r="L838" t="s">
        <v>3051</v>
      </c>
      <c r="M838">
        <v>681</v>
      </c>
      <c r="N838">
        <v>3</v>
      </c>
      <c r="O838" t="s">
        <v>3056</v>
      </c>
      <c r="P838" t="s">
        <v>3730</v>
      </c>
      <c r="Q838">
        <v>6.4899999999999999E-2</v>
      </c>
    </row>
    <row r="839" spans="1:17" x14ac:dyDescent="0.35">
      <c r="A839" t="s">
        <v>843</v>
      </c>
      <c r="B839" t="s">
        <v>2331</v>
      </c>
      <c r="C839">
        <v>44</v>
      </c>
      <c r="D839" t="s">
        <v>2992</v>
      </c>
      <c r="E839" t="s">
        <v>3004</v>
      </c>
      <c r="F839" t="s">
        <v>3021</v>
      </c>
      <c r="G839">
        <v>28</v>
      </c>
      <c r="H839">
        <v>671862</v>
      </c>
      <c r="I839">
        <v>548036</v>
      </c>
      <c r="J839">
        <v>16.350000000000001</v>
      </c>
      <c r="K839">
        <v>60</v>
      </c>
      <c r="L839" t="s">
        <v>3048</v>
      </c>
      <c r="M839">
        <v>793</v>
      </c>
      <c r="N839">
        <v>5</v>
      </c>
      <c r="O839" t="s">
        <v>3054</v>
      </c>
      <c r="P839" t="s">
        <v>3731</v>
      </c>
      <c r="Q839">
        <v>0.81569999999999998</v>
      </c>
    </row>
    <row r="840" spans="1:17" x14ac:dyDescent="0.35">
      <c r="A840" t="s">
        <v>844</v>
      </c>
      <c r="B840" t="s">
        <v>2332</v>
      </c>
      <c r="C840">
        <v>35</v>
      </c>
      <c r="D840" t="s">
        <v>2990</v>
      </c>
      <c r="E840" t="s">
        <v>2998</v>
      </c>
      <c r="F840" t="s">
        <v>3021</v>
      </c>
      <c r="G840">
        <v>2</v>
      </c>
      <c r="H840">
        <v>285228</v>
      </c>
      <c r="I840">
        <v>507030</v>
      </c>
      <c r="J840">
        <v>23.01</v>
      </c>
      <c r="K840">
        <v>48</v>
      </c>
      <c r="L840" t="s">
        <v>3050</v>
      </c>
      <c r="M840">
        <v>601</v>
      </c>
      <c r="N840">
        <v>5</v>
      </c>
      <c r="O840" t="s">
        <v>3054</v>
      </c>
      <c r="P840" t="s">
        <v>3732</v>
      </c>
      <c r="Q840">
        <v>1.7776000000000001</v>
      </c>
    </row>
    <row r="841" spans="1:17" x14ac:dyDescent="0.35">
      <c r="A841" t="s">
        <v>845</v>
      </c>
      <c r="B841" t="s">
        <v>2333</v>
      </c>
      <c r="C841">
        <v>21</v>
      </c>
      <c r="D841" t="s">
        <v>2992</v>
      </c>
      <c r="E841" t="s">
        <v>3007</v>
      </c>
      <c r="F841" t="s">
        <v>3018</v>
      </c>
      <c r="G841">
        <v>9</v>
      </c>
      <c r="H841">
        <v>438517</v>
      </c>
      <c r="I841">
        <v>578969</v>
      </c>
      <c r="J841">
        <v>11.87</v>
      </c>
      <c r="K841">
        <v>48</v>
      </c>
      <c r="L841" t="s">
        <v>3046</v>
      </c>
      <c r="M841">
        <v>387</v>
      </c>
      <c r="N841">
        <v>6</v>
      </c>
      <c r="O841" t="s">
        <v>3057</v>
      </c>
      <c r="P841" t="s">
        <v>3733</v>
      </c>
      <c r="Q841">
        <v>1.3203</v>
      </c>
    </row>
    <row r="842" spans="1:17" x14ac:dyDescent="0.35">
      <c r="A842" t="s">
        <v>846</v>
      </c>
      <c r="B842" t="s">
        <v>2334</v>
      </c>
      <c r="C842">
        <v>46</v>
      </c>
      <c r="D842" t="s">
        <v>2992</v>
      </c>
      <c r="E842" t="s">
        <v>3006</v>
      </c>
      <c r="F842" t="s">
        <v>3020</v>
      </c>
      <c r="G842">
        <v>28</v>
      </c>
      <c r="H842">
        <v>975928</v>
      </c>
      <c r="I842">
        <v>25039</v>
      </c>
      <c r="J842">
        <v>26.98</v>
      </c>
      <c r="K842">
        <v>24</v>
      </c>
      <c r="L842" t="s">
        <v>3048</v>
      </c>
      <c r="M842">
        <v>791</v>
      </c>
      <c r="N842">
        <v>7</v>
      </c>
      <c r="O842" t="s">
        <v>3057</v>
      </c>
      <c r="P842" t="s">
        <v>3734</v>
      </c>
      <c r="Q842">
        <v>2.5700000000000001E-2</v>
      </c>
    </row>
    <row r="843" spans="1:17" x14ac:dyDescent="0.35">
      <c r="A843" t="s">
        <v>847</v>
      </c>
      <c r="B843" t="s">
        <v>2335</v>
      </c>
      <c r="C843">
        <v>51</v>
      </c>
      <c r="D843" t="s">
        <v>2992</v>
      </c>
      <c r="E843" t="s">
        <v>2999</v>
      </c>
      <c r="F843" t="s">
        <v>3021</v>
      </c>
      <c r="G843">
        <v>4</v>
      </c>
      <c r="H843">
        <v>599065</v>
      </c>
      <c r="I843">
        <v>331573</v>
      </c>
      <c r="J843">
        <v>11.22</v>
      </c>
      <c r="K843">
        <v>12</v>
      </c>
      <c r="L843" t="s">
        <v>3048</v>
      </c>
      <c r="M843">
        <v>524</v>
      </c>
      <c r="N843">
        <v>0</v>
      </c>
      <c r="O843" t="s">
        <v>3056</v>
      </c>
      <c r="P843" t="s">
        <v>3634</v>
      </c>
      <c r="Q843">
        <v>0.55349999999999999</v>
      </c>
    </row>
    <row r="844" spans="1:17" x14ac:dyDescent="0.35">
      <c r="A844" t="s">
        <v>848</v>
      </c>
      <c r="B844" t="s">
        <v>2336</v>
      </c>
      <c r="C844">
        <v>49</v>
      </c>
      <c r="D844" t="s">
        <v>2992</v>
      </c>
      <c r="E844" t="s">
        <v>3004</v>
      </c>
      <c r="F844" t="s">
        <v>3020</v>
      </c>
      <c r="G844">
        <v>23</v>
      </c>
      <c r="H844">
        <v>1716081</v>
      </c>
      <c r="I844">
        <v>693623</v>
      </c>
      <c r="J844">
        <v>21.34</v>
      </c>
      <c r="K844">
        <v>24</v>
      </c>
      <c r="L844" t="s">
        <v>3051</v>
      </c>
      <c r="M844">
        <v>513</v>
      </c>
      <c r="N844">
        <v>6</v>
      </c>
      <c r="O844" t="s">
        <v>3056</v>
      </c>
      <c r="P844" t="s">
        <v>3735</v>
      </c>
      <c r="Q844">
        <v>0.4042</v>
      </c>
    </row>
    <row r="845" spans="1:17" x14ac:dyDescent="0.35">
      <c r="A845" t="s">
        <v>849</v>
      </c>
      <c r="B845" t="s">
        <v>2337</v>
      </c>
      <c r="C845">
        <v>54</v>
      </c>
      <c r="D845" t="s">
        <v>2990</v>
      </c>
      <c r="E845" t="s">
        <v>3006</v>
      </c>
      <c r="F845" t="s">
        <v>3018</v>
      </c>
      <c r="G845">
        <v>3</v>
      </c>
      <c r="H845">
        <v>2008022</v>
      </c>
      <c r="I845">
        <v>121948</v>
      </c>
      <c r="J845">
        <v>11.17</v>
      </c>
      <c r="K845">
        <v>60</v>
      </c>
      <c r="L845" t="s">
        <v>3047</v>
      </c>
      <c r="M845">
        <v>702</v>
      </c>
      <c r="N845">
        <v>7</v>
      </c>
      <c r="O845" t="s">
        <v>3061</v>
      </c>
      <c r="P845" t="s">
        <v>3331</v>
      </c>
      <c r="Q845">
        <v>6.0699999999999997E-2</v>
      </c>
    </row>
    <row r="846" spans="1:17" x14ac:dyDescent="0.35">
      <c r="A846" t="s">
        <v>850</v>
      </c>
      <c r="B846" t="s">
        <v>2338</v>
      </c>
      <c r="C846">
        <v>32</v>
      </c>
      <c r="D846" t="s">
        <v>2992</v>
      </c>
      <c r="E846" t="s">
        <v>2999</v>
      </c>
      <c r="F846" t="s">
        <v>3021</v>
      </c>
      <c r="G846">
        <v>27</v>
      </c>
      <c r="H846">
        <v>335683</v>
      </c>
      <c r="I846">
        <v>648889</v>
      </c>
      <c r="J846">
        <v>27.55</v>
      </c>
      <c r="K846">
        <v>36</v>
      </c>
      <c r="L846" t="s">
        <v>3049</v>
      </c>
      <c r="M846">
        <v>594</v>
      </c>
      <c r="N846">
        <v>7</v>
      </c>
      <c r="O846" t="s">
        <v>3052</v>
      </c>
      <c r="P846" t="s">
        <v>3736</v>
      </c>
      <c r="Q846">
        <v>1.9330000000000001</v>
      </c>
    </row>
    <row r="847" spans="1:17" x14ac:dyDescent="0.35">
      <c r="A847" t="s">
        <v>851</v>
      </c>
      <c r="B847" t="s">
        <v>2339</v>
      </c>
      <c r="C847">
        <v>46</v>
      </c>
      <c r="D847" t="s">
        <v>2992</v>
      </c>
      <c r="E847" t="s">
        <v>3002</v>
      </c>
      <c r="F847" t="s">
        <v>3021</v>
      </c>
      <c r="G847">
        <v>9</v>
      </c>
      <c r="H847">
        <v>1761420</v>
      </c>
      <c r="I847">
        <v>731943</v>
      </c>
      <c r="J847">
        <v>22.97</v>
      </c>
      <c r="K847">
        <v>48</v>
      </c>
      <c r="L847" t="s">
        <v>3046</v>
      </c>
      <c r="M847">
        <v>641</v>
      </c>
      <c r="N847">
        <v>6</v>
      </c>
      <c r="O847" t="s">
        <v>3054</v>
      </c>
      <c r="P847" t="s">
        <v>3737</v>
      </c>
      <c r="Q847">
        <v>0.41549999999999998</v>
      </c>
    </row>
    <row r="848" spans="1:17" x14ac:dyDescent="0.35">
      <c r="A848" t="s">
        <v>852</v>
      </c>
      <c r="B848" t="s">
        <v>2340</v>
      </c>
      <c r="C848">
        <v>23</v>
      </c>
      <c r="D848" t="s">
        <v>2992</v>
      </c>
      <c r="E848" t="s">
        <v>3002</v>
      </c>
      <c r="F848" t="s">
        <v>3021</v>
      </c>
      <c r="G848">
        <v>5</v>
      </c>
      <c r="H848">
        <v>1263868</v>
      </c>
      <c r="I848">
        <v>787344</v>
      </c>
      <c r="J848">
        <v>17.21</v>
      </c>
      <c r="K848">
        <v>24</v>
      </c>
      <c r="L848" t="s">
        <v>3047</v>
      </c>
      <c r="M848">
        <v>758</v>
      </c>
      <c r="N848">
        <v>1</v>
      </c>
      <c r="O848" t="s">
        <v>3057</v>
      </c>
      <c r="P848" t="s">
        <v>3173</v>
      </c>
      <c r="Q848">
        <v>0.623</v>
      </c>
    </row>
    <row r="849" spans="1:17" x14ac:dyDescent="0.35">
      <c r="A849" t="s">
        <v>853</v>
      </c>
      <c r="B849" t="s">
        <v>2341</v>
      </c>
      <c r="C849">
        <v>54</v>
      </c>
      <c r="D849" t="s">
        <v>2990</v>
      </c>
      <c r="E849" t="s">
        <v>3006</v>
      </c>
      <c r="F849" t="s">
        <v>3019</v>
      </c>
      <c r="G849">
        <v>12</v>
      </c>
      <c r="H849">
        <v>2360338</v>
      </c>
      <c r="I849">
        <v>399039</v>
      </c>
      <c r="J849">
        <v>20.28</v>
      </c>
      <c r="K849">
        <v>60</v>
      </c>
      <c r="L849" t="s">
        <v>3049</v>
      </c>
      <c r="M849">
        <v>527</v>
      </c>
      <c r="N849">
        <v>3</v>
      </c>
      <c r="O849" t="s">
        <v>3056</v>
      </c>
      <c r="P849" t="s">
        <v>3366</v>
      </c>
      <c r="Q849">
        <v>0.1691</v>
      </c>
    </row>
    <row r="850" spans="1:17" x14ac:dyDescent="0.35">
      <c r="A850" t="s">
        <v>854</v>
      </c>
      <c r="B850" t="s">
        <v>2342</v>
      </c>
      <c r="C850">
        <v>47</v>
      </c>
      <c r="D850" t="s">
        <v>2990</v>
      </c>
      <c r="E850" t="s">
        <v>3002</v>
      </c>
      <c r="F850" t="s">
        <v>3018</v>
      </c>
      <c r="G850">
        <v>6</v>
      </c>
      <c r="H850">
        <v>2068806</v>
      </c>
      <c r="I850">
        <v>265144</v>
      </c>
      <c r="J850">
        <v>16.440000000000001</v>
      </c>
      <c r="K850">
        <v>60</v>
      </c>
      <c r="L850" t="s">
        <v>3048</v>
      </c>
      <c r="N850">
        <v>5</v>
      </c>
      <c r="O850" t="s">
        <v>3052</v>
      </c>
      <c r="P850" t="s">
        <v>3738</v>
      </c>
      <c r="Q850">
        <v>0.12820000000000001</v>
      </c>
    </row>
    <row r="851" spans="1:17" x14ac:dyDescent="0.35">
      <c r="A851" t="s">
        <v>855</v>
      </c>
      <c r="B851" t="s">
        <v>2343</v>
      </c>
      <c r="C851">
        <v>34</v>
      </c>
      <c r="D851" t="s">
        <v>2990</v>
      </c>
      <c r="E851" t="s">
        <v>3004</v>
      </c>
      <c r="F851" t="s">
        <v>3021</v>
      </c>
      <c r="G851">
        <v>11</v>
      </c>
      <c r="H851">
        <v>-1284849</v>
      </c>
      <c r="I851">
        <v>784629</v>
      </c>
      <c r="J851">
        <v>14.85</v>
      </c>
      <c r="K851">
        <v>60</v>
      </c>
      <c r="L851" t="s">
        <v>3046</v>
      </c>
      <c r="M851">
        <v>404</v>
      </c>
      <c r="N851">
        <v>7</v>
      </c>
      <c r="O851" t="s">
        <v>3055</v>
      </c>
      <c r="P851" t="s">
        <v>3739</v>
      </c>
      <c r="Q851">
        <v>0.61070000000000002</v>
      </c>
    </row>
    <row r="852" spans="1:17" x14ac:dyDescent="0.35">
      <c r="A852" t="s">
        <v>856</v>
      </c>
      <c r="B852" t="s">
        <v>2344</v>
      </c>
      <c r="C852">
        <v>52</v>
      </c>
      <c r="D852" t="s">
        <v>2990</v>
      </c>
      <c r="E852" t="s">
        <v>3007</v>
      </c>
      <c r="F852" t="s">
        <v>3018</v>
      </c>
      <c r="G852">
        <v>11</v>
      </c>
      <c r="H852">
        <v>453146</v>
      </c>
      <c r="I852">
        <v>210121</v>
      </c>
      <c r="J852">
        <v>26.58</v>
      </c>
      <c r="K852">
        <v>12</v>
      </c>
      <c r="M852">
        <v>682</v>
      </c>
      <c r="N852">
        <v>0</v>
      </c>
      <c r="O852" t="s">
        <v>3053</v>
      </c>
      <c r="P852" t="s">
        <v>3740</v>
      </c>
      <c r="Q852">
        <v>0.4637</v>
      </c>
    </row>
    <row r="853" spans="1:17" x14ac:dyDescent="0.35">
      <c r="A853" t="s">
        <v>857</v>
      </c>
      <c r="B853" t="s">
        <v>2345</v>
      </c>
      <c r="C853">
        <v>48</v>
      </c>
      <c r="D853" t="s">
        <v>2992</v>
      </c>
      <c r="E853" t="s">
        <v>2998</v>
      </c>
      <c r="F853" t="s">
        <v>3021</v>
      </c>
      <c r="G853">
        <v>21</v>
      </c>
      <c r="H853">
        <v>1431011</v>
      </c>
      <c r="I853">
        <v>497697</v>
      </c>
      <c r="J853">
        <v>14.82</v>
      </c>
      <c r="K853">
        <v>60</v>
      </c>
      <c r="L853" t="s">
        <v>3049</v>
      </c>
      <c r="M853">
        <v>803</v>
      </c>
      <c r="N853">
        <v>3</v>
      </c>
      <c r="O853" t="s">
        <v>3057</v>
      </c>
      <c r="P853" t="s">
        <v>3741</v>
      </c>
      <c r="Q853">
        <v>0.3478</v>
      </c>
    </row>
    <row r="854" spans="1:17" x14ac:dyDescent="0.35">
      <c r="A854" t="s">
        <v>858</v>
      </c>
      <c r="B854" t="s">
        <v>2346</v>
      </c>
      <c r="C854">
        <v>28</v>
      </c>
      <c r="D854" t="s">
        <v>2992</v>
      </c>
      <c r="E854" t="s">
        <v>3003</v>
      </c>
      <c r="F854" t="s">
        <v>3019</v>
      </c>
      <c r="G854">
        <v>7</v>
      </c>
      <c r="H854">
        <v>2175451</v>
      </c>
      <c r="I854">
        <v>516965</v>
      </c>
      <c r="J854">
        <v>22.68</v>
      </c>
      <c r="K854">
        <v>36</v>
      </c>
      <c r="L854" t="s">
        <v>3048</v>
      </c>
      <c r="M854">
        <v>803</v>
      </c>
      <c r="N854">
        <v>4</v>
      </c>
      <c r="O854" t="s">
        <v>3052</v>
      </c>
      <c r="P854" t="s">
        <v>3742</v>
      </c>
      <c r="Q854">
        <v>0.23760000000000001</v>
      </c>
    </row>
    <row r="855" spans="1:17" x14ac:dyDescent="0.35">
      <c r="A855" t="s">
        <v>859</v>
      </c>
      <c r="B855" t="s">
        <v>2347</v>
      </c>
      <c r="C855">
        <v>40</v>
      </c>
      <c r="D855" t="s">
        <v>2992</v>
      </c>
      <c r="E855" t="s">
        <v>3003</v>
      </c>
      <c r="F855" t="s">
        <v>3021</v>
      </c>
      <c r="G855">
        <v>23</v>
      </c>
      <c r="H855">
        <v>382416</v>
      </c>
      <c r="I855">
        <v>463842</v>
      </c>
      <c r="J855">
        <v>26.18</v>
      </c>
      <c r="K855">
        <v>36</v>
      </c>
      <c r="L855" t="s">
        <v>3050</v>
      </c>
      <c r="M855">
        <v>590</v>
      </c>
      <c r="N855">
        <v>4</v>
      </c>
      <c r="O855" t="s">
        <v>3054</v>
      </c>
      <c r="P855" t="s">
        <v>3743</v>
      </c>
      <c r="Q855">
        <v>1.2129000000000001</v>
      </c>
    </row>
    <row r="856" spans="1:17" x14ac:dyDescent="0.35">
      <c r="A856" t="s">
        <v>860</v>
      </c>
      <c r="B856" t="s">
        <v>2348</v>
      </c>
      <c r="C856">
        <v>22</v>
      </c>
      <c r="D856" t="s">
        <v>2992</v>
      </c>
      <c r="E856" t="s">
        <v>3007</v>
      </c>
      <c r="F856" t="s">
        <v>3021</v>
      </c>
      <c r="G856">
        <v>14</v>
      </c>
      <c r="H856">
        <v>1425129</v>
      </c>
      <c r="I856">
        <v>382916</v>
      </c>
      <c r="J856">
        <v>12.21</v>
      </c>
      <c r="K856">
        <v>36</v>
      </c>
      <c r="L856" t="s">
        <v>3046</v>
      </c>
      <c r="M856">
        <v>467</v>
      </c>
      <c r="N856">
        <v>7</v>
      </c>
      <c r="O856" t="s">
        <v>3057</v>
      </c>
      <c r="P856" t="s">
        <v>3744</v>
      </c>
      <c r="Q856">
        <v>0.26869999999999999</v>
      </c>
    </row>
    <row r="857" spans="1:17" x14ac:dyDescent="0.35">
      <c r="A857" t="s">
        <v>861</v>
      </c>
      <c r="B857" t="s">
        <v>2349</v>
      </c>
      <c r="C857">
        <v>64</v>
      </c>
      <c r="D857" t="s">
        <v>2992</v>
      </c>
      <c r="E857" t="s">
        <v>3000</v>
      </c>
      <c r="F857" t="s">
        <v>3019</v>
      </c>
      <c r="G857">
        <v>23</v>
      </c>
      <c r="H857">
        <v>2274529</v>
      </c>
      <c r="I857">
        <v>652413</v>
      </c>
      <c r="J857">
        <v>14.75</v>
      </c>
      <c r="K857">
        <v>12</v>
      </c>
      <c r="L857" t="s">
        <v>3051</v>
      </c>
      <c r="M857">
        <v>529</v>
      </c>
      <c r="N857">
        <v>2</v>
      </c>
      <c r="O857" t="s">
        <v>3052</v>
      </c>
      <c r="P857" t="s">
        <v>3190</v>
      </c>
      <c r="Q857">
        <v>0.2868</v>
      </c>
    </row>
    <row r="858" spans="1:17" x14ac:dyDescent="0.35">
      <c r="A858" t="s">
        <v>862</v>
      </c>
      <c r="B858" t="s">
        <v>2350</v>
      </c>
      <c r="C858">
        <v>57</v>
      </c>
      <c r="D858" t="s">
        <v>2992</v>
      </c>
      <c r="E858" t="s">
        <v>3001</v>
      </c>
      <c r="F858" t="s">
        <v>3018</v>
      </c>
      <c r="G858">
        <v>16</v>
      </c>
      <c r="H858">
        <v>795863</v>
      </c>
      <c r="I858">
        <v>43559</v>
      </c>
      <c r="J858">
        <v>27.23</v>
      </c>
      <c r="K858">
        <v>24</v>
      </c>
      <c r="L858" t="s">
        <v>3049</v>
      </c>
      <c r="M858">
        <v>574</v>
      </c>
      <c r="N858">
        <v>4</v>
      </c>
      <c r="O858" t="s">
        <v>3056</v>
      </c>
      <c r="P858" t="s">
        <v>3745</v>
      </c>
      <c r="Q858">
        <v>5.4699999999999999E-2</v>
      </c>
    </row>
    <row r="859" spans="1:17" x14ac:dyDescent="0.35">
      <c r="A859" t="s">
        <v>863</v>
      </c>
      <c r="B859" t="s">
        <v>2351</v>
      </c>
      <c r="C859">
        <v>25</v>
      </c>
      <c r="D859" t="s">
        <v>2992</v>
      </c>
      <c r="E859" t="s">
        <v>3006</v>
      </c>
      <c r="F859" t="s">
        <v>3021</v>
      </c>
      <c r="G859">
        <v>18</v>
      </c>
      <c r="H859">
        <v>2063376</v>
      </c>
      <c r="I859">
        <v>739174</v>
      </c>
      <c r="J859">
        <v>27.77</v>
      </c>
      <c r="K859">
        <v>24</v>
      </c>
      <c r="L859" t="s">
        <v>3048</v>
      </c>
      <c r="M859">
        <v>464</v>
      </c>
      <c r="N859">
        <v>6</v>
      </c>
      <c r="O859" t="s">
        <v>3053</v>
      </c>
      <c r="P859" t="s">
        <v>3746</v>
      </c>
      <c r="Q859">
        <v>0.35820000000000002</v>
      </c>
    </row>
    <row r="860" spans="1:17" x14ac:dyDescent="0.35">
      <c r="A860" t="s">
        <v>864</v>
      </c>
      <c r="B860" t="s">
        <v>2352</v>
      </c>
      <c r="C860">
        <v>44</v>
      </c>
      <c r="D860" t="s">
        <v>2992</v>
      </c>
      <c r="E860" t="s">
        <v>3000</v>
      </c>
      <c r="F860" t="s">
        <v>3018</v>
      </c>
      <c r="G860">
        <v>10</v>
      </c>
      <c r="H860">
        <v>1165132</v>
      </c>
      <c r="I860">
        <v>313624</v>
      </c>
      <c r="J860">
        <v>16.579999999999998</v>
      </c>
      <c r="K860">
        <v>60</v>
      </c>
      <c r="L860" t="s">
        <v>3049</v>
      </c>
      <c r="M860">
        <v>456</v>
      </c>
      <c r="N860">
        <v>2</v>
      </c>
      <c r="O860" t="s">
        <v>3052</v>
      </c>
      <c r="P860" t="s">
        <v>3518</v>
      </c>
      <c r="Q860">
        <v>0.26919999999999999</v>
      </c>
    </row>
    <row r="861" spans="1:17" x14ac:dyDescent="0.35">
      <c r="A861" t="s">
        <v>865</v>
      </c>
      <c r="B861" t="s">
        <v>2353</v>
      </c>
      <c r="C861">
        <v>57</v>
      </c>
      <c r="D861" t="s">
        <v>2990</v>
      </c>
      <c r="E861" t="s">
        <v>3000</v>
      </c>
      <c r="F861" t="s">
        <v>3020</v>
      </c>
      <c r="G861">
        <v>11</v>
      </c>
      <c r="H861">
        <v>1883377</v>
      </c>
      <c r="I861">
        <v>282318</v>
      </c>
      <c r="J861">
        <v>14.11</v>
      </c>
      <c r="K861">
        <v>48</v>
      </c>
      <c r="L861" t="s">
        <v>3049</v>
      </c>
      <c r="M861">
        <v>577</v>
      </c>
      <c r="N861">
        <v>4</v>
      </c>
      <c r="O861" t="s">
        <v>3055</v>
      </c>
      <c r="P861" t="s">
        <v>3747</v>
      </c>
      <c r="Q861">
        <v>0.14990000000000001</v>
      </c>
    </row>
    <row r="862" spans="1:17" x14ac:dyDescent="0.35">
      <c r="A862" t="s">
        <v>866</v>
      </c>
      <c r="B862" t="s">
        <v>2354</v>
      </c>
      <c r="C862">
        <v>29</v>
      </c>
      <c r="D862" t="s">
        <v>2992</v>
      </c>
      <c r="E862" t="s">
        <v>3001</v>
      </c>
      <c r="F862" t="s">
        <v>3019</v>
      </c>
      <c r="G862">
        <v>17</v>
      </c>
      <c r="H862">
        <v>821147</v>
      </c>
      <c r="I862">
        <v>295796</v>
      </c>
      <c r="J862">
        <v>17.43</v>
      </c>
      <c r="K862">
        <v>24</v>
      </c>
      <c r="L862" t="s">
        <v>3051</v>
      </c>
      <c r="M862">
        <v>593</v>
      </c>
      <c r="N862">
        <v>4</v>
      </c>
      <c r="O862" t="s">
        <v>3053</v>
      </c>
      <c r="P862" t="s">
        <v>3748</v>
      </c>
      <c r="Q862">
        <v>0.36020000000000002</v>
      </c>
    </row>
    <row r="863" spans="1:17" x14ac:dyDescent="0.35">
      <c r="A863" t="s">
        <v>867</v>
      </c>
      <c r="B863" t="s">
        <v>2355</v>
      </c>
      <c r="C863">
        <v>57</v>
      </c>
      <c r="D863" t="s">
        <v>2992</v>
      </c>
      <c r="E863" t="s">
        <v>3005</v>
      </c>
      <c r="F863" t="s">
        <v>3018</v>
      </c>
      <c r="G863">
        <v>20</v>
      </c>
      <c r="H863">
        <v>192115</v>
      </c>
      <c r="I863">
        <v>143765</v>
      </c>
      <c r="J863">
        <v>13.32</v>
      </c>
      <c r="K863">
        <v>12</v>
      </c>
      <c r="L863" t="s">
        <v>3051</v>
      </c>
      <c r="M863">
        <v>772</v>
      </c>
      <c r="N863">
        <v>7</v>
      </c>
      <c r="O863" t="s">
        <v>3057</v>
      </c>
      <c r="P863" t="s">
        <v>3745</v>
      </c>
      <c r="Q863">
        <v>0.74829999999999997</v>
      </c>
    </row>
    <row r="864" spans="1:17" x14ac:dyDescent="0.35">
      <c r="A864" t="s">
        <v>868</v>
      </c>
      <c r="B864" t="s">
        <v>2356</v>
      </c>
      <c r="C864">
        <v>23</v>
      </c>
      <c r="D864" t="s">
        <v>2992</v>
      </c>
      <c r="E864" t="s">
        <v>3012</v>
      </c>
      <c r="F864" t="s">
        <v>3020</v>
      </c>
      <c r="G864">
        <v>14</v>
      </c>
      <c r="H864">
        <v>2120369</v>
      </c>
      <c r="I864">
        <v>769468</v>
      </c>
      <c r="J864">
        <v>14.56</v>
      </c>
      <c r="K864">
        <v>48</v>
      </c>
      <c r="L864" t="s">
        <v>3047</v>
      </c>
      <c r="M864">
        <v>798</v>
      </c>
      <c r="N864">
        <v>4</v>
      </c>
      <c r="O864" t="s">
        <v>3055</v>
      </c>
      <c r="P864" t="s">
        <v>3749</v>
      </c>
      <c r="Q864">
        <v>0.3629</v>
      </c>
    </row>
    <row r="865" spans="1:17" x14ac:dyDescent="0.35">
      <c r="A865" t="s">
        <v>608</v>
      </c>
      <c r="B865" t="s">
        <v>2097</v>
      </c>
      <c r="C865">
        <v>25</v>
      </c>
      <c r="D865" t="s">
        <v>2991</v>
      </c>
      <c r="E865" t="s">
        <v>3003</v>
      </c>
      <c r="F865" t="s">
        <v>3021</v>
      </c>
      <c r="G865">
        <v>7</v>
      </c>
      <c r="H865">
        <v>2253290</v>
      </c>
      <c r="I865">
        <v>415204</v>
      </c>
      <c r="J865">
        <v>15.93</v>
      </c>
      <c r="K865">
        <v>48</v>
      </c>
      <c r="L865" t="s">
        <v>3048</v>
      </c>
      <c r="M865">
        <v>709</v>
      </c>
      <c r="N865">
        <v>2</v>
      </c>
      <c r="O865" t="s">
        <v>3056</v>
      </c>
      <c r="P865" t="s">
        <v>3256</v>
      </c>
      <c r="Q865">
        <v>0.18429999999999999</v>
      </c>
    </row>
    <row r="866" spans="1:17" x14ac:dyDescent="0.35">
      <c r="A866" t="s">
        <v>869</v>
      </c>
      <c r="B866" t="s">
        <v>2357</v>
      </c>
      <c r="C866">
        <v>48</v>
      </c>
      <c r="D866" t="s">
        <v>2990</v>
      </c>
      <c r="E866" t="s">
        <v>3001</v>
      </c>
      <c r="F866" t="s">
        <v>3018</v>
      </c>
      <c r="G866">
        <v>16</v>
      </c>
      <c r="H866">
        <v>681174</v>
      </c>
      <c r="I866">
        <v>198048</v>
      </c>
      <c r="J866">
        <v>23.31</v>
      </c>
      <c r="K866">
        <v>36</v>
      </c>
      <c r="L866" t="s">
        <v>3047</v>
      </c>
      <c r="M866">
        <v>751</v>
      </c>
      <c r="N866">
        <v>5</v>
      </c>
      <c r="O866" t="s">
        <v>3056</v>
      </c>
      <c r="P866" t="s">
        <v>3750</v>
      </c>
      <c r="Q866">
        <v>0.29070000000000001</v>
      </c>
    </row>
    <row r="867" spans="1:17" x14ac:dyDescent="0.35">
      <c r="A867" t="s">
        <v>870</v>
      </c>
      <c r="B867" t="s">
        <v>2358</v>
      </c>
      <c r="C867">
        <v>43</v>
      </c>
      <c r="D867" t="s">
        <v>2990</v>
      </c>
      <c r="E867" t="s">
        <v>3007</v>
      </c>
      <c r="F867" t="s">
        <v>3018</v>
      </c>
      <c r="G867">
        <v>27</v>
      </c>
      <c r="H867">
        <v>395400</v>
      </c>
      <c r="I867">
        <v>292872</v>
      </c>
      <c r="J867">
        <v>10.36</v>
      </c>
      <c r="K867">
        <v>36</v>
      </c>
      <c r="L867" t="s">
        <v>3051</v>
      </c>
      <c r="M867">
        <v>812</v>
      </c>
      <c r="N867">
        <v>5</v>
      </c>
      <c r="O867" t="s">
        <v>3052</v>
      </c>
      <c r="P867" t="s">
        <v>3608</v>
      </c>
      <c r="Q867">
        <v>0.74070000000000003</v>
      </c>
    </row>
    <row r="868" spans="1:17" x14ac:dyDescent="0.35">
      <c r="A868" t="s">
        <v>871</v>
      </c>
      <c r="B868" t="s">
        <v>2359</v>
      </c>
      <c r="C868">
        <v>62</v>
      </c>
      <c r="D868" t="s">
        <v>2990</v>
      </c>
      <c r="E868" t="s">
        <v>3007</v>
      </c>
      <c r="F868" t="s">
        <v>3019</v>
      </c>
      <c r="G868">
        <v>11</v>
      </c>
      <c r="H868">
        <v>1257833</v>
      </c>
      <c r="I868">
        <v>576690</v>
      </c>
      <c r="J868">
        <v>20.3</v>
      </c>
      <c r="K868">
        <v>24</v>
      </c>
      <c r="M868">
        <v>494</v>
      </c>
      <c r="N868">
        <v>3</v>
      </c>
      <c r="O868" t="s">
        <v>3055</v>
      </c>
      <c r="P868" t="s">
        <v>3751</v>
      </c>
      <c r="Q868">
        <v>0.45850000000000002</v>
      </c>
    </row>
    <row r="869" spans="1:17" x14ac:dyDescent="0.35">
      <c r="A869" t="s">
        <v>872</v>
      </c>
      <c r="B869" t="s">
        <v>2360</v>
      </c>
      <c r="C869">
        <v>52</v>
      </c>
      <c r="D869" t="s">
        <v>2992</v>
      </c>
      <c r="E869" t="s">
        <v>3009</v>
      </c>
      <c r="F869" t="s">
        <v>3018</v>
      </c>
      <c r="G869">
        <v>1</v>
      </c>
      <c r="H869">
        <v>1537133</v>
      </c>
      <c r="I869">
        <v>762800</v>
      </c>
      <c r="J869">
        <v>13.2</v>
      </c>
      <c r="K869">
        <v>24</v>
      </c>
      <c r="L869" t="s">
        <v>3048</v>
      </c>
      <c r="M869">
        <v>695</v>
      </c>
      <c r="N869">
        <v>3</v>
      </c>
      <c r="O869" t="s">
        <v>3055</v>
      </c>
      <c r="P869" t="s">
        <v>3752</v>
      </c>
      <c r="Q869">
        <v>0.49619999999999997</v>
      </c>
    </row>
    <row r="870" spans="1:17" x14ac:dyDescent="0.35">
      <c r="A870" t="s">
        <v>873</v>
      </c>
      <c r="B870" t="s">
        <v>2361</v>
      </c>
      <c r="C870">
        <v>41</v>
      </c>
      <c r="D870" t="s">
        <v>2992</v>
      </c>
      <c r="E870" t="s">
        <v>3001</v>
      </c>
      <c r="F870" t="s">
        <v>3020</v>
      </c>
      <c r="G870">
        <v>12</v>
      </c>
      <c r="H870">
        <v>1997189</v>
      </c>
      <c r="I870">
        <v>578981</v>
      </c>
      <c r="J870">
        <v>12.08</v>
      </c>
      <c r="K870">
        <v>48</v>
      </c>
      <c r="L870" t="s">
        <v>3048</v>
      </c>
      <c r="M870">
        <v>714</v>
      </c>
      <c r="N870">
        <v>1</v>
      </c>
      <c r="O870" t="s">
        <v>3057</v>
      </c>
      <c r="P870" t="s">
        <v>3753</v>
      </c>
      <c r="Q870">
        <v>0.28989999999999999</v>
      </c>
    </row>
    <row r="871" spans="1:17" x14ac:dyDescent="0.35">
      <c r="A871" t="s">
        <v>874</v>
      </c>
      <c r="B871" t="s">
        <v>2362</v>
      </c>
      <c r="C871">
        <v>37</v>
      </c>
      <c r="D871" t="s">
        <v>2990</v>
      </c>
      <c r="E871" t="s">
        <v>2999</v>
      </c>
      <c r="F871" t="s">
        <v>3018</v>
      </c>
      <c r="G871">
        <v>11</v>
      </c>
      <c r="H871">
        <v>1780946</v>
      </c>
      <c r="I871">
        <v>65833</v>
      </c>
      <c r="J871">
        <v>9.6</v>
      </c>
      <c r="K871">
        <v>12</v>
      </c>
      <c r="L871" t="s">
        <v>3047</v>
      </c>
      <c r="M871">
        <v>441</v>
      </c>
      <c r="N871">
        <v>3</v>
      </c>
      <c r="O871" t="s">
        <v>3057</v>
      </c>
      <c r="P871" t="s">
        <v>3224</v>
      </c>
      <c r="Q871">
        <v>3.6999999999999998E-2</v>
      </c>
    </row>
    <row r="872" spans="1:17" x14ac:dyDescent="0.35">
      <c r="A872" t="s">
        <v>875</v>
      </c>
      <c r="B872" t="s">
        <v>2363</v>
      </c>
      <c r="C872">
        <v>61</v>
      </c>
      <c r="D872" t="s">
        <v>2990</v>
      </c>
      <c r="E872" t="s">
        <v>3006</v>
      </c>
      <c r="F872" t="s">
        <v>3021</v>
      </c>
      <c r="G872">
        <v>2</v>
      </c>
      <c r="H872">
        <v>1067516</v>
      </c>
      <c r="I872">
        <v>451058</v>
      </c>
      <c r="J872">
        <v>24.68</v>
      </c>
      <c r="K872">
        <v>36</v>
      </c>
      <c r="L872" t="s">
        <v>3047</v>
      </c>
      <c r="M872">
        <v>726</v>
      </c>
      <c r="N872">
        <v>6</v>
      </c>
      <c r="O872" t="s">
        <v>3052</v>
      </c>
      <c r="P872" t="s">
        <v>3754</v>
      </c>
      <c r="Q872">
        <v>0.42249999999999999</v>
      </c>
    </row>
    <row r="873" spans="1:17" x14ac:dyDescent="0.35">
      <c r="A873" t="s">
        <v>876</v>
      </c>
      <c r="B873" t="s">
        <v>2364</v>
      </c>
      <c r="C873">
        <v>39</v>
      </c>
      <c r="D873" t="s">
        <v>2992</v>
      </c>
      <c r="E873" t="s">
        <v>2999</v>
      </c>
      <c r="F873" t="s">
        <v>3019</v>
      </c>
      <c r="G873">
        <v>20</v>
      </c>
      <c r="H873">
        <v>2295904</v>
      </c>
      <c r="I873">
        <v>98077</v>
      </c>
      <c r="J873">
        <v>8.32</v>
      </c>
      <c r="K873">
        <v>24</v>
      </c>
      <c r="L873" t="s">
        <v>3048</v>
      </c>
      <c r="M873">
        <v>364</v>
      </c>
      <c r="N873">
        <v>1</v>
      </c>
      <c r="O873" t="s">
        <v>3054</v>
      </c>
      <c r="P873" t="s">
        <v>3755</v>
      </c>
      <c r="Q873">
        <v>4.2700000000000002E-2</v>
      </c>
    </row>
    <row r="874" spans="1:17" x14ac:dyDescent="0.35">
      <c r="A874" t="s">
        <v>877</v>
      </c>
      <c r="B874" t="s">
        <v>2365</v>
      </c>
      <c r="C874">
        <v>22</v>
      </c>
      <c r="D874" t="s">
        <v>2992</v>
      </c>
      <c r="E874" t="s">
        <v>3005</v>
      </c>
      <c r="F874" t="s">
        <v>3019</v>
      </c>
      <c r="G874">
        <v>18</v>
      </c>
      <c r="H874">
        <v>-1073093</v>
      </c>
      <c r="I874">
        <v>308816</v>
      </c>
      <c r="J874">
        <v>14.28</v>
      </c>
      <c r="K874">
        <v>60</v>
      </c>
      <c r="L874" t="s">
        <v>3047</v>
      </c>
      <c r="M874">
        <v>743</v>
      </c>
      <c r="N874">
        <v>2</v>
      </c>
      <c r="O874" t="s">
        <v>3052</v>
      </c>
      <c r="P874" t="s">
        <v>3756</v>
      </c>
      <c r="Q874">
        <v>0.2878</v>
      </c>
    </row>
    <row r="875" spans="1:17" x14ac:dyDescent="0.35">
      <c r="A875" t="s">
        <v>878</v>
      </c>
      <c r="B875" t="s">
        <v>2366</v>
      </c>
      <c r="C875">
        <v>42</v>
      </c>
      <c r="D875" t="s">
        <v>2992</v>
      </c>
      <c r="E875" t="s">
        <v>3003</v>
      </c>
      <c r="F875" t="s">
        <v>3019</v>
      </c>
      <c r="G875">
        <v>25</v>
      </c>
      <c r="H875">
        <v>1406134</v>
      </c>
      <c r="I875">
        <v>0</v>
      </c>
      <c r="J875">
        <v>8.91</v>
      </c>
      <c r="K875">
        <v>60</v>
      </c>
      <c r="L875" t="s">
        <v>3046</v>
      </c>
      <c r="M875">
        <v>490</v>
      </c>
      <c r="N875">
        <v>1</v>
      </c>
      <c r="O875" t="s">
        <v>3054</v>
      </c>
      <c r="P875" t="s">
        <v>3338</v>
      </c>
      <c r="Q875">
        <v>7.9100000000000004E-2</v>
      </c>
    </row>
    <row r="876" spans="1:17" x14ac:dyDescent="0.35">
      <c r="A876" t="s">
        <v>879</v>
      </c>
      <c r="B876" t="s">
        <v>2367</v>
      </c>
      <c r="C876">
        <v>34</v>
      </c>
      <c r="D876" t="s">
        <v>2992</v>
      </c>
      <c r="E876" t="s">
        <v>3007</v>
      </c>
      <c r="F876" t="s">
        <v>3018</v>
      </c>
      <c r="G876">
        <v>23</v>
      </c>
      <c r="H876">
        <v>1543501</v>
      </c>
      <c r="I876">
        <v>526453</v>
      </c>
      <c r="J876">
        <v>9.75</v>
      </c>
      <c r="K876">
        <v>24</v>
      </c>
      <c r="L876" t="s">
        <v>3049</v>
      </c>
      <c r="M876">
        <v>751</v>
      </c>
      <c r="N876">
        <v>2</v>
      </c>
      <c r="O876" t="s">
        <v>3057</v>
      </c>
      <c r="P876" t="s">
        <v>3757</v>
      </c>
      <c r="Q876">
        <v>0.34110000000000001</v>
      </c>
    </row>
    <row r="877" spans="1:17" x14ac:dyDescent="0.35">
      <c r="A877" t="s">
        <v>880</v>
      </c>
      <c r="B877" t="s">
        <v>2368</v>
      </c>
      <c r="C877">
        <v>43</v>
      </c>
      <c r="D877" t="s">
        <v>2990</v>
      </c>
      <c r="E877" t="s">
        <v>3003</v>
      </c>
      <c r="F877" t="s">
        <v>3020</v>
      </c>
      <c r="G877">
        <v>22</v>
      </c>
      <c r="H877">
        <v>1758638</v>
      </c>
      <c r="I877">
        <v>705409</v>
      </c>
      <c r="J877">
        <v>10.61</v>
      </c>
      <c r="K877">
        <v>12</v>
      </c>
      <c r="L877" t="s">
        <v>3048</v>
      </c>
      <c r="M877">
        <v>570</v>
      </c>
      <c r="N877">
        <v>0</v>
      </c>
      <c r="O877" t="s">
        <v>3056</v>
      </c>
      <c r="P877" t="s">
        <v>3112</v>
      </c>
      <c r="Q877">
        <v>0.40110000000000001</v>
      </c>
    </row>
    <row r="878" spans="1:17" x14ac:dyDescent="0.35">
      <c r="A878" t="s">
        <v>881</v>
      </c>
      <c r="B878" t="s">
        <v>2369</v>
      </c>
      <c r="C878">
        <v>40</v>
      </c>
      <c r="D878" t="s">
        <v>2990</v>
      </c>
      <c r="E878" t="s">
        <v>3003</v>
      </c>
      <c r="F878" t="s">
        <v>3019</v>
      </c>
      <c r="G878">
        <v>24</v>
      </c>
      <c r="H878">
        <v>1435516</v>
      </c>
      <c r="I878">
        <v>523551</v>
      </c>
      <c r="J878">
        <v>25.19</v>
      </c>
      <c r="K878">
        <v>24</v>
      </c>
      <c r="L878" t="s">
        <v>3051</v>
      </c>
      <c r="M878">
        <v>805</v>
      </c>
      <c r="N878">
        <v>2</v>
      </c>
      <c r="O878" t="s">
        <v>3057</v>
      </c>
      <c r="P878" t="s">
        <v>3610</v>
      </c>
      <c r="Q878">
        <v>0.36470000000000002</v>
      </c>
    </row>
    <row r="879" spans="1:17" x14ac:dyDescent="0.35">
      <c r="A879" t="s">
        <v>882</v>
      </c>
      <c r="B879" t="s">
        <v>2370</v>
      </c>
      <c r="C879">
        <v>45</v>
      </c>
      <c r="D879" t="s">
        <v>2992</v>
      </c>
      <c r="E879" t="s">
        <v>3002</v>
      </c>
      <c r="F879" t="s">
        <v>3020</v>
      </c>
      <c r="G879">
        <v>14</v>
      </c>
      <c r="H879">
        <v>1053698</v>
      </c>
      <c r="I879">
        <v>64760</v>
      </c>
      <c r="J879">
        <v>15.84</v>
      </c>
      <c r="K879">
        <v>36</v>
      </c>
      <c r="L879" t="s">
        <v>3051</v>
      </c>
      <c r="M879">
        <v>392</v>
      </c>
      <c r="N879">
        <v>3</v>
      </c>
      <c r="O879" t="s">
        <v>3057</v>
      </c>
      <c r="P879" t="s">
        <v>3534</v>
      </c>
      <c r="Q879">
        <v>6.1499999999999999E-2</v>
      </c>
    </row>
    <row r="880" spans="1:17" x14ac:dyDescent="0.35">
      <c r="A880" t="s">
        <v>883</v>
      </c>
      <c r="B880" t="s">
        <v>2371</v>
      </c>
      <c r="C880">
        <v>60</v>
      </c>
      <c r="D880" t="s">
        <v>2992</v>
      </c>
      <c r="E880" t="s">
        <v>3002</v>
      </c>
      <c r="F880" t="s">
        <v>3019</v>
      </c>
      <c r="G880">
        <v>27</v>
      </c>
      <c r="H880">
        <v>372512</v>
      </c>
      <c r="I880">
        <v>446903</v>
      </c>
      <c r="J880">
        <v>16.27</v>
      </c>
      <c r="K880">
        <v>24</v>
      </c>
      <c r="L880" t="s">
        <v>3050</v>
      </c>
      <c r="M880">
        <v>528</v>
      </c>
      <c r="N880">
        <v>1</v>
      </c>
      <c r="O880" t="s">
        <v>3057</v>
      </c>
      <c r="P880" t="s">
        <v>3745</v>
      </c>
      <c r="Q880">
        <v>1.1997</v>
      </c>
    </row>
    <row r="881" spans="1:17" x14ac:dyDescent="0.35">
      <c r="A881" t="s">
        <v>884</v>
      </c>
      <c r="B881" t="s">
        <v>2372</v>
      </c>
      <c r="C881">
        <v>59</v>
      </c>
      <c r="D881" t="s">
        <v>2992</v>
      </c>
      <c r="E881" t="s">
        <v>3007</v>
      </c>
      <c r="F881" t="s">
        <v>3021</v>
      </c>
      <c r="G881">
        <v>19</v>
      </c>
      <c r="H881">
        <v>1722247</v>
      </c>
      <c r="I881">
        <v>461441</v>
      </c>
      <c r="J881">
        <v>12.85</v>
      </c>
      <c r="K881">
        <v>12</v>
      </c>
      <c r="L881" t="s">
        <v>3048</v>
      </c>
      <c r="M881">
        <v>572</v>
      </c>
      <c r="N881">
        <v>2</v>
      </c>
      <c r="O881" t="s">
        <v>3056</v>
      </c>
      <c r="P881" t="s">
        <v>3758</v>
      </c>
      <c r="Q881">
        <v>0.26790000000000003</v>
      </c>
    </row>
    <row r="882" spans="1:17" x14ac:dyDescent="0.35">
      <c r="A882" t="s">
        <v>885</v>
      </c>
      <c r="B882" t="s">
        <v>2373</v>
      </c>
      <c r="C882">
        <v>56</v>
      </c>
      <c r="D882" t="s">
        <v>2997</v>
      </c>
      <c r="E882" t="s">
        <v>3004</v>
      </c>
      <c r="F882" t="s">
        <v>3019</v>
      </c>
      <c r="G882">
        <v>28</v>
      </c>
      <c r="H882">
        <v>699777</v>
      </c>
      <c r="I882">
        <v>171094</v>
      </c>
      <c r="J882">
        <v>19.670000000000002</v>
      </c>
      <c r="K882">
        <v>12</v>
      </c>
      <c r="L882" t="s">
        <v>3046</v>
      </c>
      <c r="M882">
        <v>321</v>
      </c>
      <c r="N882">
        <v>2</v>
      </c>
      <c r="O882" t="s">
        <v>3056</v>
      </c>
      <c r="P882" t="s">
        <v>3235</v>
      </c>
      <c r="Q882">
        <v>0.2445</v>
      </c>
    </row>
    <row r="883" spans="1:17" x14ac:dyDescent="0.35">
      <c r="A883" t="s">
        <v>886</v>
      </c>
      <c r="B883" t="s">
        <v>2374</v>
      </c>
      <c r="C883">
        <v>24</v>
      </c>
      <c r="D883" t="s">
        <v>2990</v>
      </c>
      <c r="E883" t="s">
        <v>3003</v>
      </c>
      <c r="F883" t="s">
        <v>3018</v>
      </c>
      <c r="G883">
        <v>27</v>
      </c>
      <c r="H883">
        <v>1044690</v>
      </c>
      <c r="I883">
        <v>647099</v>
      </c>
      <c r="J883">
        <v>23.2</v>
      </c>
      <c r="K883">
        <v>36</v>
      </c>
      <c r="L883" t="s">
        <v>3046</v>
      </c>
      <c r="M883">
        <v>629</v>
      </c>
      <c r="N883">
        <v>7</v>
      </c>
      <c r="O883" t="s">
        <v>3052</v>
      </c>
      <c r="P883" t="s">
        <v>3706</v>
      </c>
      <c r="Q883">
        <v>0.61939999999999995</v>
      </c>
    </row>
    <row r="884" spans="1:17" x14ac:dyDescent="0.35">
      <c r="A884" t="s">
        <v>887</v>
      </c>
      <c r="B884" t="s">
        <v>2375</v>
      </c>
      <c r="C884">
        <v>28</v>
      </c>
      <c r="D884" t="s">
        <v>2990</v>
      </c>
      <c r="E884" t="s">
        <v>2998</v>
      </c>
      <c r="F884" t="s">
        <v>3020</v>
      </c>
      <c r="G884">
        <v>22</v>
      </c>
      <c r="H884">
        <v>1423294</v>
      </c>
      <c r="I884">
        <v>198267</v>
      </c>
      <c r="J884">
        <v>16.32</v>
      </c>
      <c r="K884">
        <v>48</v>
      </c>
      <c r="L884" t="s">
        <v>3051</v>
      </c>
      <c r="M884">
        <v>620</v>
      </c>
      <c r="N884">
        <v>6</v>
      </c>
      <c r="O884" t="s">
        <v>3056</v>
      </c>
      <c r="P884" t="s">
        <v>3759</v>
      </c>
      <c r="Q884">
        <v>0.13930000000000001</v>
      </c>
    </row>
    <row r="885" spans="1:17" x14ac:dyDescent="0.35">
      <c r="A885" t="s">
        <v>888</v>
      </c>
      <c r="B885" t="s">
        <v>2376</v>
      </c>
      <c r="C885">
        <v>41</v>
      </c>
      <c r="D885" t="s">
        <v>2990</v>
      </c>
      <c r="E885" t="s">
        <v>3003</v>
      </c>
      <c r="F885" t="s">
        <v>3018</v>
      </c>
      <c r="G885">
        <v>22</v>
      </c>
      <c r="H885">
        <v>1882159</v>
      </c>
      <c r="I885">
        <v>566298</v>
      </c>
      <c r="J885">
        <v>23.51</v>
      </c>
      <c r="K885">
        <v>48</v>
      </c>
      <c r="L885" t="s">
        <v>3049</v>
      </c>
      <c r="M885">
        <v>556</v>
      </c>
      <c r="N885">
        <v>7</v>
      </c>
      <c r="O885" t="s">
        <v>3056</v>
      </c>
      <c r="P885" t="s">
        <v>3760</v>
      </c>
      <c r="Q885">
        <v>0.3009</v>
      </c>
    </row>
    <row r="886" spans="1:17" x14ac:dyDescent="0.35">
      <c r="A886" t="s">
        <v>889</v>
      </c>
      <c r="B886" t="s">
        <v>2377</v>
      </c>
      <c r="C886">
        <v>21</v>
      </c>
      <c r="D886" t="s">
        <v>2990</v>
      </c>
      <c r="E886" t="s">
        <v>3003</v>
      </c>
      <c r="F886" t="s">
        <v>3018</v>
      </c>
      <c r="G886">
        <v>29</v>
      </c>
      <c r="H886">
        <v>1608127</v>
      </c>
      <c r="I886">
        <v>693984</v>
      </c>
      <c r="J886">
        <v>9.7200000000000006</v>
      </c>
      <c r="K886">
        <v>36</v>
      </c>
      <c r="L886" t="s">
        <v>3046</v>
      </c>
      <c r="M886">
        <v>658</v>
      </c>
      <c r="N886">
        <v>2</v>
      </c>
      <c r="O886" t="s">
        <v>3055</v>
      </c>
      <c r="P886" t="s">
        <v>3761</v>
      </c>
      <c r="Q886">
        <v>0.43149999999999999</v>
      </c>
    </row>
    <row r="887" spans="1:17" x14ac:dyDescent="0.35">
      <c r="A887" t="s">
        <v>890</v>
      </c>
      <c r="B887" t="s">
        <v>2378</v>
      </c>
      <c r="C887">
        <v>47</v>
      </c>
      <c r="D887" t="s">
        <v>2990</v>
      </c>
      <c r="E887" t="s">
        <v>3000</v>
      </c>
      <c r="F887" t="s">
        <v>3018</v>
      </c>
      <c r="G887">
        <v>24</v>
      </c>
      <c r="H887">
        <v>1456647</v>
      </c>
      <c r="I887">
        <v>638071</v>
      </c>
      <c r="J887">
        <v>8.33</v>
      </c>
      <c r="K887">
        <v>48</v>
      </c>
      <c r="L887" t="s">
        <v>3050</v>
      </c>
      <c r="M887">
        <v>640</v>
      </c>
      <c r="N887">
        <v>5</v>
      </c>
      <c r="O887" t="s">
        <v>3055</v>
      </c>
      <c r="P887" t="s">
        <v>3675</v>
      </c>
      <c r="Q887">
        <v>0.438</v>
      </c>
    </row>
    <row r="888" spans="1:17" x14ac:dyDescent="0.35">
      <c r="A888" t="s">
        <v>891</v>
      </c>
      <c r="B888" t="s">
        <v>2379</v>
      </c>
      <c r="C888">
        <v>57</v>
      </c>
      <c r="D888" t="s">
        <v>2992</v>
      </c>
      <c r="E888" t="s">
        <v>3001</v>
      </c>
      <c r="F888" t="s">
        <v>3018</v>
      </c>
      <c r="G888">
        <v>15</v>
      </c>
      <c r="H888">
        <v>874335</v>
      </c>
      <c r="I888">
        <v>655785</v>
      </c>
      <c r="J888">
        <v>27.51</v>
      </c>
      <c r="K888">
        <v>24</v>
      </c>
      <c r="L888" t="s">
        <v>3047</v>
      </c>
      <c r="M888">
        <v>742</v>
      </c>
      <c r="N888">
        <v>3</v>
      </c>
      <c r="O888" t="s">
        <v>3053</v>
      </c>
      <c r="P888" t="s">
        <v>3762</v>
      </c>
      <c r="Q888">
        <v>0.75</v>
      </c>
    </row>
    <row r="889" spans="1:17" x14ac:dyDescent="0.35">
      <c r="A889" t="s">
        <v>892</v>
      </c>
      <c r="B889" t="s">
        <v>2380</v>
      </c>
      <c r="C889">
        <v>64</v>
      </c>
      <c r="D889" t="s">
        <v>2990</v>
      </c>
      <c r="E889" t="s">
        <v>2998</v>
      </c>
      <c r="F889" t="s">
        <v>3020</v>
      </c>
      <c r="G889">
        <v>15</v>
      </c>
      <c r="H889">
        <v>260388</v>
      </c>
      <c r="I889">
        <v>220753</v>
      </c>
      <c r="J889">
        <v>20.010000000000002</v>
      </c>
      <c r="K889">
        <v>48</v>
      </c>
      <c r="L889" t="s">
        <v>3048</v>
      </c>
      <c r="M889">
        <v>503</v>
      </c>
      <c r="N889">
        <v>3</v>
      </c>
      <c r="O889" t="s">
        <v>3053</v>
      </c>
      <c r="P889" t="s">
        <v>3763</v>
      </c>
      <c r="Q889">
        <v>0.8478</v>
      </c>
    </row>
    <row r="890" spans="1:17" x14ac:dyDescent="0.35">
      <c r="A890" t="s">
        <v>893</v>
      </c>
      <c r="B890" t="s">
        <v>2381</v>
      </c>
      <c r="C890">
        <v>45</v>
      </c>
      <c r="D890" t="s">
        <v>2995</v>
      </c>
      <c r="E890" t="s">
        <v>2999</v>
      </c>
      <c r="F890" t="s">
        <v>3019</v>
      </c>
      <c r="G890">
        <v>7</v>
      </c>
      <c r="H890">
        <v>1526208</v>
      </c>
      <c r="I890">
        <v>683376</v>
      </c>
      <c r="J890">
        <v>13.76</v>
      </c>
      <c r="K890">
        <v>12</v>
      </c>
      <c r="L890" t="s">
        <v>3051</v>
      </c>
      <c r="M890">
        <v>415</v>
      </c>
      <c r="N890">
        <v>7</v>
      </c>
      <c r="O890" t="s">
        <v>3055</v>
      </c>
      <c r="P890" t="s">
        <v>3457</v>
      </c>
      <c r="Q890">
        <v>0.44779999999999998</v>
      </c>
    </row>
    <row r="891" spans="1:17" x14ac:dyDescent="0.35">
      <c r="A891" t="s">
        <v>894</v>
      </c>
      <c r="B891" t="s">
        <v>2382</v>
      </c>
      <c r="C891">
        <v>61</v>
      </c>
      <c r="D891" t="s">
        <v>2990</v>
      </c>
      <c r="E891" t="s">
        <v>3004</v>
      </c>
      <c r="F891" t="s">
        <v>3020</v>
      </c>
      <c r="G891">
        <v>8</v>
      </c>
      <c r="H891">
        <v>1900023</v>
      </c>
      <c r="I891">
        <v>0</v>
      </c>
      <c r="J891">
        <v>24.08</v>
      </c>
      <c r="K891">
        <v>24</v>
      </c>
      <c r="L891" t="s">
        <v>3047</v>
      </c>
      <c r="M891">
        <v>834</v>
      </c>
      <c r="N891">
        <v>7</v>
      </c>
      <c r="O891" t="s">
        <v>3053</v>
      </c>
      <c r="P891" t="s">
        <v>3496</v>
      </c>
      <c r="Q891">
        <v>0.26690000000000003</v>
      </c>
    </row>
    <row r="892" spans="1:17" x14ac:dyDescent="0.35">
      <c r="A892" t="s">
        <v>895</v>
      </c>
      <c r="B892" t="s">
        <v>2383</v>
      </c>
      <c r="C892">
        <v>50</v>
      </c>
      <c r="D892" t="s">
        <v>2992</v>
      </c>
      <c r="E892" t="s">
        <v>3001</v>
      </c>
      <c r="F892" t="s">
        <v>3021</v>
      </c>
      <c r="G892">
        <v>21</v>
      </c>
      <c r="H892">
        <v>445972</v>
      </c>
      <c r="I892">
        <v>524158</v>
      </c>
      <c r="J892">
        <v>13.68</v>
      </c>
      <c r="K892">
        <v>60</v>
      </c>
      <c r="L892" t="s">
        <v>3050</v>
      </c>
      <c r="M892">
        <v>791</v>
      </c>
      <c r="N892">
        <v>5</v>
      </c>
      <c r="O892" t="s">
        <v>3052</v>
      </c>
      <c r="P892" t="s">
        <v>3764</v>
      </c>
      <c r="Q892">
        <v>1.1753</v>
      </c>
    </row>
    <row r="893" spans="1:17" x14ac:dyDescent="0.35">
      <c r="A893" t="s">
        <v>896</v>
      </c>
      <c r="B893" t="s">
        <v>2384</v>
      </c>
      <c r="C893">
        <v>59</v>
      </c>
      <c r="D893" t="s">
        <v>2990</v>
      </c>
      <c r="E893" t="s">
        <v>3005</v>
      </c>
      <c r="F893" t="s">
        <v>3018</v>
      </c>
      <c r="G893">
        <v>0</v>
      </c>
      <c r="H893">
        <v>452647</v>
      </c>
      <c r="I893">
        <v>615032</v>
      </c>
      <c r="J893">
        <v>24.1</v>
      </c>
      <c r="K893">
        <v>24</v>
      </c>
      <c r="L893" t="s">
        <v>3048</v>
      </c>
      <c r="M893">
        <v>424</v>
      </c>
      <c r="N893">
        <v>7</v>
      </c>
      <c r="O893" t="s">
        <v>3055</v>
      </c>
      <c r="P893" t="s">
        <v>3276</v>
      </c>
      <c r="Q893">
        <v>1.3587</v>
      </c>
    </row>
    <row r="894" spans="1:17" x14ac:dyDescent="0.35">
      <c r="A894" t="s">
        <v>897</v>
      </c>
      <c r="B894" t="s">
        <v>2385</v>
      </c>
      <c r="C894">
        <v>36</v>
      </c>
      <c r="D894" t="s">
        <v>2990</v>
      </c>
      <c r="E894" t="s">
        <v>3005</v>
      </c>
      <c r="F894" t="s">
        <v>3019</v>
      </c>
      <c r="G894">
        <v>18</v>
      </c>
      <c r="H894">
        <v>557844</v>
      </c>
      <c r="I894">
        <v>361102</v>
      </c>
      <c r="J894">
        <v>24.63</v>
      </c>
      <c r="K894">
        <v>48</v>
      </c>
      <c r="L894" t="s">
        <v>3049</v>
      </c>
      <c r="M894">
        <v>409</v>
      </c>
      <c r="N894">
        <v>3</v>
      </c>
      <c r="O894" t="s">
        <v>3054</v>
      </c>
      <c r="P894" t="s">
        <v>3765</v>
      </c>
      <c r="Q894">
        <v>0.64729999999999999</v>
      </c>
    </row>
    <row r="895" spans="1:17" x14ac:dyDescent="0.35">
      <c r="A895" t="s">
        <v>898</v>
      </c>
      <c r="B895" t="s">
        <v>2386</v>
      </c>
      <c r="C895">
        <v>22</v>
      </c>
      <c r="D895" t="s">
        <v>2992</v>
      </c>
      <c r="E895" t="s">
        <v>3003</v>
      </c>
      <c r="F895" t="s">
        <v>3019</v>
      </c>
      <c r="G895">
        <v>5</v>
      </c>
      <c r="H895">
        <v>1405811</v>
      </c>
      <c r="I895">
        <v>530470</v>
      </c>
      <c r="J895">
        <v>26.77</v>
      </c>
      <c r="K895">
        <v>48</v>
      </c>
      <c r="L895" t="s">
        <v>3046</v>
      </c>
      <c r="M895">
        <v>412</v>
      </c>
      <c r="N895">
        <v>3</v>
      </c>
      <c r="O895" t="s">
        <v>3053</v>
      </c>
      <c r="P895" t="s">
        <v>3704</v>
      </c>
      <c r="Q895">
        <v>0.37730000000000002</v>
      </c>
    </row>
    <row r="896" spans="1:17" x14ac:dyDescent="0.35">
      <c r="A896" t="s">
        <v>899</v>
      </c>
      <c r="B896" t="s">
        <v>2387</v>
      </c>
      <c r="C896">
        <v>34</v>
      </c>
      <c r="D896" t="s">
        <v>2996</v>
      </c>
      <c r="E896" t="s">
        <v>3001</v>
      </c>
      <c r="F896" t="s">
        <v>3018</v>
      </c>
      <c r="G896">
        <v>15</v>
      </c>
      <c r="H896">
        <v>733091</v>
      </c>
      <c r="I896">
        <v>446673</v>
      </c>
      <c r="J896">
        <v>9.1999999999999993</v>
      </c>
      <c r="K896">
        <v>60</v>
      </c>
      <c r="L896" t="s">
        <v>3048</v>
      </c>
      <c r="N896">
        <v>1</v>
      </c>
      <c r="O896" t="s">
        <v>3059</v>
      </c>
      <c r="P896" t="s">
        <v>3221</v>
      </c>
      <c r="Q896">
        <v>0.60929999999999995</v>
      </c>
    </row>
    <row r="897" spans="1:17" x14ac:dyDescent="0.35">
      <c r="A897" t="s">
        <v>900</v>
      </c>
      <c r="B897" t="s">
        <v>2388</v>
      </c>
      <c r="C897">
        <v>41</v>
      </c>
      <c r="D897" t="s">
        <v>2992</v>
      </c>
      <c r="E897" t="s">
        <v>3002</v>
      </c>
      <c r="F897" t="s">
        <v>3019</v>
      </c>
      <c r="G897">
        <v>0</v>
      </c>
      <c r="H897">
        <v>1853879</v>
      </c>
      <c r="I897">
        <v>576376</v>
      </c>
      <c r="J897" t="s">
        <v>3035</v>
      </c>
      <c r="K897">
        <v>60</v>
      </c>
      <c r="L897" t="s">
        <v>3051</v>
      </c>
      <c r="M897">
        <v>667</v>
      </c>
      <c r="N897">
        <v>0</v>
      </c>
      <c r="O897" t="s">
        <v>3055</v>
      </c>
      <c r="P897" t="s">
        <v>3382</v>
      </c>
      <c r="Q897">
        <v>0.31090000000000001</v>
      </c>
    </row>
    <row r="898" spans="1:17" x14ac:dyDescent="0.35">
      <c r="A898" t="s">
        <v>901</v>
      </c>
      <c r="B898" t="s">
        <v>2389</v>
      </c>
      <c r="C898">
        <v>46</v>
      </c>
      <c r="D898" t="s">
        <v>2990</v>
      </c>
      <c r="E898" t="s">
        <v>2999</v>
      </c>
      <c r="F898" t="s">
        <v>3019</v>
      </c>
      <c r="G898">
        <v>24</v>
      </c>
      <c r="H898">
        <v>1585568</v>
      </c>
      <c r="I898">
        <v>446044</v>
      </c>
      <c r="J898">
        <v>8.1300000000000008</v>
      </c>
      <c r="K898">
        <v>36</v>
      </c>
      <c r="L898" t="s">
        <v>3047</v>
      </c>
      <c r="M898">
        <v>400</v>
      </c>
      <c r="N898">
        <v>5</v>
      </c>
      <c r="O898" t="s">
        <v>3052</v>
      </c>
      <c r="P898" t="s">
        <v>3766</v>
      </c>
      <c r="Q898">
        <v>0.28129999999999999</v>
      </c>
    </row>
    <row r="899" spans="1:17" x14ac:dyDescent="0.35">
      <c r="A899" t="s">
        <v>902</v>
      </c>
      <c r="B899" t="s">
        <v>2390</v>
      </c>
      <c r="C899">
        <v>48</v>
      </c>
      <c r="D899" t="s">
        <v>2992</v>
      </c>
      <c r="E899" t="s">
        <v>3006</v>
      </c>
      <c r="F899" t="s">
        <v>3019</v>
      </c>
      <c r="G899">
        <v>23</v>
      </c>
      <c r="H899">
        <v>1393261</v>
      </c>
      <c r="I899">
        <v>498108</v>
      </c>
      <c r="J899">
        <v>10.51</v>
      </c>
      <c r="K899">
        <v>48</v>
      </c>
      <c r="L899" t="s">
        <v>3051</v>
      </c>
      <c r="M899">
        <v>500</v>
      </c>
      <c r="N899">
        <v>2</v>
      </c>
      <c r="O899" t="s">
        <v>3053</v>
      </c>
      <c r="P899" t="s">
        <v>3645</v>
      </c>
      <c r="Q899">
        <v>0.35749999999999998</v>
      </c>
    </row>
    <row r="900" spans="1:17" x14ac:dyDescent="0.35">
      <c r="A900" t="s">
        <v>903</v>
      </c>
      <c r="B900" t="s">
        <v>2391</v>
      </c>
      <c r="C900">
        <v>55</v>
      </c>
      <c r="D900" t="s">
        <v>2992</v>
      </c>
      <c r="E900" t="s">
        <v>2998</v>
      </c>
      <c r="F900" t="s">
        <v>3018</v>
      </c>
      <c r="G900">
        <v>18</v>
      </c>
      <c r="H900">
        <v>1885243</v>
      </c>
      <c r="I900">
        <v>505651</v>
      </c>
      <c r="J900">
        <v>22.56</v>
      </c>
      <c r="K900">
        <v>48</v>
      </c>
      <c r="L900" t="s">
        <v>3051</v>
      </c>
      <c r="N900">
        <v>6</v>
      </c>
      <c r="O900" t="s">
        <v>3056</v>
      </c>
      <c r="P900" t="s">
        <v>3767</v>
      </c>
      <c r="Q900">
        <v>0.26819999999999999</v>
      </c>
    </row>
    <row r="901" spans="1:17" x14ac:dyDescent="0.35">
      <c r="A901" t="s">
        <v>904</v>
      </c>
      <c r="B901" t="s">
        <v>2392</v>
      </c>
      <c r="C901">
        <v>52</v>
      </c>
      <c r="D901" t="s">
        <v>2990</v>
      </c>
      <c r="E901" t="s">
        <v>3007</v>
      </c>
      <c r="F901" t="s">
        <v>3020</v>
      </c>
      <c r="G901">
        <v>28</v>
      </c>
      <c r="H901">
        <v>504912</v>
      </c>
      <c r="I901">
        <v>719151</v>
      </c>
      <c r="J901">
        <v>24.53</v>
      </c>
      <c r="K901">
        <v>48</v>
      </c>
      <c r="L901" t="s">
        <v>3049</v>
      </c>
      <c r="M901">
        <v>819</v>
      </c>
      <c r="N901">
        <v>3</v>
      </c>
      <c r="O901" t="s">
        <v>3052</v>
      </c>
      <c r="P901" t="s">
        <v>3202</v>
      </c>
      <c r="Q901">
        <v>1.4242999999999999</v>
      </c>
    </row>
    <row r="902" spans="1:17" x14ac:dyDescent="0.35">
      <c r="A902" t="s">
        <v>905</v>
      </c>
      <c r="B902" t="s">
        <v>2393</v>
      </c>
      <c r="C902">
        <v>31</v>
      </c>
      <c r="D902" t="s">
        <v>2992</v>
      </c>
      <c r="E902" t="s">
        <v>3000</v>
      </c>
      <c r="F902" t="s">
        <v>3018</v>
      </c>
      <c r="G902">
        <v>12</v>
      </c>
      <c r="H902">
        <v>1591220</v>
      </c>
      <c r="I902">
        <v>660794</v>
      </c>
      <c r="J902">
        <v>18.23</v>
      </c>
      <c r="K902">
        <v>60</v>
      </c>
      <c r="L902" t="s">
        <v>3049</v>
      </c>
      <c r="M902">
        <v>782</v>
      </c>
      <c r="N902">
        <v>1</v>
      </c>
      <c r="O902" t="s">
        <v>3057</v>
      </c>
      <c r="P902" t="s">
        <v>3768</v>
      </c>
      <c r="Q902">
        <v>0.4153</v>
      </c>
    </row>
    <row r="903" spans="1:17" x14ac:dyDescent="0.35">
      <c r="A903" t="s">
        <v>906</v>
      </c>
      <c r="B903" t="s">
        <v>2394</v>
      </c>
      <c r="C903">
        <v>24</v>
      </c>
      <c r="D903" t="s">
        <v>2992</v>
      </c>
      <c r="E903" t="s">
        <v>2999</v>
      </c>
      <c r="F903" t="s">
        <v>3019</v>
      </c>
      <c r="G903">
        <v>2</v>
      </c>
      <c r="H903">
        <v>1989595</v>
      </c>
      <c r="I903">
        <v>788223</v>
      </c>
      <c r="J903">
        <v>9.24</v>
      </c>
      <c r="K903">
        <v>24</v>
      </c>
      <c r="L903" t="s">
        <v>3046</v>
      </c>
      <c r="M903">
        <v>531</v>
      </c>
      <c r="N903">
        <v>5</v>
      </c>
      <c r="O903" t="s">
        <v>3054</v>
      </c>
      <c r="P903" t="s">
        <v>3470</v>
      </c>
      <c r="Q903">
        <v>0.3962</v>
      </c>
    </row>
    <row r="904" spans="1:17" x14ac:dyDescent="0.35">
      <c r="A904" t="s">
        <v>907</v>
      </c>
      <c r="B904" t="s">
        <v>2395</v>
      </c>
      <c r="C904">
        <v>60</v>
      </c>
      <c r="D904" t="s">
        <v>2990</v>
      </c>
      <c r="E904" t="s">
        <v>3003</v>
      </c>
      <c r="F904" t="s">
        <v>3019</v>
      </c>
      <c r="G904">
        <v>16</v>
      </c>
      <c r="H904">
        <v>2182348</v>
      </c>
      <c r="I904">
        <v>59104</v>
      </c>
      <c r="J904">
        <v>12.82</v>
      </c>
      <c r="K904">
        <v>12</v>
      </c>
      <c r="L904" t="s">
        <v>3048</v>
      </c>
      <c r="M904">
        <v>773</v>
      </c>
      <c r="N904">
        <v>1</v>
      </c>
      <c r="O904" t="s">
        <v>3056</v>
      </c>
      <c r="P904" t="s">
        <v>3421</v>
      </c>
      <c r="Q904">
        <v>2.7099999999999999E-2</v>
      </c>
    </row>
    <row r="905" spans="1:17" x14ac:dyDescent="0.35">
      <c r="A905" t="s">
        <v>908</v>
      </c>
      <c r="B905" t="s">
        <v>2396</v>
      </c>
      <c r="C905">
        <v>31</v>
      </c>
      <c r="D905" t="s">
        <v>2990</v>
      </c>
      <c r="E905" t="s">
        <v>3003</v>
      </c>
      <c r="F905" t="s">
        <v>3020</v>
      </c>
      <c r="G905">
        <v>11</v>
      </c>
      <c r="H905">
        <v>1072964</v>
      </c>
      <c r="I905">
        <v>298710</v>
      </c>
      <c r="J905">
        <v>24.51</v>
      </c>
      <c r="K905">
        <v>24</v>
      </c>
      <c r="L905" t="s">
        <v>3047</v>
      </c>
      <c r="M905">
        <v>403</v>
      </c>
      <c r="N905">
        <v>0</v>
      </c>
      <c r="O905" t="s">
        <v>3055</v>
      </c>
      <c r="P905" t="s">
        <v>3370</v>
      </c>
      <c r="Q905">
        <v>0.27839999999999998</v>
      </c>
    </row>
    <row r="906" spans="1:17" x14ac:dyDescent="0.35">
      <c r="A906" t="s">
        <v>909</v>
      </c>
      <c r="B906" t="s">
        <v>2397</v>
      </c>
      <c r="C906">
        <v>31</v>
      </c>
      <c r="D906" t="s">
        <v>2992</v>
      </c>
      <c r="E906" t="s">
        <v>2999</v>
      </c>
      <c r="F906" t="s">
        <v>3018</v>
      </c>
      <c r="G906">
        <v>13</v>
      </c>
      <c r="H906">
        <v>2141275</v>
      </c>
      <c r="I906">
        <v>682550</v>
      </c>
      <c r="J906">
        <v>13.71</v>
      </c>
      <c r="K906">
        <v>60</v>
      </c>
      <c r="L906" t="s">
        <v>3050</v>
      </c>
      <c r="M906">
        <v>779</v>
      </c>
      <c r="N906">
        <v>0</v>
      </c>
      <c r="O906" t="s">
        <v>3056</v>
      </c>
      <c r="P906" t="s">
        <v>3769</v>
      </c>
      <c r="Q906">
        <v>0.31879999999999997</v>
      </c>
    </row>
    <row r="907" spans="1:17" x14ac:dyDescent="0.35">
      <c r="A907" t="s">
        <v>910</v>
      </c>
      <c r="B907" t="s">
        <v>2398</v>
      </c>
      <c r="C907">
        <v>52</v>
      </c>
      <c r="D907" t="s">
        <v>2992</v>
      </c>
      <c r="E907" t="s">
        <v>3005</v>
      </c>
      <c r="F907" t="s">
        <v>3018</v>
      </c>
      <c r="G907">
        <v>23</v>
      </c>
      <c r="H907">
        <v>640244</v>
      </c>
      <c r="I907">
        <v>57019</v>
      </c>
      <c r="J907">
        <v>9.9499999999999993</v>
      </c>
      <c r="K907">
        <v>60</v>
      </c>
      <c r="L907" t="s">
        <v>3051</v>
      </c>
      <c r="M907">
        <v>504</v>
      </c>
      <c r="N907">
        <v>7</v>
      </c>
      <c r="O907" t="s">
        <v>3062</v>
      </c>
      <c r="P907" t="s">
        <v>3770</v>
      </c>
      <c r="Q907">
        <v>8.9099999999999999E-2</v>
      </c>
    </row>
    <row r="908" spans="1:17" x14ac:dyDescent="0.35">
      <c r="A908" t="s">
        <v>911</v>
      </c>
      <c r="B908" t="s">
        <v>2399</v>
      </c>
      <c r="C908">
        <v>28</v>
      </c>
      <c r="D908" t="s">
        <v>2990</v>
      </c>
      <c r="E908" t="s">
        <v>3001</v>
      </c>
      <c r="F908" t="s">
        <v>3021</v>
      </c>
      <c r="G908">
        <v>23</v>
      </c>
      <c r="H908">
        <v>272601</v>
      </c>
      <c r="I908">
        <v>639164</v>
      </c>
      <c r="J908">
        <v>16.11</v>
      </c>
      <c r="K908">
        <v>24</v>
      </c>
      <c r="L908" t="s">
        <v>3049</v>
      </c>
      <c r="M908">
        <v>563</v>
      </c>
      <c r="N908">
        <v>2</v>
      </c>
      <c r="O908" t="s">
        <v>3052</v>
      </c>
      <c r="P908" t="s">
        <v>3771</v>
      </c>
      <c r="Q908">
        <v>2.3447</v>
      </c>
    </row>
    <row r="909" spans="1:17" x14ac:dyDescent="0.35">
      <c r="A909" t="s">
        <v>912</v>
      </c>
      <c r="B909" t="s">
        <v>2400</v>
      </c>
      <c r="C909">
        <v>38</v>
      </c>
      <c r="D909" t="s">
        <v>2990</v>
      </c>
      <c r="E909" t="s">
        <v>3002</v>
      </c>
      <c r="F909" t="s">
        <v>3018</v>
      </c>
      <c r="G909">
        <v>6</v>
      </c>
      <c r="H909">
        <v>1799715</v>
      </c>
      <c r="I909">
        <v>430482</v>
      </c>
      <c r="J909">
        <v>20.82</v>
      </c>
      <c r="K909">
        <v>24</v>
      </c>
      <c r="L909" t="s">
        <v>3049</v>
      </c>
      <c r="M909">
        <v>443</v>
      </c>
      <c r="N909">
        <v>7</v>
      </c>
      <c r="O909" t="s">
        <v>3052</v>
      </c>
      <c r="P909" t="s">
        <v>3772</v>
      </c>
      <c r="Q909">
        <v>0.2392</v>
      </c>
    </row>
    <row r="910" spans="1:17" x14ac:dyDescent="0.35">
      <c r="A910" t="s">
        <v>913</v>
      </c>
      <c r="B910" t="s">
        <v>2401</v>
      </c>
      <c r="C910">
        <v>37</v>
      </c>
      <c r="D910" t="s">
        <v>2992</v>
      </c>
      <c r="E910" t="s">
        <v>3004</v>
      </c>
      <c r="F910" t="s">
        <v>3021</v>
      </c>
      <c r="G910">
        <v>10</v>
      </c>
      <c r="H910">
        <v>2161019</v>
      </c>
      <c r="I910">
        <v>326081</v>
      </c>
      <c r="J910">
        <v>12.14</v>
      </c>
      <c r="K910">
        <v>12</v>
      </c>
      <c r="L910" t="s">
        <v>3048</v>
      </c>
      <c r="M910">
        <v>638</v>
      </c>
      <c r="N910">
        <v>4</v>
      </c>
      <c r="O910" t="s">
        <v>3053</v>
      </c>
      <c r="P910" t="s">
        <v>3275</v>
      </c>
      <c r="Q910">
        <v>0.15090000000000001</v>
      </c>
    </row>
    <row r="911" spans="1:17" x14ac:dyDescent="0.35">
      <c r="A911" t="s">
        <v>914</v>
      </c>
      <c r="B911" t="s">
        <v>2402</v>
      </c>
      <c r="C911">
        <v>50</v>
      </c>
      <c r="D911" t="s">
        <v>2990</v>
      </c>
      <c r="E911" t="s">
        <v>3005</v>
      </c>
      <c r="F911" t="s">
        <v>3020</v>
      </c>
      <c r="G911">
        <v>12</v>
      </c>
      <c r="H911">
        <v>1791935</v>
      </c>
      <c r="I911">
        <v>71707</v>
      </c>
      <c r="J911">
        <v>24.53</v>
      </c>
      <c r="K911">
        <v>24</v>
      </c>
      <c r="L911" t="s">
        <v>3050</v>
      </c>
      <c r="M911">
        <v>612</v>
      </c>
      <c r="N911">
        <v>2</v>
      </c>
      <c r="O911" t="s">
        <v>3052</v>
      </c>
      <c r="P911" t="s">
        <v>3773</v>
      </c>
      <c r="Q911">
        <v>0.04</v>
      </c>
    </row>
    <row r="912" spans="1:17" x14ac:dyDescent="0.35">
      <c r="A912" t="s">
        <v>915</v>
      </c>
      <c r="B912" t="s">
        <v>2403</v>
      </c>
      <c r="C912">
        <v>27</v>
      </c>
      <c r="D912" t="s">
        <v>2992</v>
      </c>
      <c r="E912" t="s">
        <v>3003</v>
      </c>
      <c r="F912" t="s">
        <v>3019</v>
      </c>
      <c r="G912">
        <v>27</v>
      </c>
      <c r="H912">
        <v>885860</v>
      </c>
      <c r="I912">
        <v>281497</v>
      </c>
      <c r="J912">
        <v>22.13</v>
      </c>
      <c r="K912">
        <v>60</v>
      </c>
      <c r="L912" t="s">
        <v>3048</v>
      </c>
      <c r="M912">
        <v>636</v>
      </c>
      <c r="N912">
        <v>1</v>
      </c>
      <c r="O912" t="s">
        <v>3052</v>
      </c>
      <c r="P912" t="s">
        <v>3774</v>
      </c>
      <c r="Q912">
        <v>0.31780000000000003</v>
      </c>
    </row>
    <row r="913" spans="1:17" x14ac:dyDescent="0.35">
      <c r="A913" t="s">
        <v>916</v>
      </c>
      <c r="B913" t="s">
        <v>2404</v>
      </c>
      <c r="C913">
        <v>59</v>
      </c>
      <c r="D913" t="s">
        <v>2990</v>
      </c>
      <c r="E913" t="s">
        <v>3001</v>
      </c>
      <c r="F913" t="s">
        <v>3021</v>
      </c>
      <c r="G913">
        <v>12</v>
      </c>
      <c r="H913">
        <v>572136</v>
      </c>
      <c r="I913">
        <v>508535</v>
      </c>
      <c r="J913">
        <v>22.24</v>
      </c>
      <c r="K913">
        <v>24</v>
      </c>
      <c r="L913" t="s">
        <v>3051</v>
      </c>
      <c r="M913">
        <v>839</v>
      </c>
      <c r="N913">
        <v>4</v>
      </c>
      <c r="O913" t="s">
        <v>3052</v>
      </c>
      <c r="P913" t="s">
        <v>3775</v>
      </c>
      <c r="Q913">
        <v>0.88880000000000003</v>
      </c>
    </row>
    <row r="914" spans="1:17" x14ac:dyDescent="0.35">
      <c r="A914" t="s">
        <v>917</v>
      </c>
      <c r="B914" t="s">
        <v>2405</v>
      </c>
      <c r="C914">
        <v>24</v>
      </c>
      <c r="D914" t="s">
        <v>2992</v>
      </c>
      <c r="E914" t="s">
        <v>3003</v>
      </c>
      <c r="F914" t="s">
        <v>3020</v>
      </c>
      <c r="G914">
        <v>2</v>
      </c>
      <c r="H914">
        <v>393567</v>
      </c>
      <c r="I914">
        <v>780084</v>
      </c>
      <c r="J914">
        <v>26.33</v>
      </c>
      <c r="K914">
        <v>12</v>
      </c>
      <c r="L914" t="s">
        <v>3050</v>
      </c>
      <c r="M914">
        <v>452</v>
      </c>
      <c r="N914">
        <v>6</v>
      </c>
      <c r="O914" t="s">
        <v>3056</v>
      </c>
      <c r="P914" t="s">
        <v>3776</v>
      </c>
      <c r="Q914">
        <v>1.9821</v>
      </c>
    </row>
    <row r="915" spans="1:17" x14ac:dyDescent="0.35">
      <c r="A915" t="s">
        <v>918</v>
      </c>
      <c r="B915" t="s">
        <v>2406</v>
      </c>
      <c r="C915">
        <v>64</v>
      </c>
      <c r="D915" t="s">
        <v>2992</v>
      </c>
      <c r="E915" t="s">
        <v>2999</v>
      </c>
      <c r="F915" t="s">
        <v>3019</v>
      </c>
      <c r="G915">
        <v>21</v>
      </c>
      <c r="H915">
        <v>783103</v>
      </c>
      <c r="I915">
        <v>252930</v>
      </c>
      <c r="J915">
        <v>27.01</v>
      </c>
      <c r="K915">
        <v>48</v>
      </c>
      <c r="L915" t="s">
        <v>3046</v>
      </c>
      <c r="M915">
        <v>476</v>
      </c>
      <c r="N915">
        <v>4</v>
      </c>
      <c r="O915" t="s">
        <v>3052</v>
      </c>
      <c r="P915" t="s">
        <v>3777</v>
      </c>
      <c r="Q915">
        <v>0.32300000000000001</v>
      </c>
    </row>
    <row r="916" spans="1:17" x14ac:dyDescent="0.35">
      <c r="A916" t="s">
        <v>919</v>
      </c>
      <c r="B916" t="s">
        <v>2407</v>
      </c>
      <c r="C916">
        <v>23</v>
      </c>
      <c r="D916" t="s">
        <v>2992</v>
      </c>
      <c r="E916" t="s">
        <v>3001</v>
      </c>
      <c r="F916" t="s">
        <v>3020</v>
      </c>
      <c r="G916">
        <v>7</v>
      </c>
      <c r="H916">
        <v>878956</v>
      </c>
      <c r="I916">
        <v>416087</v>
      </c>
      <c r="J916">
        <v>21.46</v>
      </c>
      <c r="K916">
        <v>48</v>
      </c>
      <c r="L916" t="s">
        <v>3049</v>
      </c>
      <c r="M916">
        <v>610</v>
      </c>
      <c r="N916">
        <v>6</v>
      </c>
      <c r="O916" t="s">
        <v>3057</v>
      </c>
      <c r="P916" t="s">
        <v>3778</v>
      </c>
      <c r="Q916">
        <v>0.47339999999999999</v>
      </c>
    </row>
    <row r="917" spans="1:17" x14ac:dyDescent="0.35">
      <c r="A917" t="s">
        <v>920</v>
      </c>
      <c r="B917" t="s">
        <v>2408</v>
      </c>
      <c r="C917">
        <v>55</v>
      </c>
      <c r="D917" t="s">
        <v>2992</v>
      </c>
      <c r="E917" t="s">
        <v>2999</v>
      </c>
      <c r="F917" t="s">
        <v>3021</v>
      </c>
      <c r="G917">
        <v>7</v>
      </c>
      <c r="H917">
        <v>1424625</v>
      </c>
      <c r="I917">
        <v>432672</v>
      </c>
      <c r="J917">
        <v>27.15</v>
      </c>
      <c r="K917">
        <v>24</v>
      </c>
      <c r="L917" t="s">
        <v>3050</v>
      </c>
      <c r="M917">
        <v>422</v>
      </c>
      <c r="N917">
        <v>5</v>
      </c>
      <c r="O917" t="s">
        <v>3052</v>
      </c>
      <c r="P917" t="s">
        <v>3779</v>
      </c>
      <c r="Q917">
        <v>0.30370000000000003</v>
      </c>
    </row>
    <row r="918" spans="1:17" x14ac:dyDescent="0.35">
      <c r="A918" t="s">
        <v>921</v>
      </c>
      <c r="B918" t="s">
        <v>2409</v>
      </c>
      <c r="C918">
        <v>38</v>
      </c>
      <c r="D918" t="s">
        <v>2992</v>
      </c>
      <c r="E918" t="s">
        <v>2998</v>
      </c>
      <c r="F918" t="s">
        <v>3018</v>
      </c>
      <c r="G918">
        <v>6</v>
      </c>
      <c r="H918">
        <v>1908794</v>
      </c>
      <c r="I918">
        <v>741755</v>
      </c>
      <c r="J918">
        <v>11.71</v>
      </c>
      <c r="K918">
        <v>24</v>
      </c>
      <c r="L918" t="s">
        <v>3049</v>
      </c>
      <c r="M918">
        <v>508</v>
      </c>
      <c r="N918">
        <v>6</v>
      </c>
      <c r="O918" t="s">
        <v>3055</v>
      </c>
      <c r="P918" t="s">
        <v>3140</v>
      </c>
      <c r="Q918">
        <v>0.3886</v>
      </c>
    </row>
    <row r="919" spans="1:17" x14ac:dyDescent="0.35">
      <c r="A919" t="s">
        <v>922</v>
      </c>
      <c r="B919" t="s">
        <v>2410</v>
      </c>
      <c r="C919">
        <v>60</v>
      </c>
      <c r="D919" t="s">
        <v>2992</v>
      </c>
      <c r="E919" t="s">
        <v>3006</v>
      </c>
      <c r="F919" t="s">
        <v>3019</v>
      </c>
      <c r="G919">
        <v>11</v>
      </c>
      <c r="H919">
        <v>1641331</v>
      </c>
      <c r="I919">
        <v>50257</v>
      </c>
      <c r="J919">
        <v>11.93</v>
      </c>
      <c r="K919">
        <v>12</v>
      </c>
      <c r="L919" t="s">
        <v>3050</v>
      </c>
      <c r="M919">
        <v>711</v>
      </c>
      <c r="N919">
        <v>4</v>
      </c>
      <c r="O919" t="s">
        <v>3052</v>
      </c>
      <c r="P919" t="s">
        <v>3780</v>
      </c>
      <c r="Q919">
        <v>3.0599999999999999E-2</v>
      </c>
    </row>
    <row r="920" spans="1:17" x14ac:dyDescent="0.35">
      <c r="A920" t="s">
        <v>923</v>
      </c>
      <c r="B920" t="s">
        <v>2411</v>
      </c>
      <c r="C920">
        <v>53</v>
      </c>
      <c r="D920" t="s">
        <v>2992</v>
      </c>
      <c r="E920" t="s">
        <v>3002</v>
      </c>
      <c r="F920" t="s">
        <v>3020</v>
      </c>
      <c r="G920">
        <v>10</v>
      </c>
      <c r="H920">
        <v>2167118</v>
      </c>
      <c r="I920">
        <v>544480</v>
      </c>
      <c r="J920">
        <v>10.18</v>
      </c>
      <c r="K920">
        <v>12</v>
      </c>
      <c r="L920" t="s">
        <v>3046</v>
      </c>
      <c r="M920">
        <v>679</v>
      </c>
      <c r="N920">
        <v>7</v>
      </c>
      <c r="O920" t="s">
        <v>3052</v>
      </c>
      <c r="P920" t="s">
        <v>3781</v>
      </c>
      <c r="Q920">
        <v>0.25119999999999998</v>
      </c>
    </row>
    <row r="921" spans="1:17" x14ac:dyDescent="0.35">
      <c r="B921" t="s">
        <v>2412</v>
      </c>
      <c r="C921">
        <v>26</v>
      </c>
      <c r="D921" t="s">
        <v>2992</v>
      </c>
      <c r="E921" t="s">
        <v>3007</v>
      </c>
      <c r="F921" t="s">
        <v>3018</v>
      </c>
      <c r="G921">
        <v>8</v>
      </c>
      <c r="H921">
        <v>2137233</v>
      </c>
      <c r="I921">
        <v>675244</v>
      </c>
      <c r="J921">
        <v>11.95</v>
      </c>
      <c r="K921">
        <v>24</v>
      </c>
      <c r="L921" t="s">
        <v>3050</v>
      </c>
      <c r="M921">
        <v>394</v>
      </c>
      <c r="N921">
        <v>7</v>
      </c>
      <c r="O921" t="s">
        <v>3055</v>
      </c>
      <c r="P921" t="s">
        <v>3602</v>
      </c>
      <c r="Q921">
        <v>0.31590000000000001</v>
      </c>
    </row>
    <row r="922" spans="1:17" x14ac:dyDescent="0.35">
      <c r="A922" t="s">
        <v>924</v>
      </c>
      <c r="B922" t="s">
        <v>2413</v>
      </c>
      <c r="C922">
        <v>47</v>
      </c>
      <c r="D922" t="s">
        <v>2990</v>
      </c>
      <c r="E922" t="s">
        <v>2999</v>
      </c>
      <c r="F922" t="s">
        <v>3020</v>
      </c>
      <c r="G922">
        <v>19</v>
      </c>
      <c r="H922">
        <v>2328091</v>
      </c>
      <c r="I922">
        <v>215784</v>
      </c>
      <c r="J922">
        <v>11.91</v>
      </c>
      <c r="K922">
        <v>12</v>
      </c>
      <c r="L922" t="s">
        <v>3049</v>
      </c>
      <c r="M922">
        <v>673</v>
      </c>
      <c r="N922">
        <v>4</v>
      </c>
      <c r="O922" t="s">
        <v>3053</v>
      </c>
      <c r="P922" t="s">
        <v>3782</v>
      </c>
      <c r="Q922">
        <v>9.2700000000000005E-2</v>
      </c>
    </row>
    <row r="923" spans="1:17" x14ac:dyDescent="0.35">
      <c r="A923" t="s">
        <v>925</v>
      </c>
      <c r="B923" t="s">
        <v>2414</v>
      </c>
      <c r="C923">
        <v>21</v>
      </c>
      <c r="D923" t="s">
        <v>2992</v>
      </c>
      <c r="E923" t="s">
        <v>3006</v>
      </c>
      <c r="F923" t="s">
        <v>3019</v>
      </c>
      <c r="G923">
        <v>9</v>
      </c>
      <c r="H923">
        <v>463707</v>
      </c>
      <c r="I923">
        <v>46654</v>
      </c>
      <c r="J923">
        <v>16.86</v>
      </c>
      <c r="K923">
        <v>48</v>
      </c>
      <c r="L923" t="s">
        <v>3050</v>
      </c>
      <c r="M923">
        <v>398</v>
      </c>
      <c r="N923">
        <v>3</v>
      </c>
      <c r="O923" t="s">
        <v>3054</v>
      </c>
      <c r="P923" t="s">
        <v>3783</v>
      </c>
      <c r="Q923">
        <v>0.10059999999999999</v>
      </c>
    </row>
    <row r="924" spans="1:17" x14ac:dyDescent="0.35">
      <c r="A924" t="s">
        <v>926</v>
      </c>
      <c r="B924" t="s">
        <v>2415</v>
      </c>
      <c r="C924">
        <v>57</v>
      </c>
      <c r="D924" t="s">
        <v>2990</v>
      </c>
      <c r="E924" t="s">
        <v>2998</v>
      </c>
      <c r="F924" t="s">
        <v>3019</v>
      </c>
      <c r="G924">
        <v>7</v>
      </c>
      <c r="H924">
        <v>1218199</v>
      </c>
      <c r="I924">
        <v>283031</v>
      </c>
      <c r="J924">
        <v>18.12</v>
      </c>
      <c r="K924">
        <v>24</v>
      </c>
      <c r="L924" t="s">
        <v>3047</v>
      </c>
      <c r="M924">
        <v>584</v>
      </c>
      <c r="N924">
        <v>1</v>
      </c>
      <c r="O924" t="s">
        <v>3053</v>
      </c>
      <c r="P924" t="s">
        <v>3259</v>
      </c>
      <c r="Q924">
        <v>0.23230000000000001</v>
      </c>
    </row>
    <row r="925" spans="1:17" x14ac:dyDescent="0.35">
      <c r="A925" t="s">
        <v>927</v>
      </c>
      <c r="B925" t="s">
        <v>2416</v>
      </c>
      <c r="C925">
        <v>43</v>
      </c>
      <c r="D925" t="s">
        <v>2992</v>
      </c>
      <c r="E925" t="s">
        <v>2999</v>
      </c>
      <c r="F925" t="s">
        <v>3020</v>
      </c>
      <c r="G925">
        <v>29</v>
      </c>
      <c r="H925">
        <v>1696450</v>
      </c>
      <c r="I925">
        <v>65095</v>
      </c>
      <c r="J925">
        <v>12.98</v>
      </c>
      <c r="K925">
        <v>24</v>
      </c>
      <c r="L925" t="s">
        <v>3048</v>
      </c>
      <c r="M925">
        <v>567</v>
      </c>
      <c r="N925">
        <v>0</v>
      </c>
      <c r="O925" t="s">
        <v>3052</v>
      </c>
      <c r="P925" t="s">
        <v>3629</v>
      </c>
      <c r="Q925">
        <v>3.8399999999999997E-2</v>
      </c>
    </row>
    <row r="926" spans="1:17" x14ac:dyDescent="0.35">
      <c r="A926" t="s">
        <v>928</v>
      </c>
      <c r="B926" t="s">
        <v>2417</v>
      </c>
      <c r="C926">
        <v>54</v>
      </c>
      <c r="D926" t="s">
        <v>2990</v>
      </c>
      <c r="E926" t="s">
        <v>3007</v>
      </c>
      <c r="F926" t="s">
        <v>3020</v>
      </c>
      <c r="G926">
        <v>18</v>
      </c>
      <c r="H926">
        <v>1059903</v>
      </c>
      <c r="I926">
        <v>126121</v>
      </c>
      <c r="J926">
        <v>12.54</v>
      </c>
      <c r="K926">
        <v>24</v>
      </c>
      <c r="L926" t="s">
        <v>3051</v>
      </c>
      <c r="M926">
        <v>309</v>
      </c>
      <c r="N926">
        <v>6</v>
      </c>
      <c r="O926" t="s">
        <v>3055</v>
      </c>
      <c r="P926" t="s">
        <v>3784</v>
      </c>
      <c r="Q926">
        <v>0.11899999999999999</v>
      </c>
    </row>
    <row r="927" spans="1:17" x14ac:dyDescent="0.35">
      <c r="A927" t="s">
        <v>929</v>
      </c>
      <c r="B927" t="s">
        <v>2258</v>
      </c>
      <c r="C927">
        <v>52</v>
      </c>
      <c r="D927" t="s">
        <v>2990</v>
      </c>
      <c r="E927" t="s">
        <v>3001</v>
      </c>
      <c r="F927" t="s">
        <v>3020</v>
      </c>
      <c r="G927">
        <v>19</v>
      </c>
      <c r="H927">
        <v>340081</v>
      </c>
      <c r="I927">
        <v>260891</v>
      </c>
      <c r="J927">
        <v>16.05</v>
      </c>
      <c r="K927">
        <v>12</v>
      </c>
      <c r="M927">
        <v>803</v>
      </c>
      <c r="N927">
        <v>1</v>
      </c>
      <c r="O927" t="s">
        <v>3053</v>
      </c>
      <c r="P927" t="s">
        <v>3785</v>
      </c>
      <c r="Q927">
        <v>0.7671</v>
      </c>
    </row>
    <row r="928" spans="1:17" x14ac:dyDescent="0.35">
      <c r="A928" t="s">
        <v>930</v>
      </c>
      <c r="B928" t="s">
        <v>2418</v>
      </c>
      <c r="C928">
        <v>44</v>
      </c>
      <c r="D928" t="s">
        <v>2992</v>
      </c>
      <c r="E928" t="s">
        <v>3004</v>
      </c>
      <c r="F928" t="s">
        <v>3020</v>
      </c>
      <c r="G928">
        <v>5</v>
      </c>
      <c r="H928">
        <v>581067</v>
      </c>
      <c r="I928">
        <v>672873</v>
      </c>
      <c r="J928">
        <v>24.38</v>
      </c>
      <c r="K928">
        <v>36</v>
      </c>
      <c r="L928" t="s">
        <v>3049</v>
      </c>
      <c r="M928">
        <v>477</v>
      </c>
      <c r="N928">
        <v>0</v>
      </c>
      <c r="O928" t="s">
        <v>3052</v>
      </c>
      <c r="P928" t="s">
        <v>3273</v>
      </c>
      <c r="Q928">
        <v>1.1579999999999999</v>
      </c>
    </row>
    <row r="929" spans="1:17" x14ac:dyDescent="0.35">
      <c r="A929" t="s">
        <v>931</v>
      </c>
      <c r="B929" t="s">
        <v>2419</v>
      </c>
      <c r="C929">
        <v>43</v>
      </c>
      <c r="D929" t="s">
        <v>2990</v>
      </c>
      <c r="E929" t="s">
        <v>3005</v>
      </c>
      <c r="F929" t="s">
        <v>3019</v>
      </c>
      <c r="G929">
        <v>6</v>
      </c>
      <c r="I929">
        <v>650527</v>
      </c>
      <c r="J929">
        <v>27.27</v>
      </c>
      <c r="K929">
        <v>60</v>
      </c>
      <c r="L929" t="s">
        <v>3048</v>
      </c>
      <c r="M929">
        <v>569</v>
      </c>
      <c r="N929">
        <v>0</v>
      </c>
      <c r="O929" t="s">
        <v>3053</v>
      </c>
      <c r="P929" t="s">
        <v>3786</v>
      </c>
      <c r="Q929">
        <v>0.5917</v>
      </c>
    </row>
    <row r="930" spans="1:17" x14ac:dyDescent="0.35">
      <c r="A930" t="s">
        <v>932</v>
      </c>
      <c r="B930" t="s">
        <v>2420</v>
      </c>
      <c r="C930">
        <v>63</v>
      </c>
      <c r="D930" t="s">
        <v>2990</v>
      </c>
      <c r="E930" t="s">
        <v>3005</v>
      </c>
      <c r="F930" t="s">
        <v>3018</v>
      </c>
      <c r="G930">
        <v>0</v>
      </c>
      <c r="H930">
        <v>2115090</v>
      </c>
      <c r="I930">
        <v>495738</v>
      </c>
      <c r="J930">
        <v>21.55</v>
      </c>
      <c r="K930">
        <v>36</v>
      </c>
      <c r="L930" t="s">
        <v>3051</v>
      </c>
      <c r="M930">
        <v>443</v>
      </c>
      <c r="N930">
        <v>0</v>
      </c>
      <c r="O930" t="s">
        <v>3053</v>
      </c>
      <c r="P930" t="s">
        <v>3787</v>
      </c>
      <c r="Q930">
        <v>0.2344</v>
      </c>
    </row>
    <row r="931" spans="1:17" x14ac:dyDescent="0.35">
      <c r="A931" t="s">
        <v>933</v>
      </c>
      <c r="B931" t="s">
        <v>2421</v>
      </c>
      <c r="C931">
        <v>43</v>
      </c>
      <c r="D931" t="s">
        <v>2990</v>
      </c>
      <c r="E931" t="s">
        <v>3004</v>
      </c>
      <c r="F931" t="s">
        <v>3018</v>
      </c>
      <c r="G931">
        <v>21</v>
      </c>
      <c r="H931">
        <v>2109848</v>
      </c>
      <c r="I931">
        <v>583466</v>
      </c>
      <c r="J931">
        <v>18.25</v>
      </c>
      <c r="K931">
        <v>48</v>
      </c>
      <c r="L931" t="s">
        <v>3047</v>
      </c>
      <c r="M931">
        <v>630</v>
      </c>
      <c r="N931">
        <v>4</v>
      </c>
      <c r="O931" t="s">
        <v>3054</v>
      </c>
      <c r="P931" t="s">
        <v>3223</v>
      </c>
      <c r="Q931">
        <v>0.27650000000000002</v>
      </c>
    </row>
    <row r="932" spans="1:17" x14ac:dyDescent="0.35">
      <c r="A932" t="s">
        <v>934</v>
      </c>
      <c r="B932" t="s">
        <v>2422</v>
      </c>
      <c r="C932">
        <v>59</v>
      </c>
      <c r="D932" t="s">
        <v>2992</v>
      </c>
      <c r="E932" t="s">
        <v>2999</v>
      </c>
      <c r="F932" t="s">
        <v>3021</v>
      </c>
      <c r="G932">
        <v>26</v>
      </c>
      <c r="H932">
        <v>604226</v>
      </c>
      <c r="I932">
        <v>104700</v>
      </c>
      <c r="J932">
        <v>16.23</v>
      </c>
      <c r="K932">
        <v>12</v>
      </c>
      <c r="L932" t="s">
        <v>3048</v>
      </c>
      <c r="M932">
        <v>569</v>
      </c>
      <c r="N932">
        <v>2</v>
      </c>
      <c r="O932" t="s">
        <v>3055</v>
      </c>
      <c r="P932" t="s">
        <v>3788</v>
      </c>
      <c r="Q932">
        <v>0.17330000000000001</v>
      </c>
    </row>
    <row r="933" spans="1:17" x14ac:dyDescent="0.35">
      <c r="A933" t="s">
        <v>935</v>
      </c>
      <c r="B933" t="s">
        <v>2423</v>
      </c>
      <c r="C933">
        <v>57</v>
      </c>
      <c r="D933" t="s">
        <v>2992</v>
      </c>
      <c r="E933" t="s">
        <v>3000</v>
      </c>
      <c r="F933" t="s">
        <v>3020</v>
      </c>
      <c r="G933">
        <v>17</v>
      </c>
      <c r="H933">
        <v>1589854</v>
      </c>
      <c r="I933">
        <v>573781</v>
      </c>
      <c r="J933">
        <v>25.59</v>
      </c>
      <c r="K933">
        <v>48</v>
      </c>
      <c r="L933" t="s">
        <v>3049</v>
      </c>
      <c r="M933">
        <v>486</v>
      </c>
      <c r="N933">
        <v>4</v>
      </c>
      <c r="O933" t="s">
        <v>3059</v>
      </c>
      <c r="P933" t="s">
        <v>3789</v>
      </c>
      <c r="Q933">
        <v>0.3609</v>
      </c>
    </row>
    <row r="934" spans="1:17" x14ac:dyDescent="0.35">
      <c r="A934" t="s">
        <v>936</v>
      </c>
      <c r="B934" t="s">
        <v>2424</v>
      </c>
      <c r="C934">
        <v>53</v>
      </c>
      <c r="D934" t="s">
        <v>2990</v>
      </c>
      <c r="E934" t="s">
        <v>3001</v>
      </c>
      <c r="F934" t="s">
        <v>3021</v>
      </c>
      <c r="G934">
        <v>13</v>
      </c>
      <c r="I934">
        <v>101257</v>
      </c>
      <c r="J934">
        <v>17.43</v>
      </c>
      <c r="K934">
        <v>12</v>
      </c>
      <c r="L934" t="s">
        <v>3047</v>
      </c>
      <c r="M934">
        <v>616</v>
      </c>
      <c r="N934">
        <v>7</v>
      </c>
      <c r="O934" t="s">
        <v>3055</v>
      </c>
      <c r="P934" t="s">
        <v>3254</v>
      </c>
      <c r="Q934">
        <v>0.1198</v>
      </c>
    </row>
    <row r="935" spans="1:17" x14ac:dyDescent="0.35">
      <c r="A935" t="s">
        <v>937</v>
      </c>
      <c r="B935" t="s">
        <v>2425</v>
      </c>
      <c r="C935">
        <v>46</v>
      </c>
      <c r="D935" t="s">
        <v>2992</v>
      </c>
      <c r="E935" t="s">
        <v>3001</v>
      </c>
      <c r="F935" t="s">
        <v>3021</v>
      </c>
      <c r="G935">
        <v>29</v>
      </c>
      <c r="H935">
        <v>253997</v>
      </c>
      <c r="I935">
        <v>43408</v>
      </c>
      <c r="J935">
        <v>16.149999999999999</v>
      </c>
      <c r="K935">
        <v>48</v>
      </c>
      <c r="L935" t="s">
        <v>3048</v>
      </c>
      <c r="M935">
        <v>517</v>
      </c>
      <c r="N935">
        <v>0</v>
      </c>
      <c r="O935" t="s">
        <v>3057</v>
      </c>
      <c r="P935" t="s">
        <v>3083</v>
      </c>
      <c r="Q935">
        <v>0.1709</v>
      </c>
    </row>
    <row r="936" spans="1:17" x14ac:dyDescent="0.35">
      <c r="A936" t="s">
        <v>938</v>
      </c>
      <c r="B936" t="s">
        <v>2426</v>
      </c>
      <c r="C936">
        <v>52</v>
      </c>
      <c r="D936" t="s">
        <v>2992</v>
      </c>
      <c r="E936" t="s">
        <v>3013</v>
      </c>
      <c r="F936" t="s">
        <v>3020</v>
      </c>
      <c r="G936">
        <v>21</v>
      </c>
      <c r="H936">
        <v>1822892</v>
      </c>
      <c r="I936">
        <v>639003</v>
      </c>
      <c r="J936">
        <v>20.91</v>
      </c>
      <c r="K936">
        <v>36</v>
      </c>
      <c r="L936" t="s">
        <v>3048</v>
      </c>
      <c r="N936">
        <v>7</v>
      </c>
      <c r="O936" t="s">
        <v>3053</v>
      </c>
      <c r="P936" t="s">
        <v>3720</v>
      </c>
      <c r="Q936">
        <v>0.35049999999999998</v>
      </c>
    </row>
    <row r="937" spans="1:17" x14ac:dyDescent="0.35">
      <c r="A937" t="s">
        <v>939</v>
      </c>
      <c r="B937" t="s">
        <v>2427</v>
      </c>
      <c r="C937">
        <v>59</v>
      </c>
      <c r="D937" t="s">
        <v>2990</v>
      </c>
      <c r="E937" t="s">
        <v>3014</v>
      </c>
      <c r="F937" t="s">
        <v>3019</v>
      </c>
      <c r="G937">
        <v>27</v>
      </c>
      <c r="H937">
        <v>1398758</v>
      </c>
      <c r="I937">
        <v>54773</v>
      </c>
      <c r="J937">
        <v>9.85</v>
      </c>
      <c r="K937">
        <v>60</v>
      </c>
      <c r="L937" t="s">
        <v>3046</v>
      </c>
      <c r="M937">
        <v>691</v>
      </c>
      <c r="N937">
        <v>4</v>
      </c>
      <c r="O937" t="s">
        <v>3055</v>
      </c>
      <c r="P937" t="s">
        <v>3742</v>
      </c>
      <c r="Q937">
        <v>3.9199999999999999E-2</v>
      </c>
    </row>
    <row r="938" spans="1:17" x14ac:dyDescent="0.35">
      <c r="A938" t="s">
        <v>940</v>
      </c>
      <c r="B938" t="s">
        <v>2428</v>
      </c>
      <c r="C938">
        <v>36</v>
      </c>
      <c r="D938" t="s">
        <v>2992</v>
      </c>
      <c r="E938" t="s">
        <v>3002</v>
      </c>
      <c r="F938" t="s">
        <v>3020</v>
      </c>
      <c r="G938">
        <v>10</v>
      </c>
      <c r="H938">
        <v>2382263</v>
      </c>
      <c r="I938">
        <v>345497</v>
      </c>
      <c r="J938">
        <v>25.8</v>
      </c>
      <c r="K938">
        <v>60</v>
      </c>
      <c r="L938" t="s">
        <v>3051</v>
      </c>
      <c r="M938">
        <v>409</v>
      </c>
      <c r="N938">
        <v>6</v>
      </c>
      <c r="O938" t="s">
        <v>3056</v>
      </c>
      <c r="P938" t="s">
        <v>3790</v>
      </c>
      <c r="Q938">
        <v>0.14499999999999999</v>
      </c>
    </row>
    <row r="939" spans="1:17" x14ac:dyDescent="0.35">
      <c r="A939" t="s">
        <v>941</v>
      </c>
      <c r="B939" t="s">
        <v>2429</v>
      </c>
      <c r="C939">
        <v>34</v>
      </c>
      <c r="D939" t="s">
        <v>2992</v>
      </c>
      <c r="E939" t="s">
        <v>3005</v>
      </c>
      <c r="F939" t="s">
        <v>3020</v>
      </c>
      <c r="G939">
        <v>3</v>
      </c>
      <c r="H939">
        <v>469768</v>
      </c>
      <c r="I939">
        <v>216846</v>
      </c>
      <c r="J939">
        <v>16.55</v>
      </c>
      <c r="K939">
        <v>60</v>
      </c>
      <c r="L939" t="s">
        <v>3048</v>
      </c>
      <c r="M939">
        <v>468</v>
      </c>
      <c r="N939">
        <v>3</v>
      </c>
      <c r="O939" t="s">
        <v>3056</v>
      </c>
      <c r="P939" t="s">
        <v>3408</v>
      </c>
      <c r="Q939">
        <v>0.46160000000000001</v>
      </c>
    </row>
    <row r="940" spans="1:17" x14ac:dyDescent="0.35">
      <c r="A940" t="s">
        <v>942</v>
      </c>
      <c r="B940" t="s">
        <v>2430</v>
      </c>
      <c r="C940">
        <v>33</v>
      </c>
      <c r="D940" t="s">
        <v>2992</v>
      </c>
      <c r="E940" t="s">
        <v>3000</v>
      </c>
      <c r="F940" t="s">
        <v>3020</v>
      </c>
      <c r="G940">
        <v>1</v>
      </c>
      <c r="H940">
        <v>1262424</v>
      </c>
      <c r="I940">
        <v>83610</v>
      </c>
      <c r="J940">
        <v>23.98</v>
      </c>
      <c r="K940">
        <v>24</v>
      </c>
      <c r="L940" t="s">
        <v>3051</v>
      </c>
      <c r="M940">
        <v>717</v>
      </c>
      <c r="N940">
        <v>2</v>
      </c>
      <c r="O940" t="s">
        <v>3055</v>
      </c>
      <c r="P940" t="s">
        <v>3791</v>
      </c>
      <c r="Q940">
        <v>6.6199999999999995E-2</v>
      </c>
    </row>
    <row r="941" spans="1:17" x14ac:dyDescent="0.35">
      <c r="A941" t="s">
        <v>943</v>
      </c>
      <c r="B941" t="s">
        <v>2431</v>
      </c>
      <c r="C941">
        <v>35</v>
      </c>
      <c r="E941" t="s">
        <v>3006</v>
      </c>
      <c r="F941" t="s">
        <v>3020</v>
      </c>
      <c r="G941">
        <v>28</v>
      </c>
      <c r="I941">
        <v>358540</v>
      </c>
      <c r="J941">
        <v>11.01</v>
      </c>
      <c r="K941">
        <v>36</v>
      </c>
      <c r="L941" t="s">
        <v>3050</v>
      </c>
      <c r="M941">
        <v>636</v>
      </c>
      <c r="N941">
        <v>0</v>
      </c>
      <c r="O941" t="s">
        <v>3055</v>
      </c>
      <c r="P941" t="s">
        <v>3792</v>
      </c>
      <c r="Q941">
        <v>0.3155</v>
      </c>
    </row>
    <row r="942" spans="1:17" x14ac:dyDescent="0.35">
      <c r="A942" t="s">
        <v>944</v>
      </c>
      <c r="B942" t="s">
        <v>2432</v>
      </c>
      <c r="C942">
        <v>59</v>
      </c>
      <c r="D942" t="s">
        <v>2992</v>
      </c>
      <c r="E942" t="s">
        <v>2999</v>
      </c>
      <c r="F942" t="s">
        <v>3020</v>
      </c>
      <c r="G942">
        <v>29</v>
      </c>
      <c r="H942">
        <v>2032610</v>
      </c>
      <c r="I942">
        <v>428808</v>
      </c>
      <c r="J942">
        <v>19.05</v>
      </c>
      <c r="K942">
        <v>24</v>
      </c>
      <c r="L942" t="s">
        <v>3049</v>
      </c>
      <c r="M942">
        <v>666</v>
      </c>
      <c r="N942">
        <v>1</v>
      </c>
      <c r="O942" t="s">
        <v>3052</v>
      </c>
      <c r="P942" t="s">
        <v>3650</v>
      </c>
      <c r="Q942">
        <v>0.21099999999999999</v>
      </c>
    </row>
    <row r="943" spans="1:17" x14ac:dyDescent="0.35">
      <c r="A943" t="s">
        <v>945</v>
      </c>
      <c r="B943" t="s">
        <v>2433</v>
      </c>
      <c r="C943">
        <v>31</v>
      </c>
      <c r="D943" t="s">
        <v>2992</v>
      </c>
      <c r="E943" t="s">
        <v>3000</v>
      </c>
      <c r="F943" t="s">
        <v>3021</v>
      </c>
      <c r="G943">
        <v>5</v>
      </c>
      <c r="H943">
        <v>623316</v>
      </c>
      <c r="I943">
        <v>693249</v>
      </c>
      <c r="J943">
        <v>13</v>
      </c>
      <c r="K943">
        <v>60</v>
      </c>
      <c r="L943" t="s">
        <v>3048</v>
      </c>
      <c r="M943">
        <v>469</v>
      </c>
      <c r="N943">
        <v>7</v>
      </c>
      <c r="O943" t="s">
        <v>3057</v>
      </c>
      <c r="P943" t="s">
        <v>3793</v>
      </c>
      <c r="Q943">
        <v>1.1122000000000001</v>
      </c>
    </row>
    <row r="944" spans="1:17" x14ac:dyDescent="0.35">
      <c r="A944" t="s">
        <v>946</v>
      </c>
      <c r="B944" t="s">
        <v>2434</v>
      </c>
      <c r="C944">
        <v>29</v>
      </c>
      <c r="D944" t="s">
        <v>2992</v>
      </c>
      <c r="E944" t="s">
        <v>3005</v>
      </c>
      <c r="F944" t="s">
        <v>3018</v>
      </c>
      <c r="G944">
        <v>9</v>
      </c>
      <c r="H944">
        <v>1522057</v>
      </c>
      <c r="I944">
        <v>310446</v>
      </c>
      <c r="J944">
        <v>13.78</v>
      </c>
      <c r="K944">
        <v>12</v>
      </c>
      <c r="L944" t="s">
        <v>3049</v>
      </c>
      <c r="M944">
        <v>812</v>
      </c>
      <c r="N944">
        <v>7</v>
      </c>
      <c r="O944" t="s">
        <v>3053</v>
      </c>
      <c r="P944" t="s">
        <v>3794</v>
      </c>
      <c r="Q944">
        <v>0.20399999999999999</v>
      </c>
    </row>
    <row r="945" spans="1:17" x14ac:dyDescent="0.35">
      <c r="A945" t="s">
        <v>947</v>
      </c>
      <c r="B945" t="s">
        <v>2435</v>
      </c>
      <c r="C945">
        <v>28</v>
      </c>
      <c r="D945" t="s">
        <v>2992</v>
      </c>
      <c r="E945" t="s">
        <v>3003</v>
      </c>
      <c r="F945" t="s">
        <v>3018</v>
      </c>
      <c r="G945">
        <v>2</v>
      </c>
      <c r="H945">
        <v>1348932</v>
      </c>
      <c r="I945">
        <v>189934</v>
      </c>
      <c r="J945">
        <v>14.94</v>
      </c>
      <c r="K945">
        <v>24</v>
      </c>
      <c r="L945" t="s">
        <v>3046</v>
      </c>
      <c r="M945">
        <v>841</v>
      </c>
      <c r="N945">
        <v>5</v>
      </c>
      <c r="O945" t="s">
        <v>3053</v>
      </c>
      <c r="P945" t="s">
        <v>3795</v>
      </c>
      <c r="Q945">
        <v>0.14080000000000001</v>
      </c>
    </row>
    <row r="946" spans="1:17" x14ac:dyDescent="0.35">
      <c r="A946" t="s">
        <v>948</v>
      </c>
      <c r="B946" t="s">
        <v>2436</v>
      </c>
      <c r="C946">
        <v>62</v>
      </c>
      <c r="D946" t="s">
        <v>2992</v>
      </c>
      <c r="E946" t="s">
        <v>3006</v>
      </c>
      <c r="F946" t="s">
        <v>3021</v>
      </c>
      <c r="G946">
        <v>21</v>
      </c>
      <c r="H946">
        <v>2110082</v>
      </c>
      <c r="I946">
        <v>95403</v>
      </c>
      <c r="J946">
        <v>25.08</v>
      </c>
      <c r="K946">
        <v>24</v>
      </c>
      <c r="L946" t="s">
        <v>3046</v>
      </c>
      <c r="N946">
        <v>7</v>
      </c>
      <c r="O946" t="s">
        <v>3056</v>
      </c>
      <c r="P946" t="s">
        <v>3088</v>
      </c>
      <c r="Q946">
        <v>4.5199999999999997E-2</v>
      </c>
    </row>
    <row r="947" spans="1:17" x14ac:dyDescent="0.35">
      <c r="A947" t="s">
        <v>949</v>
      </c>
      <c r="B947" t="s">
        <v>2437</v>
      </c>
      <c r="C947">
        <v>25</v>
      </c>
      <c r="D947" t="s">
        <v>2992</v>
      </c>
      <c r="E947" t="s">
        <v>3003</v>
      </c>
      <c r="G947">
        <v>27</v>
      </c>
      <c r="H947">
        <v>928321</v>
      </c>
      <c r="I947">
        <v>672755</v>
      </c>
      <c r="J947">
        <v>10.87</v>
      </c>
      <c r="K947">
        <v>60</v>
      </c>
      <c r="L947" t="s">
        <v>3047</v>
      </c>
      <c r="M947">
        <v>775</v>
      </c>
      <c r="N947">
        <v>6</v>
      </c>
      <c r="O947" t="s">
        <v>3053</v>
      </c>
      <c r="P947" t="s">
        <v>3796</v>
      </c>
      <c r="Q947">
        <v>0.72470000000000001</v>
      </c>
    </row>
    <row r="948" spans="1:17" x14ac:dyDescent="0.35">
      <c r="A948" t="s">
        <v>950</v>
      </c>
      <c r="B948" t="s">
        <v>2438</v>
      </c>
      <c r="C948">
        <v>58</v>
      </c>
      <c r="D948" t="s">
        <v>2990</v>
      </c>
      <c r="E948" t="s">
        <v>3005</v>
      </c>
      <c r="F948" t="s">
        <v>3018</v>
      </c>
      <c r="G948">
        <v>11</v>
      </c>
      <c r="H948">
        <v>419968</v>
      </c>
      <c r="I948">
        <v>317016</v>
      </c>
      <c r="J948">
        <v>11.38</v>
      </c>
      <c r="K948">
        <v>24</v>
      </c>
      <c r="L948" t="s">
        <v>3051</v>
      </c>
      <c r="M948">
        <v>564</v>
      </c>
      <c r="N948">
        <v>7</v>
      </c>
      <c r="O948" t="s">
        <v>3052</v>
      </c>
      <c r="P948" t="s">
        <v>3451</v>
      </c>
      <c r="Q948">
        <v>0.75490000000000002</v>
      </c>
    </row>
    <row r="949" spans="1:17" x14ac:dyDescent="0.35">
      <c r="A949" t="s">
        <v>951</v>
      </c>
      <c r="B949" t="s">
        <v>2439</v>
      </c>
      <c r="C949">
        <v>64</v>
      </c>
      <c r="D949" t="s">
        <v>2992</v>
      </c>
      <c r="E949" t="s">
        <v>3002</v>
      </c>
      <c r="F949" t="s">
        <v>3019</v>
      </c>
      <c r="G949">
        <v>9</v>
      </c>
      <c r="H949">
        <v>687365</v>
      </c>
      <c r="I949">
        <v>541244</v>
      </c>
      <c r="J949">
        <v>16.899999999999999</v>
      </c>
      <c r="K949">
        <v>36</v>
      </c>
      <c r="L949" t="s">
        <v>3049</v>
      </c>
      <c r="M949">
        <v>319</v>
      </c>
      <c r="N949">
        <v>5</v>
      </c>
      <c r="O949" t="s">
        <v>3054</v>
      </c>
      <c r="P949" t="s">
        <v>3797</v>
      </c>
      <c r="Q949">
        <v>0.78739999999999999</v>
      </c>
    </row>
    <row r="950" spans="1:17" x14ac:dyDescent="0.35">
      <c r="A950" t="s">
        <v>952</v>
      </c>
      <c r="B950" t="s">
        <v>2440</v>
      </c>
      <c r="C950">
        <v>56</v>
      </c>
      <c r="D950" t="s">
        <v>2996</v>
      </c>
      <c r="E950" t="s">
        <v>3005</v>
      </c>
      <c r="F950" t="s">
        <v>3020</v>
      </c>
      <c r="G950">
        <v>7</v>
      </c>
      <c r="H950">
        <v>499972</v>
      </c>
      <c r="I950">
        <v>181081</v>
      </c>
      <c r="J950">
        <v>14.78</v>
      </c>
      <c r="K950">
        <v>60</v>
      </c>
      <c r="L950" t="s">
        <v>3050</v>
      </c>
      <c r="M950">
        <v>626</v>
      </c>
      <c r="N950">
        <v>4</v>
      </c>
      <c r="O950" t="s">
        <v>3053</v>
      </c>
      <c r="P950" t="s">
        <v>3798</v>
      </c>
      <c r="Q950">
        <v>0.36220000000000002</v>
      </c>
    </row>
    <row r="951" spans="1:17" x14ac:dyDescent="0.35">
      <c r="A951" t="s">
        <v>953</v>
      </c>
      <c r="B951" t="s">
        <v>2441</v>
      </c>
      <c r="C951">
        <v>54</v>
      </c>
      <c r="D951" t="s">
        <v>2992</v>
      </c>
      <c r="E951" t="s">
        <v>3006</v>
      </c>
      <c r="F951" t="s">
        <v>3021</v>
      </c>
      <c r="G951">
        <v>22</v>
      </c>
      <c r="H951">
        <v>931518</v>
      </c>
      <c r="I951">
        <v>143728</v>
      </c>
      <c r="J951">
        <v>8.73</v>
      </c>
      <c r="K951">
        <v>48</v>
      </c>
      <c r="L951" t="s">
        <v>3048</v>
      </c>
      <c r="M951">
        <v>658</v>
      </c>
      <c r="N951">
        <v>3</v>
      </c>
      <c r="O951" t="s">
        <v>3056</v>
      </c>
      <c r="P951" t="s">
        <v>3145</v>
      </c>
      <c r="Q951">
        <v>0.15429999999999999</v>
      </c>
    </row>
    <row r="952" spans="1:17" x14ac:dyDescent="0.35">
      <c r="A952" t="s">
        <v>954</v>
      </c>
      <c r="B952" t="s">
        <v>2442</v>
      </c>
      <c r="C952">
        <v>46</v>
      </c>
      <c r="D952" t="s">
        <v>2992</v>
      </c>
      <c r="E952" t="s">
        <v>2999</v>
      </c>
      <c r="F952" t="s">
        <v>3018</v>
      </c>
      <c r="G952">
        <v>3</v>
      </c>
      <c r="H952">
        <v>239182</v>
      </c>
      <c r="I952">
        <v>443177</v>
      </c>
      <c r="J952">
        <v>21.59</v>
      </c>
      <c r="K952">
        <v>24</v>
      </c>
      <c r="L952" t="s">
        <v>3046</v>
      </c>
      <c r="M952">
        <v>766</v>
      </c>
      <c r="N952">
        <v>6</v>
      </c>
      <c r="O952" t="s">
        <v>3056</v>
      </c>
      <c r="P952" t="s">
        <v>3799</v>
      </c>
      <c r="Q952">
        <v>1.8529</v>
      </c>
    </row>
    <row r="953" spans="1:17" x14ac:dyDescent="0.35">
      <c r="A953" t="s">
        <v>955</v>
      </c>
      <c r="B953" t="s">
        <v>2443</v>
      </c>
      <c r="C953">
        <v>49</v>
      </c>
      <c r="D953" t="s">
        <v>2990</v>
      </c>
      <c r="E953" t="s">
        <v>3005</v>
      </c>
      <c r="F953" t="s">
        <v>3018</v>
      </c>
      <c r="G953">
        <v>19</v>
      </c>
      <c r="H953">
        <v>326470</v>
      </c>
      <c r="I953">
        <v>256562</v>
      </c>
      <c r="J953">
        <v>24.11</v>
      </c>
      <c r="K953">
        <v>36</v>
      </c>
      <c r="L953" t="s">
        <v>3048</v>
      </c>
      <c r="M953">
        <v>712</v>
      </c>
      <c r="N953">
        <v>0</v>
      </c>
      <c r="O953" t="s">
        <v>3055</v>
      </c>
      <c r="P953" t="s">
        <v>3149</v>
      </c>
      <c r="Q953">
        <v>0.78590000000000004</v>
      </c>
    </row>
    <row r="954" spans="1:17" x14ac:dyDescent="0.35">
      <c r="A954" t="s">
        <v>956</v>
      </c>
      <c r="B954" t="s">
        <v>2444</v>
      </c>
      <c r="C954">
        <v>49</v>
      </c>
      <c r="D954" t="s">
        <v>2990</v>
      </c>
      <c r="E954" t="s">
        <v>3002</v>
      </c>
      <c r="F954" t="s">
        <v>3019</v>
      </c>
      <c r="G954">
        <v>26</v>
      </c>
      <c r="H954">
        <v>1322953</v>
      </c>
      <c r="I954">
        <v>173245</v>
      </c>
      <c r="J954">
        <v>15.44</v>
      </c>
      <c r="K954">
        <v>12</v>
      </c>
      <c r="L954" t="s">
        <v>3048</v>
      </c>
      <c r="M954">
        <v>648</v>
      </c>
      <c r="N954">
        <v>3</v>
      </c>
      <c r="O954" t="s">
        <v>3057</v>
      </c>
      <c r="P954" t="s">
        <v>3800</v>
      </c>
      <c r="Q954">
        <v>0.13100000000000001</v>
      </c>
    </row>
    <row r="955" spans="1:17" x14ac:dyDescent="0.35">
      <c r="A955" t="s">
        <v>777</v>
      </c>
      <c r="B955" t="s">
        <v>2266</v>
      </c>
      <c r="C955">
        <v>53</v>
      </c>
      <c r="D955" t="s">
        <v>2990</v>
      </c>
      <c r="E955" t="s">
        <v>3006</v>
      </c>
      <c r="G955">
        <v>0</v>
      </c>
      <c r="H955">
        <v>2166062</v>
      </c>
      <c r="I955">
        <v>631985</v>
      </c>
      <c r="J955">
        <v>13.63</v>
      </c>
      <c r="K955">
        <v>36</v>
      </c>
      <c r="L955" t="s">
        <v>3051</v>
      </c>
      <c r="M955">
        <v>322</v>
      </c>
      <c r="N955">
        <v>1</v>
      </c>
      <c r="O955" t="s">
        <v>3057</v>
      </c>
      <c r="P955" t="s">
        <v>3692</v>
      </c>
      <c r="Q955">
        <v>0.2918</v>
      </c>
    </row>
    <row r="956" spans="1:17" x14ac:dyDescent="0.35">
      <c r="A956" t="s">
        <v>957</v>
      </c>
      <c r="B956" t="s">
        <v>2445</v>
      </c>
      <c r="C956">
        <v>48</v>
      </c>
      <c r="D956" t="s">
        <v>2992</v>
      </c>
      <c r="E956" t="s">
        <v>2998</v>
      </c>
      <c r="F956" t="s">
        <v>3020</v>
      </c>
      <c r="G956">
        <v>22</v>
      </c>
      <c r="H956">
        <v>445798</v>
      </c>
      <c r="I956">
        <v>119003</v>
      </c>
      <c r="J956">
        <v>9.6199999999999992</v>
      </c>
      <c r="K956">
        <v>48</v>
      </c>
      <c r="L956" t="s">
        <v>3051</v>
      </c>
      <c r="M956">
        <v>796</v>
      </c>
      <c r="N956">
        <v>6</v>
      </c>
      <c r="O956" t="s">
        <v>3055</v>
      </c>
      <c r="P956" t="s">
        <v>3476</v>
      </c>
      <c r="Q956">
        <v>0.26690000000000003</v>
      </c>
    </row>
    <row r="957" spans="1:17" x14ac:dyDescent="0.35">
      <c r="A957" t="s">
        <v>958</v>
      </c>
      <c r="B957" t="s">
        <v>2446</v>
      </c>
      <c r="C957">
        <v>54</v>
      </c>
      <c r="D957" t="s">
        <v>2992</v>
      </c>
      <c r="E957" t="s">
        <v>3003</v>
      </c>
      <c r="F957" t="s">
        <v>3020</v>
      </c>
      <c r="G957">
        <v>19</v>
      </c>
      <c r="H957">
        <v>1890524</v>
      </c>
      <c r="I957">
        <v>270144</v>
      </c>
      <c r="J957">
        <v>25.72</v>
      </c>
      <c r="K957">
        <v>24</v>
      </c>
      <c r="L957" t="s">
        <v>3051</v>
      </c>
      <c r="M957">
        <v>485</v>
      </c>
      <c r="N957">
        <v>2</v>
      </c>
      <c r="O957" t="s">
        <v>3057</v>
      </c>
      <c r="P957" t="s">
        <v>3801</v>
      </c>
      <c r="Q957">
        <v>0.1429</v>
      </c>
    </row>
    <row r="958" spans="1:17" x14ac:dyDescent="0.35">
      <c r="A958" t="s">
        <v>959</v>
      </c>
      <c r="B958" t="s">
        <v>2447</v>
      </c>
      <c r="C958">
        <v>56</v>
      </c>
      <c r="D958" t="s">
        <v>2990</v>
      </c>
      <c r="E958" t="s">
        <v>3002</v>
      </c>
      <c r="F958" t="s">
        <v>3021</v>
      </c>
      <c r="G958">
        <v>27</v>
      </c>
      <c r="H958">
        <v>1972725</v>
      </c>
      <c r="I958">
        <v>113330</v>
      </c>
      <c r="J958">
        <v>12.03</v>
      </c>
      <c r="K958">
        <v>12</v>
      </c>
      <c r="L958" t="s">
        <v>3049</v>
      </c>
      <c r="M958">
        <v>355</v>
      </c>
      <c r="N958">
        <v>4</v>
      </c>
      <c r="O958" t="s">
        <v>3054</v>
      </c>
      <c r="P958" t="s">
        <v>3292</v>
      </c>
      <c r="Q958">
        <v>5.74E-2</v>
      </c>
    </row>
    <row r="959" spans="1:17" x14ac:dyDescent="0.35">
      <c r="A959" t="s">
        <v>960</v>
      </c>
      <c r="B959" t="s">
        <v>2448</v>
      </c>
      <c r="C959">
        <v>41</v>
      </c>
      <c r="D959" t="s">
        <v>2990</v>
      </c>
      <c r="E959" t="s">
        <v>2998</v>
      </c>
      <c r="F959" t="s">
        <v>3018</v>
      </c>
      <c r="G959">
        <v>28</v>
      </c>
      <c r="H959">
        <v>2126793</v>
      </c>
      <c r="I959">
        <v>224535</v>
      </c>
      <c r="J959">
        <v>17.72</v>
      </c>
      <c r="K959">
        <v>12</v>
      </c>
      <c r="L959" t="s">
        <v>3046</v>
      </c>
      <c r="M959">
        <v>647</v>
      </c>
      <c r="N959">
        <v>6</v>
      </c>
      <c r="O959" t="s">
        <v>3056</v>
      </c>
      <c r="P959" t="s">
        <v>3802</v>
      </c>
      <c r="Q959">
        <v>0.1056</v>
      </c>
    </row>
    <row r="960" spans="1:17" x14ac:dyDescent="0.35">
      <c r="A960" t="s">
        <v>961</v>
      </c>
      <c r="B960" t="s">
        <v>2449</v>
      </c>
      <c r="C960">
        <v>44</v>
      </c>
      <c r="D960" t="s">
        <v>2992</v>
      </c>
      <c r="E960" t="s">
        <v>2999</v>
      </c>
      <c r="F960" t="s">
        <v>3020</v>
      </c>
      <c r="G960">
        <v>9</v>
      </c>
      <c r="H960">
        <v>901001</v>
      </c>
      <c r="I960">
        <v>433523</v>
      </c>
      <c r="J960">
        <v>15.99</v>
      </c>
      <c r="K960">
        <v>36</v>
      </c>
      <c r="L960" t="s">
        <v>3050</v>
      </c>
      <c r="M960">
        <v>737</v>
      </c>
      <c r="N960">
        <v>3</v>
      </c>
      <c r="O960" t="s">
        <v>3053</v>
      </c>
      <c r="P960" t="s">
        <v>3803</v>
      </c>
      <c r="Q960">
        <v>0.48120000000000002</v>
      </c>
    </row>
    <row r="961" spans="1:17" x14ac:dyDescent="0.35">
      <c r="A961" t="s">
        <v>962</v>
      </c>
      <c r="B961" t="s">
        <v>2450</v>
      </c>
      <c r="C961">
        <v>48</v>
      </c>
      <c r="D961" t="s">
        <v>2992</v>
      </c>
      <c r="E961" t="s">
        <v>3017</v>
      </c>
      <c r="F961" t="s">
        <v>3019</v>
      </c>
      <c r="G961">
        <v>21</v>
      </c>
      <c r="H961">
        <v>2020083</v>
      </c>
      <c r="I961">
        <v>217097</v>
      </c>
      <c r="J961">
        <v>11.36</v>
      </c>
      <c r="K961">
        <v>36</v>
      </c>
      <c r="L961" t="s">
        <v>3049</v>
      </c>
      <c r="M961">
        <v>379</v>
      </c>
      <c r="N961">
        <v>7</v>
      </c>
      <c r="O961" t="s">
        <v>3057</v>
      </c>
      <c r="P961" t="s">
        <v>3680</v>
      </c>
      <c r="Q961">
        <v>0.1075</v>
      </c>
    </row>
    <row r="962" spans="1:17" x14ac:dyDescent="0.35">
      <c r="A962" t="s">
        <v>963</v>
      </c>
      <c r="B962" t="s">
        <v>2451</v>
      </c>
      <c r="C962">
        <v>50</v>
      </c>
      <c r="E962" t="s">
        <v>2998</v>
      </c>
      <c r="F962" t="s">
        <v>3020</v>
      </c>
      <c r="G962">
        <v>7</v>
      </c>
      <c r="H962">
        <v>2049059</v>
      </c>
      <c r="I962">
        <v>33261</v>
      </c>
      <c r="J962">
        <v>16.37</v>
      </c>
      <c r="K962">
        <v>36</v>
      </c>
      <c r="L962" t="s">
        <v>3047</v>
      </c>
      <c r="M962">
        <v>650</v>
      </c>
      <c r="N962">
        <v>1</v>
      </c>
      <c r="O962" t="s">
        <v>3057</v>
      </c>
      <c r="P962" t="s">
        <v>3804</v>
      </c>
      <c r="Q962">
        <v>1.6199999999999999E-2</v>
      </c>
    </row>
    <row r="963" spans="1:17" x14ac:dyDescent="0.35">
      <c r="A963" t="s">
        <v>964</v>
      </c>
      <c r="B963" t="s">
        <v>2452</v>
      </c>
      <c r="C963">
        <v>26</v>
      </c>
      <c r="D963" t="s">
        <v>2990</v>
      </c>
      <c r="E963" t="s">
        <v>3002</v>
      </c>
      <c r="F963" t="s">
        <v>3021</v>
      </c>
      <c r="G963">
        <v>10</v>
      </c>
      <c r="H963">
        <v>2172825</v>
      </c>
      <c r="I963">
        <v>548714</v>
      </c>
      <c r="J963">
        <v>13.06</v>
      </c>
      <c r="K963">
        <v>24</v>
      </c>
      <c r="L963" t="s">
        <v>3046</v>
      </c>
      <c r="M963">
        <v>566</v>
      </c>
      <c r="N963">
        <v>6</v>
      </c>
      <c r="O963" t="s">
        <v>3053</v>
      </c>
      <c r="P963" t="s">
        <v>3805</v>
      </c>
      <c r="Q963">
        <v>0.2525</v>
      </c>
    </row>
    <row r="964" spans="1:17" x14ac:dyDescent="0.35">
      <c r="A964" t="s">
        <v>965</v>
      </c>
      <c r="B964" t="s">
        <v>2453</v>
      </c>
      <c r="C964">
        <v>34</v>
      </c>
      <c r="E964" t="s">
        <v>3002</v>
      </c>
      <c r="F964" t="s">
        <v>3020</v>
      </c>
      <c r="G964">
        <v>26</v>
      </c>
      <c r="H964">
        <v>1955922</v>
      </c>
      <c r="I964">
        <v>523516</v>
      </c>
      <c r="J964">
        <v>8.94</v>
      </c>
      <c r="K964">
        <v>60</v>
      </c>
      <c r="L964" t="s">
        <v>3046</v>
      </c>
      <c r="M964">
        <v>347</v>
      </c>
      <c r="N964">
        <v>3</v>
      </c>
      <c r="O964" t="s">
        <v>3052</v>
      </c>
      <c r="P964" t="s">
        <v>3806</v>
      </c>
      <c r="Q964">
        <v>0.26769999999999999</v>
      </c>
    </row>
    <row r="965" spans="1:17" x14ac:dyDescent="0.35">
      <c r="A965" t="s">
        <v>966</v>
      </c>
      <c r="B965" t="s">
        <v>2454</v>
      </c>
      <c r="C965">
        <v>56</v>
      </c>
      <c r="D965" t="s">
        <v>2992</v>
      </c>
      <c r="E965" t="s">
        <v>2998</v>
      </c>
      <c r="F965" t="s">
        <v>3018</v>
      </c>
      <c r="G965">
        <v>16</v>
      </c>
      <c r="H965">
        <v>1948967</v>
      </c>
      <c r="I965">
        <v>515413</v>
      </c>
      <c r="J965">
        <v>18.010000000000002</v>
      </c>
      <c r="K965">
        <v>60</v>
      </c>
      <c r="L965" t="s">
        <v>3050</v>
      </c>
      <c r="M965">
        <v>359</v>
      </c>
      <c r="N965">
        <v>5</v>
      </c>
      <c r="O965" t="s">
        <v>3056</v>
      </c>
      <c r="P965" t="s">
        <v>3691</v>
      </c>
      <c r="Q965">
        <v>0.26450000000000001</v>
      </c>
    </row>
    <row r="966" spans="1:17" x14ac:dyDescent="0.35">
      <c r="A966" t="s">
        <v>967</v>
      </c>
      <c r="B966" t="s">
        <v>2455</v>
      </c>
      <c r="C966">
        <v>30</v>
      </c>
      <c r="D966" t="s">
        <v>2990</v>
      </c>
      <c r="E966" t="s">
        <v>3003</v>
      </c>
      <c r="F966" t="s">
        <v>3018</v>
      </c>
      <c r="G966">
        <v>6</v>
      </c>
      <c r="H966">
        <v>2345251</v>
      </c>
      <c r="I966">
        <v>725191</v>
      </c>
      <c r="J966">
        <v>19.57</v>
      </c>
      <c r="K966">
        <v>60</v>
      </c>
      <c r="L966" t="s">
        <v>3046</v>
      </c>
      <c r="M966">
        <v>796</v>
      </c>
      <c r="N966">
        <v>3</v>
      </c>
      <c r="O966" t="s">
        <v>3052</v>
      </c>
      <c r="P966" t="s">
        <v>3807</v>
      </c>
      <c r="Q966">
        <v>0.30919999999999997</v>
      </c>
    </row>
    <row r="967" spans="1:17" x14ac:dyDescent="0.35">
      <c r="A967" t="s">
        <v>968</v>
      </c>
      <c r="B967" t="s">
        <v>2456</v>
      </c>
      <c r="C967">
        <v>47</v>
      </c>
      <c r="D967" t="s">
        <v>2992</v>
      </c>
      <c r="E967" t="s">
        <v>2999</v>
      </c>
      <c r="F967" t="s">
        <v>3020</v>
      </c>
      <c r="G967">
        <v>25</v>
      </c>
      <c r="H967">
        <v>533299</v>
      </c>
      <c r="I967">
        <v>591441</v>
      </c>
      <c r="J967">
        <v>13.02</v>
      </c>
      <c r="K967">
        <v>36</v>
      </c>
      <c r="L967" t="s">
        <v>3046</v>
      </c>
      <c r="M967">
        <v>452</v>
      </c>
      <c r="N967">
        <v>1</v>
      </c>
      <c r="O967" t="s">
        <v>3053</v>
      </c>
      <c r="P967" t="s">
        <v>3808</v>
      </c>
      <c r="Q967">
        <v>1.109</v>
      </c>
    </row>
    <row r="968" spans="1:17" x14ac:dyDescent="0.35">
      <c r="A968" t="s">
        <v>969</v>
      </c>
      <c r="B968" t="s">
        <v>2457</v>
      </c>
      <c r="C968">
        <v>25</v>
      </c>
      <c r="D968" t="s">
        <v>2990</v>
      </c>
      <c r="E968" t="s">
        <v>3006</v>
      </c>
      <c r="F968" t="s">
        <v>3020</v>
      </c>
      <c r="G968">
        <v>5</v>
      </c>
      <c r="H968">
        <v>219279</v>
      </c>
      <c r="I968">
        <v>309134</v>
      </c>
      <c r="J968">
        <v>8.44</v>
      </c>
      <c r="K968">
        <v>48</v>
      </c>
      <c r="L968" t="s">
        <v>3051</v>
      </c>
      <c r="M968">
        <v>362</v>
      </c>
      <c r="N968">
        <v>3</v>
      </c>
      <c r="O968" t="s">
        <v>3052</v>
      </c>
      <c r="P968" t="s">
        <v>3809</v>
      </c>
      <c r="Q968">
        <v>1.4097999999999999</v>
      </c>
    </row>
    <row r="969" spans="1:17" x14ac:dyDescent="0.35">
      <c r="A969" t="s">
        <v>970</v>
      </c>
      <c r="B969" t="s">
        <v>2458</v>
      </c>
      <c r="C969">
        <v>36</v>
      </c>
      <c r="D969" t="s">
        <v>2990</v>
      </c>
      <c r="E969" t="s">
        <v>3000</v>
      </c>
      <c r="F969" t="s">
        <v>3019</v>
      </c>
      <c r="G969">
        <v>25</v>
      </c>
      <c r="H969">
        <v>812259</v>
      </c>
      <c r="I969">
        <v>289956</v>
      </c>
      <c r="J969">
        <v>23.88</v>
      </c>
      <c r="K969">
        <v>36</v>
      </c>
      <c r="L969" t="s">
        <v>3051</v>
      </c>
      <c r="M969">
        <v>341</v>
      </c>
      <c r="N969">
        <v>2</v>
      </c>
      <c r="O969" t="s">
        <v>3053</v>
      </c>
      <c r="P969" t="s">
        <v>3810</v>
      </c>
      <c r="Q969">
        <v>0.35699999999999998</v>
      </c>
    </row>
    <row r="970" spans="1:17" x14ac:dyDescent="0.35">
      <c r="A970" t="s">
        <v>971</v>
      </c>
      <c r="B970" t="s">
        <v>2459</v>
      </c>
      <c r="C970">
        <v>59</v>
      </c>
      <c r="D970" t="s">
        <v>2990</v>
      </c>
      <c r="E970" t="s">
        <v>3007</v>
      </c>
      <c r="F970" t="s">
        <v>3021</v>
      </c>
      <c r="G970">
        <v>9</v>
      </c>
      <c r="H970">
        <v>1421968</v>
      </c>
      <c r="I970">
        <v>423551</v>
      </c>
      <c r="J970">
        <v>22.52</v>
      </c>
      <c r="K970">
        <v>48</v>
      </c>
      <c r="L970" t="s">
        <v>3049</v>
      </c>
      <c r="M970">
        <v>316</v>
      </c>
      <c r="N970">
        <v>5</v>
      </c>
      <c r="O970" t="s">
        <v>3053</v>
      </c>
      <c r="P970" t="s">
        <v>3811</v>
      </c>
      <c r="Q970">
        <v>0.2979</v>
      </c>
    </row>
    <row r="971" spans="1:17" x14ac:dyDescent="0.35">
      <c r="A971" t="s">
        <v>972</v>
      </c>
      <c r="B971" t="s">
        <v>2460</v>
      </c>
      <c r="C971">
        <v>32</v>
      </c>
      <c r="D971" t="s">
        <v>2993</v>
      </c>
      <c r="E971" t="s">
        <v>2999</v>
      </c>
      <c r="F971" t="s">
        <v>3021</v>
      </c>
      <c r="G971">
        <v>19</v>
      </c>
      <c r="H971">
        <v>298413</v>
      </c>
      <c r="I971">
        <v>162180</v>
      </c>
      <c r="J971">
        <v>10.07</v>
      </c>
      <c r="K971">
        <v>60</v>
      </c>
      <c r="L971" t="s">
        <v>3049</v>
      </c>
      <c r="M971">
        <v>616</v>
      </c>
      <c r="N971">
        <v>3</v>
      </c>
      <c r="O971" t="s">
        <v>3054</v>
      </c>
      <c r="P971" t="s">
        <v>3812</v>
      </c>
      <c r="Q971">
        <v>0.54349999999999998</v>
      </c>
    </row>
    <row r="972" spans="1:17" x14ac:dyDescent="0.35">
      <c r="A972" t="s">
        <v>973</v>
      </c>
      <c r="B972" t="s">
        <v>2461</v>
      </c>
      <c r="C972">
        <v>53</v>
      </c>
      <c r="D972" t="s">
        <v>2990</v>
      </c>
      <c r="E972" t="s">
        <v>3006</v>
      </c>
      <c r="F972" t="s">
        <v>3018</v>
      </c>
      <c r="G972">
        <v>11</v>
      </c>
      <c r="H972">
        <v>1388052</v>
      </c>
      <c r="I972">
        <v>657199</v>
      </c>
      <c r="J972">
        <v>8.7899999999999991</v>
      </c>
      <c r="K972">
        <v>24</v>
      </c>
      <c r="L972" t="s">
        <v>3047</v>
      </c>
      <c r="M972">
        <v>767</v>
      </c>
      <c r="N972">
        <v>5</v>
      </c>
      <c r="O972" t="s">
        <v>3055</v>
      </c>
      <c r="P972" t="s">
        <v>3121</v>
      </c>
      <c r="Q972">
        <v>0.47349999999999998</v>
      </c>
    </row>
    <row r="973" spans="1:17" x14ac:dyDescent="0.35">
      <c r="A973" t="s">
        <v>974</v>
      </c>
      <c r="B973" t="s">
        <v>2462</v>
      </c>
      <c r="C973">
        <v>50</v>
      </c>
      <c r="D973" t="s">
        <v>2992</v>
      </c>
      <c r="E973" t="s">
        <v>3001</v>
      </c>
      <c r="F973" t="s">
        <v>3019</v>
      </c>
      <c r="G973">
        <v>1</v>
      </c>
      <c r="H973">
        <v>1559904</v>
      </c>
      <c r="I973">
        <v>392251</v>
      </c>
      <c r="J973">
        <v>13.12</v>
      </c>
      <c r="K973">
        <v>60</v>
      </c>
      <c r="L973" t="s">
        <v>3048</v>
      </c>
      <c r="M973">
        <v>675</v>
      </c>
      <c r="N973">
        <v>0</v>
      </c>
      <c r="O973" t="s">
        <v>3055</v>
      </c>
      <c r="P973" t="s">
        <v>3813</v>
      </c>
      <c r="Q973">
        <v>0.2515</v>
      </c>
    </row>
    <row r="974" spans="1:17" x14ac:dyDescent="0.35">
      <c r="A974" t="s">
        <v>975</v>
      </c>
      <c r="B974" t="s">
        <v>1972</v>
      </c>
      <c r="C974">
        <v>50</v>
      </c>
      <c r="D974" t="s">
        <v>2990</v>
      </c>
      <c r="E974" t="s">
        <v>3005</v>
      </c>
      <c r="F974" t="s">
        <v>3020</v>
      </c>
      <c r="G974">
        <v>13</v>
      </c>
      <c r="H974">
        <v>2097043</v>
      </c>
      <c r="I974">
        <v>775675</v>
      </c>
      <c r="J974">
        <v>13.18</v>
      </c>
      <c r="K974">
        <v>48</v>
      </c>
      <c r="L974" t="s">
        <v>3049</v>
      </c>
      <c r="M974">
        <v>338</v>
      </c>
      <c r="N974">
        <v>4</v>
      </c>
      <c r="O974" t="s">
        <v>3052</v>
      </c>
      <c r="P974" t="s">
        <v>3814</v>
      </c>
      <c r="Q974">
        <v>0.36990000000000001</v>
      </c>
    </row>
    <row r="975" spans="1:17" x14ac:dyDescent="0.35">
      <c r="A975" t="s">
        <v>976</v>
      </c>
      <c r="B975" t="s">
        <v>2463</v>
      </c>
      <c r="C975">
        <v>58</v>
      </c>
      <c r="D975" t="s">
        <v>2992</v>
      </c>
      <c r="E975" t="s">
        <v>3000</v>
      </c>
      <c r="F975" t="s">
        <v>3021</v>
      </c>
      <c r="G975">
        <v>15</v>
      </c>
      <c r="H975">
        <v>1907408</v>
      </c>
      <c r="I975">
        <v>540616</v>
      </c>
      <c r="J975">
        <v>11.03</v>
      </c>
      <c r="K975">
        <v>24</v>
      </c>
      <c r="L975" t="s">
        <v>3049</v>
      </c>
      <c r="M975">
        <v>574</v>
      </c>
      <c r="N975">
        <v>0</v>
      </c>
      <c r="O975" t="s">
        <v>3054</v>
      </c>
      <c r="P975" t="s">
        <v>3251</v>
      </c>
      <c r="Q975">
        <v>0.28339999999999999</v>
      </c>
    </row>
    <row r="976" spans="1:17" x14ac:dyDescent="0.35">
      <c r="A976" t="s">
        <v>977</v>
      </c>
      <c r="B976" t="s">
        <v>2464</v>
      </c>
      <c r="C976">
        <v>53</v>
      </c>
      <c r="D976" t="s">
        <v>2992</v>
      </c>
      <c r="E976" t="s">
        <v>2998</v>
      </c>
      <c r="F976" t="s">
        <v>3021</v>
      </c>
      <c r="G976">
        <v>18</v>
      </c>
      <c r="H976">
        <v>976657</v>
      </c>
      <c r="I976">
        <v>512402</v>
      </c>
      <c r="J976">
        <v>21.76</v>
      </c>
      <c r="K976">
        <v>12</v>
      </c>
      <c r="L976" t="s">
        <v>3046</v>
      </c>
      <c r="M976">
        <v>501</v>
      </c>
      <c r="N976">
        <v>1</v>
      </c>
      <c r="O976" t="s">
        <v>3054</v>
      </c>
      <c r="P976" t="s">
        <v>3815</v>
      </c>
      <c r="Q976">
        <v>0.52459999999999996</v>
      </c>
    </row>
    <row r="977" spans="1:17" x14ac:dyDescent="0.35">
      <c r="A977" t="s">
        <v>978</v>
      </c>
      <c r="B977" t="s">
        <v>2465</v>
      </c>
      <c r="C977">
        <v>57</v>
      </c>
      <c r="D977" t="s">
        <v>2990</v>
      </c>
      <c r="E977" t="s">
        <v>3002</v>
      </c>
      <c r="F977" t="s">
        <v>3021</v>
      </c>
      <c r="G977">
        <v>15</v>
      </c>
      <c r="H977">
        <v>1064056</v>
      </c>
      <c r="I977">
        <v>691009</v>
      </c>
      <c r="J977">
        <v>15.02</v>
      </c>
      <c r="K977">
        <v>12</v>
      </c>
      <c r="L977" t="s">
        <v>3050</v>
      </c>
      <c r="M977">
        <v>720</v>
      </c>
      <c r="N977">
        <v>2</v>
      </c>
      <c r="O977" t="s">
        <v>3056</v>
      </c>
      <c r="P977" t="s">
        <v>3482</v>
      </c>
      <c r="Q977">
        <v>0.64939999999999998</v>
      </c>
    </row>
    <row r="978" spans="1:17" x14ac:dyDescent="0.35">
      <c r="A978" t="s">
        <v>979</v>
      </c>
      <c r="B978" t="s">
        <v>2466</v>
      </c>
      <c r="C978">
        <v>54</v>
      </c>
      <c r="D978" t="s">
        <v>2992</v>
      </c>
      <c r="E978" t="s">
        <v>3005</v>
      </c>
      <c r="F978" t="s">
        <v>3018</v>
      </c>
      <c r="G978">
        <v>20</v>
      </c>
      <c r="H978">
        <v>2027865</v>
      </c>
      <c r="I978">
        <v>611343</v>
      </c>
      <c r="J978">
        <v>13.55</v>
      </c>
      <c r="K978">
        <v>48</v>
      </c>
      <c r="L978" t="s">
        <v>3051</v>
      </c>
      <c r="M978">
        <v>656</v>
      </c>
      <c r="N978">
        <v>0</v>
      </c>
      <c r="O978" t="s">
        <v>3057</v>
      </c>
      <c r="P978" t="s">
        <v>3816</v>
      </c>
      <c r="Q978">
        <v>0.30149999999999999</v>
      </c>
    </row>
    <row r="979" spans="1:17" x14ac:dyDescent="0.35">
      <c r="A979" t="s">
        <v>980</v>
      </c>
      <c r="B979" t="s">
        <v>2467</v>
      </c>
      <c r="C979">
        <v>61</v>
      </c>
      <c r="D979" t="s">
        <v>2992</v>
      </c>
      <c r="E979" t="s">
        <v>3005</v>
      </c>
      <c r="F979" t="s">
        <v>3018</v>
      </c>
      <c r="G979">
        <v>29</v>
      </c>
      <c r="H979">
        <v>419017</v>
      </c>
      <c r="I979">
        <v>267572</v>
      </c>
      <c r="J979">
        <v>26.3</v>
      </c>
      <c r="K979">
        <v>60</v>
      </c>
      <c r="L979" t="s">
        <v>3047</v>
      </c>
      <c r="M979">
        <v>480</v>
      </c>
      <c r="N979">
        <v>7</v>
      </c>
      <c r="O979" t="s">
        <v>3053</v>
      </c>
      <c r="P979" t="s">
        <v>3817</v>
      </c>
      <c r="Q979">
        <v>0.63859999999999995</v>
      </c>
    </row>
    <row r="980" spans="1:17" x14ac:dyDescent="0.35">
      <c r="A980" t="s">
        <v>981</v>
      </c>
      <c r="B980" t="s">
        <v>2468</v>
      </c>
      <c r="C980">
        <v>57</v>
      </c>
      <c r="E980" t="s">
        <v>3006</v>
      </c>
      <c r="F980" t="s">
        <v>3021</v>
      </c>
      <c r="G980">
        <v>23</v>
      </c>
      <c r="H980">
        <v>843689</v>
      </c>
      <c r="I980">
        <v>644624</v>
      </c>
      <c r="J980">
        <v>22.85</v>
      </c>
      <c r="K980">
        <v>24</v>
      </c>
      <c r="L980" t="s">
        <v>3047</v>
      </c>
      <c r="M980">
        <v>674</v>
      </c>
      <c r="N980">
        <v>7</v>
      </c>
      <c r="O980" t="s">
        <v>3053</v>
      </c>
      <c r="P980" t="s">
        <v>3818</v>
      </c>
      <c r="Q980">
        <v>0.7641</v>
      </c>
    </row>
    <row r="981" spans="1:17" x14ac:dyDescent="0.35">
      <c r="A981" t="s">
        <v>982</v>
      </c>
      <c r="B981" t="s">
        <v>2469</v>
      </c>
      <c r="C981">
        <v>29</v>
      </c>
      <c r="D981" t="s">
        <v>2990</v>
      </c>
      <c r="E981" t="s">
        <v>3014</v>
      </c>
      <c r="F981" t="s">
        <v>3020</v>
      </c>
      <c r="G981">
        <v>22</v>
      </c>
      <c r="H981">
        <v>1831143</v>
      </c>
      <c r="I981">
        <v>533951</v>
      </c>
      <c r="J981">
        <v>27.07</v>
      </c>
      <c r="K981">
        <v>12</v>
      </c>
      <c r="L981" t="s">
        <v>3050</v>
      </c>
      <c r="M981">
        <v>340</v>
      </c>
      <c r="N981">
        <v>4</v>
      </c>
      <c r="O981" t="s">
        <v>3057</v>
      </c>
      <c r="P981" t="s">
        <v>3819</v>
      </c>
      <c r="Q981">
        <v>0.29160000000000003</v>
      </c>
    </row>
    <row r="982" spans="1:17" x14ac:dyDescent="0.35">
      <c r="A982" t="s">
        <v>983</v>
      </c>
      <c r="B982" t="s">
        <v>2470</v>
      </c>
      <c r="C982">
        <v>40</v>
      </c>
      <c r="D982" t="s">
        <v>2990</v>
      </c>
      <c r="E982" t="s">
        <v>2999</v>
      </c>
      <c r="F982" t="s">
        <v>3018</v>
      </c>
      <c r="G982">
        <v>5</v>
      </c>
      <c r="H982">
        <v>1594022</v>
      </c>
      <c r="I982">
        <v>81753</v>
      </c>
      <c r="J982">
        <v>9.83</v>
      </c>
      <c r="K982">
        <v>24</v>
      </c>
      <c r="L982" t="s">
        <v>3051</v>
      </c>
      <c r="M982">
        <v>467</v>
      </c>
      <c r="N982">
        <v>2</v>
      </c>
      <c r="O982" t="s">
        <v>3054</v>
      </c>
      <c r="P982" t="s">
        <v>3162</v>
      </c>
      <c r="Q982">
        <v>5.1299999999999998E-2</v>
      </c>
    </row>
    <row r="983" spans="1:17" x14ac:dyDescent="0.35">
      <c r="A983" t="s">
        <v>984</v>
      </c>
      <c r="B983" t="s">
        <v>2471</v>
      </c>
      <c r="C983">
        <v>30</v>
      </c>
      <c r="D983" t="s">
        <v>2992</v>
      </c>
      <c r="E983" t="s">
        <v>3007</v>
      </c>
      <c r="F983" t="s">
        <v>3019</v>
      </c>
      <c r="G983">
        <v>24</v>
      </c>
      <c r="H983">
        <v>2312786</v>
      </c>
      <c r="I983">
        <v>99818</v>
      </c>
      <c r="J983">
        <v>18.07</v>
      </c>
      <c r="K983">
        <v>24</v>
      </c>
      <c r="L983" t="s">
        <v>3047</v>
      </c>
      <c r="M983">
        <v>540</v>
      </c>
      <c r="N983">
        <v>5</v>
      </c>
      <c r="O983" t="s">
        <v>3052</v>
      </c>
      <c r="P983" t="s">
        <v>3395</v>
      </c>
      <c r="Q983">
        <v>4.3200000000000002E-2</v>
      </c>
    </row>
    <row r="984" spans="1:17" x14ac:dyDescent="0.35">
      <c r="A984" t="s">
        <v>985</v>
      </c>
      <c r="B984" t="s">
        <v>2472</v>
      </c>
      <c r="C984">
        <v>23</v>
      </c>
      <c r="D984" t="s">
        <v>2990</v>
      </c>
      <c r="E984" t="s">
        <v>2999</v>
      </c>
      <c r="F984" t="s">
        <v>3018</v>
      </c>
      <c r="G984">
        <v>5</v>
      </c>
      <c r="H984">
        <v>1324620</v>
      </c>
      <c r="I984">
        <v>513992</v>
      </c>
      <c r="J984">
        <v>19.940000000000001</v>
      </c>
      <c r="K984">
        <v>60</v>
      </c>
      <c r="L984" t="s">
        <v>3050</v>
      </c>
      <c r="M984">
        <v>385</v>
      </c>
      <c r="N984">
        <v>7</v>
      </c>
      <c r="O984" t="s">
        <v>3052</v>
      </c>
      <c r="P984" t="s">
        <v>3820</v>
      </c>
      <c r="Q984">
        <v>0.38800000000000001</v>
      </c>
    </row>
    <row r="985" spans="1:17" x14ac:dyDescent="0.35">
      <c r="A985" t="s">
        <v>986</v>
      </c>
      <c r="B985" t="s">
        <v>2473</v>
      </c>
      <c r="C985">
        <v>38</v>
      </c>
      <c r="D985" t="s">
        <v>2990</v>
      </c>
      <c r="E985" t="s">
        <v>2999</v>
      </c>
      <c r="F985" t="s">
        <v>3019</v>
      </c>
      <c r="G985">
        <v>17</v>
      </c>
      <c r="H985">
        <v>1861076</v>
      </c>
      <c r="I985">
        <v>74330</v>
      </c>
      <c r="J985">
        <v>24.41</v>
      </c>
      <c r="K985">
        <v>12</v>
      </c>
      <c r="L985" t="s">
        <v>3049</v>
      </c>
      <c r="M985">
        <v>387</v>
      </c>
      <c r="N985">
        <v>6</v>
      </c>
      <c r="O985" t="s">
        <v>3055</v>
      </c>
      <c r="P985" t="s">
        <v>3622</v>
      </c>
      <c r="Q985">
        <v>3.9899999999999998E-2</v>
      </c>
    </row>
    <row r="986" spans="1:17" x14ac:dyDescent="0.35">
      <c r="A986" t="s">
        <v>987</v>
      </c>
      <c r="B986" t="s">
        <v>2474</v>
      </c>
      <c r="C986">
        <v>48</v>
      </c>
      <c r="D986" t="s">
        <v>2990</v>
      </c>
      <c r="E986" t="s">
        <v>3000</v>
      </c>
      <c r="F986" t="s">
        <v>3019</v>
      </c>
      <c r="G986">
        <v>27</v>
      </c>
      <c r="H986">
        <v>2101277</v>
      </c>
      <c r="I986">
        <v>381447</v>
      </c>
      <c r="J986">
        <v>19.71</v>
      </c>
      <c r="K986">
        <v>12</v>
      </c>
      <c r="L986" t="s">
        <v>3051</v>
      </c>
      <c r="M986">
        <v>808</v>
      </c>
      <c r="N986">
        <v>3</v>
      </c>
      <c r="O986" t="s">
        <v>3054</v>
      </c>
      <c r="P986" t="s">
        <v>3821</v>
      </c>
      <c r="Q986">
        <v>0.18149999999999999</v>
      </c>
    </row>
    <row r="987" spans="1:17" x14ac:dyDescent="0.35">
      <c r="A987" t="s">
        <v>988</v>
      </c>
      <c r="B987" t="s">
        <v>2475</v>
      </c>
      <c r="C987">
        <v>36</v>
      </c>
      <c r="D987" t="s">
        <v>2992</v>
      </c>
      <c r="E987" t="s">
        <v>3000</v>
      </c>
      <c r="F987" t="s">
        <v>3020</v>
      </c>
      <c r="G987">
        <v>16</v>
      </c>
      <c r="H987">
        <v>486094</v>
      </c>
      <c r="I987">
        <v>391344</v>
      </c>
      <c r="J987">
        <v>9.02</v>
      </c>
      <c r="K987">
        <v>24</v>
      </c>
      <c r="L987" t="s">
        <v>3048</v>
      </c>
      <c r="M987">
        <v>648</v>
      </c>
      <c r="N987">
        <v>1</v>
      </c>
      <c r="O987" t="s">
        <v>3054</v>
      </c>
      <c r="P987" t="s">
        <v>3492</v>
      </c>
      <c r="Q987">
        <v>0.80510000000000004</v>
      </c>
    </row>
    <row r="988" spans="1:17" x14ac:dyDescent="0.35">
      <c r="A988" t="s">
        <v>989</v>
      </c>
      <c r="B988" t="s">
        <v>2476</v>
      </c>
      <c r="C988">
        <v>53</v>
      </c>
      <c r="D988" t="s">
        <v>2992</v>
      </c>
      <c r="E988" t="s">
        <v>3005</v>
      </c>
      <c r="F988" t="s">
        <v>3020</v>
      </c>
      <c r="G988">
        <v>18</v>
      </c>
      <c r="H988">
        <v>1104133</v>
      </c>
      <c r="I988">
        <v>56468</v>
      </c>
      <c r="J988">
        <v>21.81</v>
      </c>
      <c r="K988">
        <v>12</v>
      </c>
      <c r="L988" t="s">
        <v>3047</v>
      </c>
      <c r="M988">
        <v>309</v>
      </c>
      <c r="N988">
        <v>4</v>
      </c>
      <c r="O988" t="s">
        <v>3056</v>
      </c>
      <c r="P988" t="s">
        <v>3655</v>
      </c>
      <c r="Q988">
        <v>5.11E-2</v>
      </c>
    </row>
    <row r="989" spans="1:17" x14ac:dyDescent="0.35">
      <c r="A989" t="s">
        <v>990</v>
      </c>
      <c r="B989" t="s">
        <v>2477</v>
      </c>
      <c r="C989">
        <v>33</v>
      </c>
      <c r="D989" t="s">
        <v>2992</v>
      </c>
      <c r="E989" t="s">
        <v>3003</v>
      </c>
      <c r="F989" t="s">
        <v>3021</v>
      </c>
      <c r="G989">
        <v>20</v>
      </c>
      <c r="H989">
        <v>321214</v>
      </c>
      <c r="I989">
        <v>216375</v>
      </c>
      <c r="J989">
        <v>13.54</v>
      </c>
      <c r="K989">
        <v>24</v>
      </c>
      <c r="L989" t="s">
        <v>3049</v>
      </c>
      <c r="M989">
        <v>844</v>
      </c>
      <c r="N989">
        <v>6</v>
      </c>
      <c r="O989" t="s">
        <v>3052</v>
      </c>
      <c r="P989" t="s">
        <v>3822</v>
      </c>
      <c r="Q989">
        <v>0.67359999999999998</v>
      </c>
    </row>
    <row r="990" spans="1:17" x14ac:dyDescent="0.35">
      <c r="A990" t="s">
        <v>991</v>
      </c>
      <c r="B990" t="s">
        <v>2478</v>
      </c>
      <c r="C990">
        <v>29</v>
      </c>
      <c r="D990" t="s">
        <v>2992</v>
      </c>
      <c r="E990" t="s">
        <v>3005</v>
      </c>
      <c r="F990" t="s">
        <v>3021</v>
      </c>
      <c r="G990">
        <v>29</v>
      </c>
      <c r="H990">
        <v>473894</v>
      </c>
      <c r="I990">
        <v>448276</v>
      </c>
      <c r="J990" t="s">
        <v>3036</v>
      </c>
      <c r="K990">
        <v>24</v>
      </c>
      <c r="L990" t="s">
        <v>3047</v>
      </c>
      <c r="M990">
        <v>564</v>
      </c>
      <c r="N990">
        <v>4</v>
      </c>
      <c r="O990" t="s">
        <v>3055</v>
      </c>
      <c r="P990" t="s">
        <v>3823</v>
      </c>
      <c r="Q990">
        <v>0.94589999999999996</v>
      </c>
    </row>
    <row r="991" spans="1:17" x14ac:dyDescent="0.35">
      <c r="A991" t="s">
        <v>992</v>
      </c>
      <c r="B991" t="s">
        <v>2479</v>
      </c>
      <c r="C991">
        <v>61</v>
      </c>
      <c r="D991" t="s">
        <v>2997</v>
      </c>
      <c r="E991" t="s">
        <v>3001</v>
      </c>
      <c r="F991" t="s">
        <v>3019</v>
      </c>
      <c r="G991">
        <v>28</v>
      </c>
      <c r="H991">
        <v>2275588</v>
      </c>
      <c r="I991">
        <v>449505</v>
      </c>
      <c r="J991">
        <v>10.92</v>
      </c>
      <c r="K991">
        <v>60</v>
      </c>
      <c r="L991" t="s">
        <v>3047</v>
      </c>
      <c r="M991">
        <v>632</v>
      </c>
      <c r="N991">
        <v>3</v>
      </c>
      <c r="O991" t="s">
        <v>3054</v>
      </c>
      <c r="P991" t="s">
        <v>3824</v>
      </c>
      <c r="Q991">
        <v>0.19750000000000001</v>
      </c>
    </row>
    <row r="992" spans="1:17" x14ac:dyDescent="0.35">
      <c r="A992" t="s">
        <v>993</v>
      </c>
      <c r="B992" t="s">
        <v>2480</v>
      </c>
      <c r="C992">
        <v>49</v>
      </c>
      <c r="D992" t="s">
        <v>2992</v>
      </c>
      <c r="E992" t="s">
        <v>2999</v>
      </c>
      <c r="F992" t="s">
        <v>3018</v>
      </c>
      <c r="G992">
        <v>14</v>
      </c>
      <c r="H992">
        <v>355211</v>
      </c>
      <c r="I992">
        <v>128946</v>
      </c>
      <c r="J992">
        <v>21.43</v>
      </c>
      <c r="K992">
        <v>36</v>
      </c>
      <c r="L992" t="s">
        <v>3047</v>
      </c>
      <c r="M992">
        <v>721</v>
      </c>
      <c r="N992">
        <v>7</v>
      </c>
      <c r="O992" t="s">
        <v>3054</v>
      </c>
      <c r="P992" t="s">
        <v>3656</v>
      </c>
      <c r="Q992">
        <v>0.36299999999999999</v>
      </c>
    </row>
    <row r="993" spans="1:17" x14ac:dyDescent="0.35">
      <c r="A993" t="s">
        <v>994</v>
      </c>
      <c r="B993" t="s">
        <v>2481</v>
      </c>
      <c r="C993">
        <v>50</v>
      </c>
      <c r="D993" t="s">
        <v>2990</v>
      </c>
      <c r="E993" t="s">
        <v>3004</v>
      </c>
      <c r="F993" t="s">
        <v>3021</v>
      </c>
      <c r="G993">
        <v>25</v>
      </c>
      <c r="H993">
        <v>1616536</v>
      </c>
      <c r="I993">
        <v>793221</v>
      </c>
      <c r="J993">
        <v>10.4</v>
      </c>
      <c r="K993">
        <v>60</v>
      </c>
      <c r="L993" t="s">
        <v>3050</v>
      </c>
      <c r="M993">
        <v>817</v>
      </c>
      <c r="N993">
        <v>5</v>
      </c>
      <c r="O993" t="s">
        <v>3054</v>
      </c>
      <c r="P993" t="s">
        <v>3825</v>
      </c>
      <c r="Q993">
        <v>0.49070000000000003</v>
      </c>
    </row>
    <row r="994" spans="1:17" x14ac:dyDescent="0.35">
      <c r="A994" t="s">
        <v>995</v>
      </c>
      <c r="B994" t="s">
        <v>2482</v>
      </c>
      <c r="C994">
        <v>39</v>
      </c>
      <c r="D994" t="s">
        <v>2990</v>
      </c>
      <c r="E994" t="s">
        <v>3002</v>
      </c>
      <c r="F994" t="s">
        <v>3020</v>
      </c>
      <c r="G994">
        <v>20</v>
      </c>
      <c r="H994">
        <v>568076</v>
      </c>
      <c r="I994">
        <v>289150</v>
      </c>
      <c r="J994">
        <v>24.29</v>
      </c>
      <c r="K994">
        <v>60</v>
      </c>
      <c r="L994" t="s">
        <v>3049</v>
      </c>
      <c r="M994">
        <v>754</v>
      </c>
      <c r="N994">
        <v>1</v>
      </c>
      <c r="O994" t="s">
        <v>3054</v>
      </c>
      <c r="P994" t="s">
        <v>3826</v>
      </c>
      <c r="Q994">
        <v>0.50900000000000001</v>
      </c>
    </row>
    <row r="995" spans="1:17" x14ac:dyDescent="0.35">
      <c r="A995" t="s">
        <v>996</v>
      </c>
      <c r="B995" t="s">
        <v>2483</v>
      </c>
      <c r="C995">
        <v>23</v>
      </c>
      <c r="D995" t="s">
        <v>2992</v>
      </c>
      <c r="E995" t="s">
        <v>3004</v>
      </c>
      <c r="F995" t="s">
        <v>3020</v>
      </c>
      <c r="G995">
        <v>28</v>
      </c>
      <c r="H995">
        <v>664410</v>
      </c>
      <c r="I995">
        <v>578158</v>
      </c>
      <c r="J995">
        <v>24.82</v>
      </c>
      <c r="K995">
        <v>24</v>
      </c>
      <c r="L995" t="s">
        <v>3047</v>
      </c>
      <c r="M995">
        <v>499</v>
      </c>
      <c r="N995">
        <v>6</v>
      </c>
      <c r="O995" t="s">
        <v>3057</v>
      </c>
      <c r="P995" t="s">
        <v>3618</v>
      </c>
      <c r="Q995">
        <v>0.87019999999999997</v>
      </c>
    </row>
    <row r="996" spans="1:17" x14ac:dyDescent="0.35">
      <c r="A996" t="s">
        <v>997</v>
      </c>
      <c r="B996" t="s">
        <v>2484</v>
      </c>
      <c r="C996">
        <v>50</v>
      </c>
      <c r="D996" t="s">
        <v>2992</v>
      </c>
      <c r="E996" t="s">
        <v>3002</v>
      </c>
      <c r="F996" t="s">
        <v>3021</v>
      </c>
      <c r="G996">
        <v>21</v>
      </c>
      <c r="H996">
        <v>214707</v>
      </c>
      <c r="I996">
        <v>637632</v>
      </c>
      <c r="J996">
        <v>24.89</v>
      </c>
      <c r="K996">
        <v>48</v>
      </c>
      <c r="L996" t="s">
        <v>3048</v>
      </c>
      <c r="M996">
        <v>774</v>
      </c>
      <c r="N996">
        <v>1</v>
      </c>
      <c r="O996" t="s">
        <v>3052</v>
      </c>
      <c r="P996" t="s">
        <v>3827</v>
      </c>
      <c r="Q996">
        <v>2.9698000000000002</v>
      </c>
    </row>
    <row r="997" spans="1:17" x14ac:dyDescent="0.35">
      <c r="A997" t="s">
        <v>998</v>
      </c>
      <c r="B997" t="s">
        <v>2485</v>
      </c>
      <c r="C997">
        <v>42</v>
      </c>
      <c r="D997" t="s">
        <v>2992</v>
      </c>
      <c r="E997" t="s">
        <v>3001</v>
      </c>
      <c r="F997" t="s">
        <v>3021</v>
      </c>
      <c r="G997">
        <v>29</v>
      </c>
      <c r="H997">
        <v>1699825</v>
      </c>
      <c r="I997">
        <v>530491</v>
      </c>
      <c r="J997">
        <v>15.12</v>
      </c>
      <c r="K997">
        <v>36</v>
      </c>
      <c r="L997" t="s">
        <v>3046</v>
      </c>
      <c r="M997">
        <v>411</v>
      </c>
      <c r="N997">
        <v>4</v>
      </c>
      <c r="O997" t="s">
        <v>3056</v>
      </c>
      <c r="P997" t="s">
        <v>3828</v>
      </c>
      <c r="Q997">
        <v>0.31209999999999999</v>
      </c>
    </row>
    <row r="998" spans="1:17" x14ac:dyDescent="0.35">
      <c r="A998" t="s">
        <v>999</v>
      </c>
      <c r="B998" t="s">
        <v>2486</v>
      </c>
      <c r="C998">
        <v>53</v>
      </c>
      <c r="D998" t="s">
        <v>2990</v>
      </c>
      <c r="E998" t="s">
        <v>3002</v>
      </c>
      <c r="F998" t="s">
        <v>3019</v>
      </c>
      <c r="G998">
        <v>5</v>
      </c>
      <c r="H998">
        <v>1942999</v>
      </c>
      <c r="I998">
        <v>768149</v>
      </c>
      <c r="J998">
        <v>24.2</v>
      </c>
      <c r="K998">
        <v>12</v>
      </c>
      <c r="L998" t="s">
        <v>3047</v>
      </c>
      <c r="M998">
        <v>533</v>
      </c>
      <c r="N998">
        <v>7</v>
      </c>
      <c r="O998" t="s">
        <v>3057</v>
      </c>
      <c r="P998" t="s">
        <v>3829</v>
      </c>
      <c r="Q998">
        <v>0.39529999999999998</v>
      </c>
    </row>
    <row r="999" spans="1:17" x14ac:dyDescent="0.35">
      <c r="A999" t="s">
        <v>1000</v>
      </c>
      <c r="B999" t="s">
        <v>2487</v>
      </c>
      <c r="C999">
        <v>26</v>
      </c>
      <c r="D999" t="s">
        <v>2990</v>
      </c>
      <c r="E999" t="s">
        <v>3004</v>
      </c>
      <c r="F999" t="s">
        <v>3018</v>
      </c>
      <c r="G999">
        <v>14</v>
      </c>
      <c r="I999">
        <v>711381</v>
      </c>
      <c r="J999">
        <v>14.88</v>
      </c>
      <c r="K999">
        <v>48</v>
      </c>
      <c r="L999" t="s">
        <v>3051</v>
      </c>
      <c r="M999">
        <v>395</v>
      </c>
      <c r="N999">
        <v>5</v>
      </c>
      <c r="O999" t="s">
        <v>3054</v>
      </c>
      <c r="P999" t="s">
        <v>3830</v>
      </c>
      <c r="Q999">
        <v>0.31900000000000001</v>
      </c>
    </row>
    <row r="1000" spans="1:17" x14ac:dyDescent="0.35">
      <c r="A1000" t="s">
        <v>1001</v>
      </c>
      <c r="B1000" t="s">
        <v>2488</v>
      </c>
      <c r="C1000">
        <v>49</v>
      </c>
      <c r="D1000" t="s">
        <v>2992</v>
      </c>
      <c r="E1000" t="s">
        <v>3000</v>
      </c>
      <c r="G1000">
        <v>20</v>
      </c>
      <c r="H1000">
        <v>1037342</v>
      </c>
      <c r="I1000">
        <v>27485</v>
      </c>
      <c r="J1000">
        <v>8.1999999999999993</v>
      </c>
      <c r="K1000">
        <v>24</v>
      </c>
      <c r="L1000" t="s">
        <v>3050</v>
      </c>
      <c r="M1000">
        <v>465</v>
      </c>
      <c r="N1000">
        <v>3</v>
      </c>
      <c r="O1000" t="s">
        <v>3055</v>
      </c>
      <c r="P1000" t="s">
        <v>3831</v>
      </c>
      <c r="Q1000">
        <v>2.6499999999999999E-2</v>
      </c>
    </row>
    <row r="1001" spans="1:17" x14ac:dyDescent="0.35">
      <c r="A1001" t="s">
        <v>1002</v>
      </c>
      <c r="B1001" t="s">
        <v>2489</v>
      </c>
      <c r="C1001">
        <v>55</v>
      </c>
      <c r="D1001" t="s">
        <v>2990</v>
      </c>
      <c r="E1001" t="s">
        <v>3002</v>
      </c>
      <c r="F1001" t="s">
        <v>3018</v>
      </c>
      <c r="G1001">
        <v>18</v>
      </c>
      <c r="H1001">
        <v>1994188</v>
      </c>
      <c r="I1001">
        <v>430834</v>
      </c>
      <c r="J1001">
        <v>20.28</v>
      </c>
      <c r="K1001">
        <v>36</v>
      </c>
      <c r="L1001" t="s">
        <v>3051</v>
      </c>
      <c r="M1001">
        <v>821</v>
      </c>
      <c r="N1001">
        <v>4</v>
      </c>
      <c r="O1001" t="s">
        <v>3056</v>
      </c>
      <c r="P1001" t="s">
        <v>3832</v>
      </c>
      <c r="Q1001">
        <v>0.216</v>
      </c>
    </row>
    <row r="1002" spans="1:17" x14ac:dyDescent="0.35">
      <c r="A1002" t="s">
        <v>1003</v>
      </c>
      <c r="B1002" t="s">
        <v>2490</v>
      </c>
      <c r="C1002">
        <v>62</v>
      </c>
      <c r="D1002" t="s">
        <v>2992</v>
      </c>
      <c r="E1002" t="s">
        <v>2999</v>
      </c>
      <c r="F1002" t="s">
        <v>3018</v>
      </c>
      <c r="G1002">
        <v>18</v>
      </c>
      <c r="H1002">
        <v>1586368</v>
      </c>
      <c r="I1002">
        <v>546670</v>
      </c>
      <c r="J1002">
        <v>25.59</v>
      </c>
      <c r="K1002">
        <v>24</v>
      </c>
      <c r="L1002" t="s">
        <v>3047</v>
      </c>
      <c r="M1002">
        <v>716</v>
      </c>
      <c r="N1002">
        <v>2</v>
      </c>
      <c r="O1002" t="s">
        <v>3052</v>
      </c>
      <c r="P1002" t="s">
        <v>3833</v>
      </c>
      <c r="Q1002">
        <v>0.34460000000000002</v>
      </c>
    </row>
    <row r="1003" spans="1:17" x14ac:dyDescent="0.35">
      <c r="A1003" t="s">
        <v>1004</v>
      </c>
      <c r="B1003" t="s">
        <v>2491</v>
      </c>
      <c r="C1003">
        <v>51</v>
      </c>
      <c r="D1003" t="s">
        <v>2992</v>
      </c>
      <c r="E1003" t="s">
        <v>3005</v>
      </c>
      <c r="F1003" t="s">
        <v>3019</v>
      </c>
      <c r="G1003">
        <v>25</v>
      </c>
      <c r="H1003">
        <v>1734623</v>
      </c>
      <c r="I1003">
        <v>519909</v>
      </c>
      <c r="J1003">
        <v>8.5</v>
      </c>
      <c r="K1003">
        <v>60</v>
      </c>
      <c r="L1003" t="s">
        <v>3047</v>
      </c>
      <c r="M1003">
        <v>684</v>
      </c>
      <c r="N1003">
        <v>5</v>
      </c>
      <c r="O1003" t="s">
        <v>3057</v>
      </c>
      <c r="P1003" t="s">
        <v>3482</v>
      </c>
      <c r="Q1003">
        <v>0.29970000000000002</v>
      </c>
    </row>
    <row r="1004" spans="1:17" x14ac:dyDescent="0.35">
      <c r="A1004" t="s">
        <v>1005</v>
      </c>
      <c r="B1004" t="s">
        <v>2492</v>
      </c>
      <c r="C1004">
        <v>53</v>
      </c>
      <c r="D1004" t="s">
        <v>2992</v>
      </c>
      <c r="E1004" t="s">
        <v>2999</v>
      </c>
      <c r="F1004" t="s">
        <v>3019</v>
      </c>
      <c r="G1004">
        <v>26</v>
      </c>
      <c r="H1004">
        <v>-1958599</v>
      </c>
      <c r="I1004">
        <v>516013</v>
      </c>
      <c r="J1004">
        <v>14</v>
      </c>
      <c r="K1004">
        <v>12</v>
      </c>
      <c r="L1004" t="s">
        <v>3046</v>
      </c>
      <c r="M1004">
        <v>525</v>
      </c>
      <c r="N1004">
        <v>1</v>
      </c>
      <c r="O1004" t="s">
        <v>3053</v>
      </c>
      <c r="P1004" t="s">
        <v>3250</v>
      </c>
      <c r="Q1004">
        <v>0.26350000000000001</v>
      </c>
    </row>
    <row r="1005" spans="1:17" x14ac:dyDescent="0.35">
      <c r="A1005" t="s">
        <v>1006</v>
      </c>
      <c r="B1005" t="s">
        <v>2493</v>
      </c>
      <c r="C1005">
        <v>30</v>
      </c>
      <c r="D1005" t="s">
        <v>2990</v>
      </c>
      <c r="E1005" t="s">
        <v>3001</v>
      </c>
      <c r="F1005" t="s">
        <v>3021</v>
      </c>
      <c r="G1005">
        <v>18</v>
      </c>
      <c r="H1005">
        <v>1987992</v>
      </c>
      <c r="I1005">
        <v>427085</v>
      </c>
      <c r="J1005">
        <v>24.47</v>
      </c>
      <c r="K1005">
        <v>60</v>
      </c>
      <c r="L1005" t="s">
        <v>3048</v>
      </c>
      <c r="M1005">
        <v>429</v>
      </c>
      <c r="N1005">
        <v>4</v>
      </c>
      <c r="O1005" t="s">
        <v>3054</v>
      </c>
      <c r="P1005" t="s">
        <v>3834</v>
      </c>
      <c r="Q1005">
        <v>0.21479999999999999</v>
      </c>
    </row>
    <row r="1006" spans="1:17" x14ac:dyDescent="0.35">
      <c r="A1006" t="s">
        <v>1007</v>
      </c>
      <c r="B1006" t="s">
        <v>2494</v>
      </c>
      <c r="C1006">
        <v>29</v>
      </c>
      <c r="D1006" t="s">
        <v>2992</v>
      </c>
      <c r="E1006" t="s">
        <v>3004</v>
      </c>
      <c r="F1006" t="s">
        <v>3020</v>
      </c>
      <c r="G1006">
        <v>7</v>
      </c>
      <c r="H1006">
        <v>2010815</v>
      </c>
      <c r="I1006">
        <v>241035</v>
      </c>
      <c r="J1006">
        <v>26.58</v>
      </c>
      <c r="K1006">
        <v>60</v>
      </c>
      <c r="M1006">
        <v>389</v>
      </c>
      <c r="N1006">
        <v>6</v>
      </c>
      <c r="O1006" t="s">
        <v>3055</v>
      </c>
      <c r="P1006" t="s">
        <v>3537</v>
      </c>
      <c r="Q1006">
        <v>0.11990000000000001</v>
      </c>
    </row>
    <row r="1007" spans="1:17" x14ac:dyDescent="0.35">
      <c r="A1007" t="s">
        <v>1008</v>
      </c>
      <c r="B1007" t="s">
        <v>2495</v>
      </c>
      <c r="C1007">
        <v>60</v>
      </c>
      <c r="D1007" t="s">
        <v>2992</v>
      </c>
      <c r="E1007" t="s">
        <v>3008</v>
      </c>
      <c r="F1007" t="s">
        <v>3020</v>
      </c>
      <c r="G1007">
        <v>18</v>
      </c>
      <c r="H1007">
        <v>1254961</v>
      </c>
      <c r="I1007">
        <v>22257</v>
      </c>
      <c r="J1007">
        <v>27.8</v>
      </c>
      <c r="K1007">
        <v>60</v>
      </c>
      <c r="L1007" t="s">
        <v>3047</v>
      </c>
      <c r="M1007">
        <v>662</v>
      </c>
      <c r="N1007">
        <v>1</v>
      </c>
      <c r="O1007" t="s">
        <v>3056</v>
      </c>
      <c r="P1007" t="s">
        <v>3502</v>
      </c>
      <c r="Q1007">
        <v>1.77E-2</v>
      </c>
    </row>
    <row r="1008" spans="1:17" x14ac:dyDescent="0.35">
      <c r="A1008" t="s">
        <v>1009</v>
      </c>
      <c r="B1008" t="s">
        <v>2496</v>
      </c>
      <c r="C1008">
        <v>51</v>
      </c>
      <c r="D1008" t="s">
        <v>2990</v>
      </c>
      <c r="E1008" t="s">
        <v>3006</v>
      </c>
      <c r="F1008" t="s">
        <v>3018</v>
      </c>
      <c r="G1008">
        <v>21</v>
      </c>
      <c r="H1008">
        <v>2178197</v>
      </c>
      <c r="I1008">
        <v>188616</v>
      </c>
      <c r="J1008">
        <v>12.37</v>
      </c>
      <c r="K1008">
        <v>48</v>
      </c>
      <c r="L1008" t="s">
        <v>3051</v>
      </c>
      <c r="M1008">
        <v>538</v>
      </c>
      <c r="N1008">
        <v>6</v>
      </c>
      <c r="O1008" t="s">
        <v>3057</v>
      </c>
      <c r="P1008" t="s">
        <v>3227</v>
      </c>
      <c r="Q1008">
        <v>8.6599999999999996E-2</v>
      </c>
    </row>
    <row r="1009" spans="1:17" x14ac:dyDescent="0.35">
      <c r="A1009" t="s">
        <v>1010</v>
      </c>
      <c r="B1009" t="s">
        <v>2497</v>
      </c>
      <c r="C1009">
        <v>50</v>
      </c>
      <c r="D1009" t="s">
        <v>2992</v>
      </c>
      <c r="E1009" t="s">
        <v>3009</v>
      </c>
      <c r="F1009" t="s">
        <v>3018</v>
      </c>
      <c r="G1009">
        <v>9</v>
      </c>
      <c r="H1009">
        <v>2076220</v>
      </c>
      <c r="I1009">
        <v>107178</v>
      </c>
      <c r="J1009">
        <v>21.42</v>
      </c>
      <c r="K1009">
        <v>12</v>
      </c>
      <c r="L1009" t="s">
        <v>3051</v>
      </c>
      <c r="M1009">
        <v>639</v>
      </c>
      <c r="N1009">
        <v>1</v>
      </c>
      <c r="O1009" t="s">
        <v>3060</v>
      </c>
      <c r="P1009" t="s">
        <v>3835</v>
      </c>
      <c r="Q1009">
        <v>5.16E-2</v>
      </c>
    </row>
    <row r="1010" spans="1:17" x14ac:dyDescent="0.35">
      <c r="A1010" t="s">
        <v>1011</v>
      </c>
      <c r="B1010" t="s">
        <v>2498</v>
      </c>
      <c r="C1010">
        <v>26</v>
      </c>
      <c r="D1010" t="s">
        <v>2992</v>
      </c>
      <c r="E1010" t="s">
        <v>3013</v>
      </c>
      <c r="F1010" t="s">
        <v>3018</v>
      </c>
      <c r="G1010">
        <v>24</v>
      </c>
      <c r="H1010">
        <v>1381700</v>
      </c>
      <c r="I1010">
        <v>480014</v>
      </c>
      <c r="J1010">
        <v>22.83</v>
      </c>
      <c r="K1010">
        <v>12</v>
      </c>
      <c r="L1010" t="s">
        <v>3048</v>
      </c>
      <c r="M1010">
        <v>563</v>
      </c>
      <c r="N1010">
        <v>1</v>
      </c>
      <c r="O1010" t="s">
        <v>3056</v>
      </c>
      <c r="P1010" t="s">
        <v>3836</v>
      </c>
      <c r="Q1010">
        <v>0.34739999999999999</v>
      </c>
    </row>
    <row r="1011" spans="1:17" x14ac:dyDescent="0.35">
      <c r="A1011" t="s">
        <v>1012</v>
      </c>
      <c r="B1011" t="s">
        <v>2499</v>
      </c>
      <c r="C1011">
        <v>38</v>
      </c>
      <c r="D1011" t="s">
        <v>2992</v>
      </c>
      <c r="E1011" t="s">
        <v>3007</v>
      </c>
      <c r="F1011" t="s">
        <v>3021</v>
      </c>
      <c r="G1011">
        <v>16</v>
      </c>
      <c r="H1011">
        <v>1133692</v>
      </c>
      <c r="I1011">
        <v>713590</v>
      </c>
      <c r="J1011">
        <v>27.4</v>
      </c>
      <c r="K1011">
        <v>48</v>
      </c>
      <c r="L1011" t="s">
        <v>3050</v>
      </c>
      <c r="M1011">
        <v>528</v>
      </c>
      <c r="N1011">
        <v>0</v>
      </c>
      <c r="O1011" t="s">
        <v>3055</v>
      </c>
      <c r="P1011" t="s">
        <v>3094</v>
      </c>
      <c r="Q1011">
        <v>0.62939999999999996</v>
      </c>
    </row>
    <row r="1012" spans="1:17" x14ac:dyDescent="0.35">
      <c r="A1012" t="s">
        <v>1013</v>
      </c>
      <c r="B1012" t="s">
        <v>2500</v>
      </c>
      <c r="C1012">
        <v>64</v>
      </c>
      <c r="D1012" t="s">
        <v>2992</v>
      </c>
      <c r="E1012" t="s">
        <v>3005</v>
      </c>
      <c r="F1012" t="s">
        <v>3020</v>
      </c>
      <c r="G1012">
        <v>21</v>
      </c>
      <c r="H1012">
        <v>1053093</v>
      </c>
      <c r="I1012">
        <v>183244</v>
      </c>
      <c r="J1012">
        <v>16.38</v>
      </c>
      <c r="K1012">
        <v>24</v>
      </c>
      <c r="L1012" t="s">
        <v>3049</v>
      </c>
      <c r="M1012">
        <v>387</v>
      </c>
      <c r="N1012">
        <v>4</v>
      </c>
      <c r="O1012" t="s">
        <v>3054</v>
      </c>
      <c r="P1012" t="s">
        <v>3810</v>
      </c>
      <c r="Q1012">
        <v>0.17399999999999999</v>
      </c>
    </row>
    <row r="1013" spans="1:17" x14ac:dyDescent="0.35">
      <c r="A1013" t="s">
        <v>1014</v>
      </c>
      <c r="B1013" t="s">
        <v>2501</v>
      </c>
      <c r="C1013">
        <v>60</v>
      </c>
      <c r="D1013" t="s">
        <v>2992</v>
      </c>
      <c r="E1013" t="s">
        <v>2998</v>
      </c>
      <c r="F1013" t="s">
        <v>3018</v>
      </c>
      <c r="G1013">
        <v>10</v>
      </c>
      <c r="H1013">
        <v>1661235</v>
      </c>
      <c r="I1013">
        <v>356851</v>
      </c>
      <c r="J1013">
        <v>26.67</v>
      </c>
      <c r="K1013">
        <v>36</v>
      </c>
      <c r="L1013" t="s">
        <v>3047</v>
      </c>
      <c r="M1013">
        <v>610</v>
      </c>
      <c r="N1013">
        <v>6</v>
      </c>
      <c r="O1013" t="s">
        <v>3054</v>
      </c>
      <c r="P1013" t="s">
        <v>3837</v>
      </c>
      <c r="Q1013">
        <v>0.21479999999999999</v>
      </c>
    </row>
    <row r="1014" spans="1:17" x14ac:dyDescent="0.35">
      <c r="A1014" t="s">
        <v>1015</v>
      </c>
      <c r="B1014" t="s">
        <v>2502</v>
      </c>
      <c r="C1014">
        <v>51</v>
      </c>
      <c r="D1014" t="s">
        <v>2992</v>
      </c>
      <c r="E1014" t="s">
        <v>3006</v>
      </c>
      <c r="F1014" t="s">
        <v>3021</v>
      </c>
      <c r="G1014">
        <v>1</v>
      </c>
      <c r="H1014">
        <v>1618454</v>
      </c>
      <c r="I1014">
        <v>526961</v>
      </c>
      <c r="J1014">
        <v>13.93</v>
      </c>
      <c r="K1014">
        <v>60</v>
      </c>
      <c r="L1014" t="s">
        <v>3046</v>
      </c>
      <c r="M1014">
        <v>405</v>
      </c>
      <c r="N1014">
        <v>3</v>
      </c>
      <c r="O1014" t="s">
        <v>3057</v>
      </c>
      <c r="P1014" t="s">
        <v>3838</v>
      </c>
      <c r="Q1014">
        <v>0.3256</v>
      </c>
    </row>
    <row r="1015" spans="1:17" x14ac:dyDescent="0.35">
      <c r="A1015" t="s">
        <v>1016</v>
      </c>
      <c r="B1015" t="s">
        <v>2503</v>
      </c>
      <c r="C1015">
        <v>30</v>
      </c>
      <c r="D1015" t="s">
        <v>2992</v>
      </c>
      <c r="E1015" t="s">
        <v>3010</v>
      </c>
      <c r="F1015" t="s">
        <v>3020</v>
      </c>
      <c r="G1015">
        <v>5</v>
      </c>
      <c r="I1015">
        <v>495430</v>
      </c>
      <c r="J1015">
        <v>27.85</v>
      </c>
      <c r="K1015">
        <v>24</v>
      </c>
      <c r="L1015" t="s">
        <v>3049</v>
      </c>
      <c r="M1015">
        <v>506</v>
      </c>
      <c r="N1015">
        <v>1</v>
      </c>
      <c r="O1015" t="s">
        <v>3054</v>
      </c>
      <c r="P1015" t="s">
        <v>3839</v>
      </c>
      <c r="Q1015">
        <v>0.23280000000000001</v>
      </c>
    </row>
    <row r="1016" spans="1:17" x14ac:dyDescent="0.35">
      <c r="A1016" t="s">
        <v>1017</v>
      </c>
      <c r="B1016" t="s">
        <v>2504</v>
      </c>
      <c r="C1016">
        <v>46</v>
      </c>
      <c r="D1016" t="s">
        <v>2990</v>
      </c>
      <c r="E1016" t="s">
        <v>3011</v>
      </c>
      <c r="F1016" t="s">
        <v>3020</v>
      </c>
      <c r="G1016">
        <v>26</v>
      </c>
      <c r="H1016">
        <v>934105</v>
      </c>
      <c r="I1016">
        <v>291421</v>
      </c>
      <c r="J1016">
        <v>25.6</v>
      </c>
      <c r="K1016">
        <v>60</v>
      </c>
      <c r="L1016" t="s">
        <v>3051</v>
      </c>
      <c r="M1016">
        <v>733</v>
      </c>
      <c r="N1016">
        <v>1</v>
      </c>
      <c r="O1016" t="s">
        <v>3057</v>
      </c>
      <c r="P1016" t="s">
        <v>3840</v>
      </c>
      <c r="Q1016">
        <v>0.312</v>
      </c>
    </row>
    <row r="1017" spans="1:17" x14ac:dyDescent="0.35">
      <c r="A1017" t="s">
        <v>1018</v>
      </c>
      <c r="B1017" t="s">
        <v>2505</v>
      </c>
      <c r="C1017">
        <v>43</v>
      </c>
      <c r="D1017" t="s">
        <v>2992</v>
      </c>
      <c r="E1017" t="s">
        <v>3002</v>
      </c>
      <c r="F1017" t="s">
        <v>3019</v>
      </c>
      <c r="G1017">
        <v>6</v>
      </c>
      <c r="H1017">
        <v>2002550</v>
      </c>
      <c r="I1017">
        <v>400634</v>
      </c>
      <c r="J1017">
        <v>19.91</v>
      </c>
      <c r="K1017">
        <v>48</v>
      </c>
      <c r="L1017" t="s">
        <v>3050</v>
      </c>
      <c r="N1017">
        <v>7</v>
      </c>
      <c r="O1017" t="s">
        <v>3057</v>
      </c>
      <c r="P1017" t="s">
        <v>3841</v>
      </c>
      <c r="Q1017">
        <v>0.2001</v>
      </c>
    </row>
    <row r="1018" spans="1:17" x14ac:dyDescent="0.35">
      <c r="A1018" t="s">
        <v>1019</v>
      </c>
      <c r="B1018" t="s">
        <v>2506</v>
      </c>
      <c r="C1018">
        <v>24</v>
      </c>
      <c r="D1018" t="s">
        <v>2990</v>
      </c>
      <c r="E1018" t="s">
        <v>3003</v>
      </c>
      <c r="F1018" t="s">
        <v>3019</v>
      </c>
      <c r="G1018">
        <v>22</v>
      </c>
      <c r="H1018">
        <v>1505569</v>
      </c>
      <c r="I1018">
        <v>250233</v>
      </c>
      <c r="J1018">
        <v>18.18</v>
      </c>
      <c r="K1018">
        <v>48</v>
      </c>
      <c r="L1018" t="s">
        <v>3048</v>
      </c>
      <c r="M1018">
        <v>726</v>
      </c>
      <c r="N1018">
        <v>7</v>
      </c>
      <c r="O1018" t="s">
        <v>3055</v>
      </c>
      <c r="P1018" t="s">
        <v>3842</v>
      </c>
      <c r="Q1018">
        <v>0.16619999999999999</v>
      </c>
    </row>
    <row r="1019" spans="1:17" x14ac:dyDescent="0.35">
      <c r="A1019" t="s">
        <v>1020</v>
      </c>
      <c r="B1019" t="s">
        <v>2507</v>
      </c>
      <c r="C1019">
        <v>39</v>
      </c>
      <c r="D1019" t="s">
        <v>2990</v>
      </c>
      <c r="E1019" t="s">
        <v>3004</v>
      </c>
      <c r="F1019" t="s">
        <v>3019</v>
      </c>
      <c r="G1019">
        <v>19</v>
      </c>
      <c r="H1019">
        <v>284211</v>
      </c>
      <c r="I1019">
        <v>317142</v>
      </c>
      <c r="J1019">
        <v>21.45</v>
      </c>
      <c r="K1019">
        <v>60</v>
      </c>
      <c r="L1019" t="s">
        <v>3051</v>
      </c>
      <c r="M1019">
        <v>649</v>
      </c>
      <c r="N1019">
        <v>2</v>
      </c>
      <c r="O1019" t="s">
        <v>3053</v>
      </c>
      <c r="P1019" t="s">
        <v>3236</v>
      </c>
      <c r="Q1019">
        <v>1.1158999999999999</v>
      </c>
    </row>
    <row r="1020" spans="1:17" x14ac:dyDescent="0.35">
      <c r="A1020" t="s">
        <v>1021</v>
      </c>
      <c r="B1020" t="s">
        <v>2508</v>
      </c>
      <c r="C1020">
        <v>62</v>
      </c>
      <c r="D1020" t="s">
        <v>2990</v>
      </c>
      <c r="E1020" t="s">
        <v>2998</v>
      </c>
      <c r="F1020" t="s">
        <v>3019</v>
      </c>
      <c r="G1020">
        <v>26</v>
      </c>
      <c r="H1020">
        <v>2370421</v>
      </c>
      <c r="I1020">
        <v>0</v>
      </c>
      <c r="J1020">
        <v>16.21</v>
      </c>
      <c r="K1020">
        <v>36</v>
      </c>
      <c r="L1020" t="s">
        <v>3050</v>
      </c>
      <c r="M1020">
        <v>622</v>
      </c>
      <c r="N1020">
        <v>6</v>
      </c>
      <c r="O1020" t="s">
        <v>3055</v>
      </c>
      <c r="P1020" t="s">
        <v>3699</v>
      </c>
      <c r="Q1020">
        <v>0.17069999999999999</v>
      </c>
    </row>
    <row r="1021" spans="1:17" x14ac:dyDescent="0.35">
      <c r="A1021" t="s">
        <v>1022</v>
      </c>
      <c r="B1021" t="s">
        <v>2509</v>
      </c>
      <c r="C1021">
        <v>21</v>
      </c>
      <c r="D1021" t="s">
        <v>2992</v>
      </c>
      <c r="E1021" t="s">
        <v>3002</v>
      </c>
      <c r="F1021" t="s">
        <v>3018</v>
      </c>
      <c r="G1021">
        <v>19</v>
      </c>
      <c r="H1021">
        <v>484224</v>
      </c>
      <c r="I1021">
        <v>423777</v>
      </c>
      <c r="J1021">
        <v>24.06</v>
      </c>
      <c r="K1021">
        <v>60</v>
      </c>
      <c r="L1021" t="s">
        <v>3049</v>
      </c>
      <c r="M1021">
        <v>680</v>
      </c>
      <c r="N1021">
        <v>1</v>
      </c>
      <c r="O1021" t="s">
        <v>3057</v>
      </c>
      <c r="P1021" t="s">
        <v>3843</v>
      </c>
      <c r="Q1021">
        <v>0.87519999999999998</v>
      </c>
    </row>
    <row r="1022" spans="1:17" x14ac:dyDescent="0.35">
      <c r="A1022" t="s">
        <v>1023</v>
      </c>
      <c r="B1022" t="s">
        <v>1967</v>
      </c>
      <c r="C1022">
        <v>31</v>
      </c>
      <c r="D1022" t="s">
        <v>2990</v>
      </c>
      <c r="E1022" t="s">
        <v>3006</v>
      </c>
      <c r="F1022" t="s">
        <v>3021</v>
      </c>
      <c r="G1022">
        <v>25</v>
      </c>
      <c r="H1022">
        <v>2060901</v>
      </c>
      <c r="I1022">
        <v>95451</v>
      </c>
      <c r="J1022">
        <v>21.52</v>
      </c>
      <c r="K1022">
        <v>48</v>
      </c>
      <c r="L1022" t="s">
        <v>3050</v>
      </c>
      <c r="M1022">
        <v>845</v>
      </c>
      <c r="N1022">
        <v>5</v>
      </c>
      <c r="O1022" t="s">
        <v>3052</v>
      </c>
      <c r="P1022" t="s">
        <v>3844</v>
      </c>
      <c r="Q1022">
        <v>4.6300000000000001E-2</v>
      </c>
    </row>
    <row r="1023" spans="1:17" x14ac:dyDescent="0.35">
      <c r="A1023" t="s">
        <v>1024</v>
      </c>
      <c r="B1023" t="s">
        <v>2510</v>
      </c>
      <c r="C1023">
        <v>39</v>
      </c>
      <c r="D1023" t="s">
        <v>2992</v>
      </c>
      <c r="E1023" t="s">
        <v>2998</v>
      </c>
      <c r="F1023" t="s">
        <v>3020</v>
      </c>
      <c r="G1023">
        <v>21</v>
      </c>
      <c r="H1023">
        <v>1430956</v>
      </c>
      <c r="I1023">
        <v>578963</v>
      </c>
      <c r="J1023">
        <v>18</v>
      </c>
      <c r="K1023">
        <v>48</v>
      </c>
      <c r="M1023">
        <v>413</v>
      </c>
      <c r="N1023">
        <v>4</v>
      </c>
      <c r="O1023" t="s">
        <v>3057</v>
      </c>
      <c r="P1023" t="s">
        <v>3845</v>
      </c>
      <c r="Q1023">
        <v>0.40460000000000002</v>
      </c>
    </row>
    <row r="1024" spans="1:17" x14ac:dyDescent="0.35">
      <c r="A1024" t="s">
        <v>1025</v>
      </c>
      <c r="B1024" t="s">
        <v>2511</v>
      </c>
      <c r="C1024">
        <v>52</v>
      </c>
      <c r="D1024" t="s">
        <v>2990</v>
      </c>
      <c r="E1024" t="s">
        <v>3006</v>
      </c>
      <c r="F1024" t="s">
        <v>3018</v>
      </c>
      <c r="G1024">
        <v>7</v>
      </c>
      <c r="H1024">
        <v>631157</v>
      </c>
      <c r="I1024">
        <v>508067</v>
      </c>
      <c r="J1024">
        <v>19.48</v>
      </c>
      <c r="K1024">
        <v>48</v>
      </c>
      <c r="L1024" t="s">
        <v>3050</v>
      </c>
      <c r="M1024">
        <v>466</v>
      </c>
      <c r="N1024">
        <v>1</v>
      </c>
      <c r="O1024" t="s">
        <v>3055</v>
      </c>
      <c r="P1024" t="s">
        <v>3846</v>
      </c>
      <c r="Q1024">
        <v>0.80500000000000005</v>
      </c>
    </row>
    <row r="1025" spans="1:17" x14ac:dyDescent="0.35">
      <c r="A1025" t="s">
        <v>1026</v>
      </c>
      <c r="B1025" t="s">
        <v>2512</v>
      </c>
      <c r="C1025">
        <v>30</v>
      </c>
      <c r="D1025" t="s">
        <v>2992</v>
      </c>
      <c r="E1025" t="s">
        <v>2999</v>
      </c>
      <c r="F1025" t="s">
        <v>3021</v>
      </c>
      <c r="G1025">
        <v>2</v>
      </c>
      <c r="H1025">
        <v>1304905</v>
      </c>
      <c r="I1025">
        <v>239526</v>
      </c>
      <c r="J1025">
        <v>26.58</v>
      </c>
      <c r="K1025">
        <v>24</v>
      </c>
      <c r="L1025" t="s">
        <v>3050</v>
      </c>
      <c r="M1025">
        <v>475</v>
      </c>
      <c r="N1025">
        <v>5</v>
      </c>
      <c r="O1025" t="s">
        <v>3054</v>
      </c>
      <c r="P1025" t="s">
        <v>3318</v>
      </c>
      <c r="Q1025">
        <v>0.18360000000000001</v>
      </c>
    </row>
    <row r="1026" spans="1:17" x14ac:dyDescent="0.35">
      <c r="A1026" t="s">
        <v>1027</v>
      </c>
      <c r="B1026" t="s">
        <v>2513</v>
      </c>
      <c r="C1026">
        <v>36</v>
      </c>
      <c r="D1026" t="s">
        <v>2992</v>
      </c>
      <c r="E1026" t="s">
        <v>2998</v>
      </c>
      <c r="F1026" t="s">
        <v>3020</v>
      </c>
      <c r="G1026">
        <v>20</v>
      </c>
      <c r="H1026">
        <v>774604</v>
      </c>
      <c r="I1026">
        <v>572439</v>
      </c>
      <c r="J1026">
        <v>24.47</v>
      </c>
      <c r="K1026">
        <v>48</v>
      </c>
      <c r="L1026" t="s">
        <v>3047</v>
      </c>
      <c r="M1026">
        <v>589</v>
      </c>
      <c r="N1026">
        <v>7</v>
      </c>
      <c r="O1026" t="s">
        <v>3056</v>
      </c>
      <c r="P1026" t="s">
        <v>3847</v>
      </c>
      <c r="Q1026">
        <v>0.73899999999999999</v>
      </c>
    </row>
    <row r="1027" spans="1:17" x14ac:dyDescent="0.35">
      <c r="A1027" t="s">
        <v>1028</v>
      </c>
      <c r="B1027" t="s">
        <v>2514</v>
      </c>
      <c r="C1027">
        <v>56</v>
      </c>
      <c r="D1027" t="s">
        <v>2990</v>
      </c>
      <c r="E1027" t="s">
        <v>3005</v>
      </c>
      <c r="F1027" t="s">
        <v>3021</v>
      </c>
      <c r="G1027">
        <v>19</v>
      </c>
      <c r="H1027">
        <v>1226161</v>
      </c>
      <c r="I1027">
        <v>20917</v>
      </c>
      <c r="J1027">
        <v>9.11</v>
      </c>
      <c r="K1027">
        <v>60</v>
      </c>
      <c r="L1027" t="s">
        <v>3046</v>
      </c>
      <c r="M1027">
        <v>338</v>
      </c>
      <c r="N1027">
        <v>2</v>
      </c>
      <c r="O1027" t="s">
        <v>3053</v>
      </c>
      <c r="P1027" t="s">
        <v>3515</v>
      </c>
      <c r="Q1027">
        <v>1.7100000000000001E-2</v>
      </c>
    </row>
    <row r="1028" spans="1:17" x14ac:dyDescent="0.35">
      <c r="A1028" t="s">
        <v>1029</v>
      </c>
      <c r="B1028" t="s">
        <v>2515</v>
      </c>
      <c r="C1028">
        <v>26</v>
      </c>
      <c r="D1028" t="s">
        <v>2990</v>
      </c>
      <c r="E1028" t="s">
        <v>3001</v>
      </c>
      <c r="F1028" t="s">
        <v>3020</v>
      </c>
      <c r="G1028">
        <v>29</v>
      </c>
      <c r="H1028">
        <v>2310939</v>
      </c>
      <c r="I1028">
        <v>176470</v>
      </c>
      <c r="J1028">
        <v>21.38</v>
      </c>
      <c r="K1028">
        <v>48</v>
      </c>
      <c r="L1028" t="s">
        <v>3046</v>
      </c>
      <c r="M1028">
        <v>327</v>
      </c>
      <c r="N1028">
        <v>3</v>
      </c>
      <c r="O1028" t="s">
        <v>3055</v>
      </c>
      <c r="P1028" t="s">
        <v>3848</v>
      </c>
      <c r="Q1028">
        <v>7.6399999999999996E-2</v>
      </c>
    </row>
    <row r="1029" spans="1:17" x14ac:dyDescent="0.35">
      <c r="A1029" t="s">
        <v>1030</v>
      </c>
      <c r="B1029" t="s">
        <v>2516</v>
      </c>
      <c r="C1029">
        <v>58</v>
      </c>
      <c r="D1029" t="s">
        <v>2990</v>
      </c>
      <c r="E1029" t="s">
        <v>3001</v>
      </c>
      <c r="F1029" t="s">
        <v>3020</v>
      </c>
      <c r="G1029">
        <v>10</v>
      </c>
      <c r="H1029">
        <v>2178671</v>
      </c>
      <c r="I1029">
        <v>675496</v>
      </c>
      <c r="J1029">
        <v>25.93</v>
      </c>
      <c r="K1029">
        <v>36</v>
      </c>
      <c r="L1029" t="s">
        <v>3046</v>
      </c>
      <c r="M1029">
        <v>827</v>
      </c>
      <c r="N1029">
        <v>2</v>
      </c>
      <c r="O1029" t="s">
        <v>3055</v>
      </c>
      <c r="P1029" t="s">
        <v>3849</v>
      </c>
      <c r="Q1029">
        <v>0.31</v>
      </c>
    </row>
    <row r="1030" spans="1:17" x14ac:dyDescent="0.35">
      <c r="A1030" t="s">
        <v>1031</v>
      </c>
      <c r="B1030" t="s">
        <v>2517</v>
      </c>
      <c r="C1030">
        <v>29</v>
      </c>
      <c r="D1030" t="s">
        <v>2990</v>
      </c>
      <c r="E1030" t="s">
        <v>2999</v>
      </c>
      <c r="F1030" t="s">
        <v>3019</v>
      </c>
      <c r="G1030">
        <v>19</v>
      </c>
      <c r="H1030">
        <v>725735</v>
      </c>
      <c r="I1030">
        <v>347069</v>
      </c>
      <c r="J1030">
        <v>14.88</v>
      </c>
      <c r="K1030">
        <v>24</v>
      </c>
      <c r="L1030" t="s">
        <v>3051</v>
      </c>
      <c r="M1030">
        <v>665</v>
      </c>
      <c r="N1030">
        <v>5</v>
      </c>
      <c r="O1030" t="s">
        <v>3056</v>
      </c>
      <c r="P1030" t="s">
        <v>3479</v>
      </c>
      <c r="Q1030">
        <v>0.47820000000000001</v>
      </c>
    </row>
    <row r="1031" spans="1:17" x14ac:dyDescent="0.35">
      <c r="A1031" t="s">
        <v>1032</v>
      </c>
      <c r="B1031" t="s">
        <v>2518</v>
      </c>
      <c r="C1031">
        <v>59</v>
      </c>
      <c r="D1031" t="s">
        <v>2990</v>
      </c>
      <c r="E1031" t="s">
        <v>3002</v>
      </c>
      <c r="F1031" t="s">
        <v>3020</v>
      </c>
      <c r="G1031">
        <v>24</v>
      </c>
      <c r="H1031">
        <v>804446</v>
      </c>
      <c r="I1031">
        <v>120546</v>
      </c>
      <c r="J1031">
        <v>14.07</v>
      </c>
      <c r="K1031">
        <v>36</v>
      </c>
      <c r="M1031">
        <v>838</v>
      </c>
      <c r="N1031">
        <v>2</v>
      </c>
      <c r="O1031" t="s">
        <v>3054</v>
      </c>
      <c r="P1031" t="s">
        <v>3850</v>
      </c>
      <c r="Q1031">
        <v>0.14979999999999999</v>
      </c>
    </row>
    <row r="1032" spans="1:17" x14ac:dyDescent="0.35">
      <c r="A1032" t="s">
        <v>1033</v>
      </c>
      <c r="B1032" t="s">
        <v>2519</v>
      </c>
      <c r="C1032">
        <v>43</v>
      </c>
      <c r="D1032" t="s">
        <v>2992</v>
      </c>
      <c r="E1032" t="s">
        <v>3000</v>
      </c>
      <c r="F1032" t="s">
        <v>3021</v>
      </c>
      <c r="G1032">
        <v>14</v>
      </c>
      <c r="H1032">
        <v>602381</v>
      </c>
      <c r="I1032">
        <v>230048</v>
      </c>
      <c r="J1032">
        <v>27.84</v>
      </c>
      <c r="K1032">
        <v>12</v>
      </c>
      <c r="L1032" t="s">
        <v>3049</v>
      </c>
      <c r="M1032">
        <v>726</v>
      </c>
      <c r="N1032">
        <v>0</v>
      </c>
      <c r="O1032" t="s">
        <v>3052</v>
      </c>
      <c r="P1032" t="s">
        <v>3126</v>
      </c>
      <c r="Q1032">
        <v>0.38190000000000002</v>
      </c>
    </row>
    <row r="1033" spans="1:17" x14ac:dyDescent="0.35">
      <c r="A1033" t="s">
        <v>1034</v>
      </c>
      <c r="B1033" t="s">
        <v>2520</v>
      </c>
      <c r="C1033">
        <v>48</v>
      </c>
      <c r="D1033" t="s">
        <v>2992</v>
      </c>
      <c r="E1033" t="s">
        <v>3004</v>
      </c>
      <c r="F1033" t="s">
        <v>3020</v>
      </c>
      <c r="G1033">
        <v>7</v>
      </c>
      <c r="H1033">
        <v>1566980</v>
      </c>
      <c r="I1033">
        <v>48328</v>
      </c>
      <c r="J1033">
        <v>14.5</v>
      </c>
      <c r="K1033">
        <v>60</v>
      </c>
      <c r="L1033" t="s">
        <v>3049</v>
      </c>
      <c r="M1033">
        <v>784</v>
      </c>
      <c r="N1033">
        <v>2</v>
      </c>
      <c r="O1033" t="s">
        <v>3054</v>
      </c>
      <c r="P1033" t="s">
        <v>3851</v>
      </c>
      <c r="Q1033">
        <v>3.0800000000000001E-2</v>
      </c>
    </row>
    <row r="1034" spans="1:17" x14ac:dyDescent="0.35">
      <c r="B1034" t="s">
        <v>2521</v>
      </c>
      <c r="C1034">
        <v>37</v>
      </c>
      <c r="D1034" t="s">
        <v>2992</v>
      </c>
      <c r="E1034" t="s">
        <v>3007</v>
      </c>
      <c r="F1034" t="s">
        <v>3018</v>
      </c>
      <c r="G1034">
        <v>3</v>
      </c>
      <c r="H1034">
        <v>653866</v>
      </c>
      <c r="I1034">
        <v>213839</v>
      </c>
      <c r="J1034">
        <v>11.12</v>
      </c>
      <c r="K1034">
        <v>60</v>
      </c>
      <c r="L1034" t="s">
        <v>3046</v>
      </c>
      <c r="M1034">
        <v>770</v>
      </c>
      <c r="N1034">
        <v>6</v>
      </c>
      <c r="O1034" t="s">
        <v>3053</v>
      </c>
      <c r="P1034" t="s">
        <v>3852</v>
      </c>
      <c r="Q1034">
        <v>0.32700000000000001</v>
      </c>
    </row>
    <row r="1035" spans="1:17" x14ac:dyDescent="0.35">
      <c r="A1035" t="s">
        <v>1035</v>
      </c>
      <c r="B1035" t="s">
        <v>2522</v>
      </c>
      <c r="C1035">
        <v>56</v>
      </c>
      <c r="D1035" t="s">
        <v>2992</v>
      </c>
      <c r="E1035" t="s">
        <v>2998</v>
      </c>
      <c r="F1035" t="s">
        <v>3018</v>
      </c>
      <c r="G1035">
        <v>4</v>
      </c>
      <c r="H1035">
        <v>296492</v>
      </c>
      <c r="I1035">
        <v>760520</v>
      </c>
      <c r="J1035">
        <v>13.92</v>
      </c>
      <c r="K1035">
        <v>24</v>
      </c>
      <c r="L1035" t="s">
        <v>3050</v>
      </c>
      <c r="M1035">
        <v>619</v>
      </c>
      <c r="N1035">
        <v>0</v>
      </c>
      <c r="O1035" t="s">
        <v>3055</v>
      </c>
      <c r="P1035" t="s">
        <v>3853</v>
      </c>
      <c r="Q1035">
        <v>2.5651000000000002</v>
      </c>
    </row>
    <row r="1036" spans="1:17" x14ac:dyDescent="0.35">
      <c r="A1036" t="s">
        <v>1036</v>
      </c>
      <c r="B1036" t="s">
        <v>2523</v>
      </c>
      <c r="C1036">
        <v>25</v>
      </c>
      <c r="D1036" t="s">
        <v>2992</v>
      </c>
      <c r="E1036" t="s">
        <v>3002</v>
      </c>
      <c r="F1036" t="s">
        <v>3021</v>
      </c>
      <c r="G1036">
        <v>15</v>
      </c>
      <c r="H1036">
        <v>1259924</v>
      </c>
      <c r="I1036">
        <v>23696</v>
      </c>
      <c r="J1036">
        <v>9.67</v>
      </c>
      <c r="K1036">
        <v>36</v>
      </c>
      <c r="L1036" t="s">
        <v>3049</v>
      </c>
      <c r="M1036">
        <v>714</v>
      </c>
      <c r="N1036">
        <v>6</v>
      </c>
      <c r="O1036" t="s">
        <v>3053</v>
      </c>
      <c r="P1036" t="s">
        <v>3854</v>
      </c>
      <c r="Q1036">
        <v>1.8800000000000001E-2</v>
      </c>
    </row>
    <row r="1037" spans="1:17" x14ac:dyDescent="0.35">
      <c r="A1037" t="s">
        <v>1037</v>
      </c>
      <c r="B1037" t="s">
        <v>2524</v>
      </c>
      <c r="C1037">
        <v>46</v>
      </c>
      <c r="D1037" t="s">
        <v>2992</v>
      </c>
      <c r="E1037" t="s">
        <v>3002</v>
      </c>
      <c r="F1037" t="s">
        <v>3020</v>
      </c>
      <c r="G1037">
        <v>24</v>
      </c>
      <c r="H1037">
        <v>1030538</v>
      </c>
      <c r="I1037">
        <v>50099</v>
      </c>
      <c r="J1037">
        <v>15.22</v>
      </c>
      <c r="K1037">
        <v>12</v>
      </c>
      <c r="L1037" t="s">
        <v>3050</v>
      </c>
      <c r="M1037">
        <v>589</v>
      </c>
      <c r="N1037">
        <v>2</v>
      </c>
      <c r="O1037" t="s">
        <v>3054</v>
      </c>
      <c r="P1037" t="s">
        <v>3855</v>
      </c>
      <c r="Q1037">
        <v>4.8599999999999997E-2</v>
      </c>
    </row>
    <row r="1038" spans="1:17" x14ac:dyDescent="0.35">
      <c r="A1038" t="s">
        <v>1038</v>
      </c>
      <c r="B1038" t="s">
        <v>2525</v>
      </c>
      <c r="C1038">
        <v>53</v>
      </c>
      <c r="D1038" t="s">
        <v>2992</v>
      </c>
      <c r="E1038" t="s">
        <v>3000</v>
      </c>
      <c r="F1038" t="s">
        <v>3019</v>
      </c>
      <c r="G1038">
        <v>0</v>
      </c>
      <c r="H1038">
        <v>405019</v>
      </c>
      <c r="I1038">
        <v>142332</v>
      </c>
      <c r="J1038">
        <v>20.04</v>
      </c>
      <c r="K1038">
        <v>48</v>
      </c>
      <c r="L1038" t="s">
        <v>3049</v>
      </c>
      <c r="M1038">
        <v>527</v>
      </c>
      <c r="N1038">
        <v>6</v>
      </c>
      <c r="O1038" t="s">
        <v>3052</v>
      </c>
      <c r="P1038" t="s">
        <v>3856</v>
      </c>
      <c r="Q1038">
        <v>0.35139999999999999</v>
      </c>
    </row>
    <row r="1039" spans="1:17" x14ac:dyDescent="0.35">
      <c r="A1039" t="s">
        <v>1039</v>
      </c>
      <c r="B1039" t="s">
        <v>2526</v>
      </c>
      <c r="C1039">
        <v>64</v>
      </c>
      <c r="D1039" t="s">
        <v>2990</v>
      </c>
      <c r="E1039" t="s">
        <v>3001</v>
      </c>
      <c r="F1039" t="s">
        <v>3020</v>
      </c>
      <c r="G1039">
        <v>4</v>
      </c>
      <c r="H1039">
        <v>460466</v>
      </c>
      <c r="I1039">
        <v>559243</v>
      </c>
      <c r="J1039">
        <v>23.97</v>
      </c>
      <c r="K1039">
        <v>24</v>
      </c>
      <c r="L1039" t="s">
        <v>3046</v>
      </c>
      <c r="M1039">
        <v>837</v>
      </c>
      <c r="N1039">
        <v>6</v>
      </c>
      <c r="O1039" t="s">
        <v>3061</v>
      </c>
      <c r="P1039" t="s">
        <v>3389</v>
      </c>
      <c r="Q1039">
        <v>1.2144999999999999</v>
      </c>
    </row>
    <row r="1040" spans="1:17" x14ac:dyDescent="0.35">
      <c r="A1040" t="s">
        <v>1040</v>
      </c>
      <c r="B1040" t="s">
        <v>2527</v>
      </c>
      <c r="C1040">
        <v>57</v>
      </c>
      <c r="D1040" t="s">
        <v>2990</v>
      </c>
      <c r="E1040" t="s">
        <v>2999</v>
      </c>
      <c r="F1040" t="s">
        <v>3018</v>
      </c>
      <c r="G1040">
        <v>4</v>
      </c>
      <c r="H1040">
        <v>498766</v>
      </c>
      <c r="I1040">
        <v>790824</v>
      </c>
      <c r="J1040">
        <v>14.69</v>
      </c>
      <c r="K1040">
        <v>36</v>
      </c>
      <c r="L1040" t="s">
        <v>3049</v>
      </c>
      <c r="M1040">
        <v>559</v>
      </c>
      <c r="N1040">
        <v>6</v>
      </c>
      <c r="O1040" t="s">
        <v>3055</v>
      </c>
      <c r="P1040" t="s">
        <v>3857</v>
      </c>
      <c r="Q1040">
        <v>1.5855999999999999</v>
      </c>
    </row>
    <row r="1041" spans="1:17" x14ac:dyDescent="0.35">
      <c r="A1041" t="s">
        <v>1041</v>
      </c>
      <c r="B1041" t="s">
        <v>2528</v>
      </c>
      <c r="C1041">
        <v>49</v>
      </c>
      <c r="D1041" t="s">
        <v>2990</v>
      </c>
      <c r="E1041" t="s">
        <v>3004</v>
      </c>
      <c r="F1041" t="s">
        <v>3019</v>
      </c>
      <c r="G1041">
        <v>0</v>
      </c>
      <c r="H1041">
        <v>1754833</v>
      </c>
      <c r="I1041">
        <v>148389</v>
      </c>
      <c r="J1041">
        <v>8.52</v>
      </c>
      <c r="K1041">
        <v>24</v>
      </c>
      <c r="L1041" t="s">
        <v>3046</v>
      </c>
      <c r="M1041">
        <v>652</v>
      </c>
      <c r="N1041">
        <v>2</v>
      </c>
      <c r="O1041" t="s">
        <v>3057</v>
      </c>
      <c r="P1041" t="s">
        <v>3858</v>
      </c>
      <c r="Q1041">
        <v>8.4599999999999995E-2</v>
      </c>
    </row>
    <row r="1042" spans="1:17" x14ac:dyDescent="0.35">
      <c r="A1042" t="s">
        <v>1042</v>
      </c>
      <c r="B1042" t="s">
        <v>2529</v>
      </c>
      <c r="C1042">
        <v>49</v>
      </c>
      <c r="D1042" t="s">
        <v>2990</v>
      </c>
      <c r="E1042" t="s">
        <v>3006</v>
      </c>
      <c r="F1042" t="s">
        <v>3020</v>
      </c>
      <c r="G1042">
        <v>3</v>
      </c>
      <c r="H1042">
        <v>2020914</v>
      </c>
      <c r="I1042">
        <v>652405</v>
      </c>
      <c r="J1042">
        <v>25.23</v>
      </c>
      <c r="K1042">
        <v>24</v>
      </c>
      <c r="L1042" t="s">
        <v>3049</v>
      </c>
      <c r="M1042">
        <v>464</v>
      </c>
      <c r="N1042">
        <v>1</v>
      </c>
      <c r="O1042" t="s">
        <v>3055</v>
      </c>
      <c r="P1042" t="s">
        <v>3859</v>
      </c>
      <c r="Q1042">
        <v>0.32279999999999998</v>
      </c>
    </row>
    <row r="1043" spans="1:17" x14ac:dyDescent="0.35">
      <c r="A1043" t="s">
        <v>1043</v>
      </c>
      <c r="B1043" t="s">
        <v>2530</v>
      </c>
      <c r="C1043">
        <v>35</v>
      </c>
      <c r="D1043" t="s">
        <v>2992</v>
      </c>
      <c r="E1043" t="s">
        <v>3007</v>
      </c>
      <c r="F1043" t="s">
        <v>3018</v>
      </c>
      <c r="G1043">
        <v>26</v>
      </c>
      <c r="H1043">
        <v>1023804</v>
      </c>
      <c r="I1043">
        <v>687540</v>
      </c>
      <c r="J1043">
        <v>23.46</v>
      </c>
      <c r="K1043">
        <v>60</v>
      </c>
      <c r="L1043" t="s">
        <v>3051</v>
      </c>
      <c r="M1043">
        <v>695</v>
      </c>
      <c r="N1043">
        <v>0</v>
      </c>
      <c r="O1043" t="s">
        <v>3057</v>
      </c>
      <c r="P1043" t="s">
        <v>3177</v>
      </c>
      <c r="Q1043">
        <v>0.67159999999999997</v>
      </c>
    </row>
    <row r="1044" spans="1:17" x14ac:dyDescent="0.35">
      <c r="A1044" t="s">
        <v>1044</v>
      </c>
      <c r="B1044" t="s">
        <v>2531</v>
      </c>
      <c r="C1044">
        <v>61</v>
      </c>
      <c r="D1044" t="s">
        <v>2992</v>
      </c>
      <c r="E1044" t="s">
        <v>3003</v>
      </c>
      <c r="F1044" t="s">
        <v>3018</v>
      </c>
      <c r="G1044">
        <v>3</v>
      </c>
      <c r="H1044">
        <v>2115740</v>
      </c>
      <c r="I1044">
        <v>305622</v>
      </c>
      <c r="J1044">
        <v>23.02</v>
      </c>
      <c r="K1044">
        <v>48</v>
      </c>
      <c r="L1044" t="s">
        <v>3048</v>
      </c>
      <c r="M1044">
        <v>491</v>
      </c>
      <c r="N1044">
        <v>2</v>
      </c>
      <c r="O1044" t="s">
        <v>3057</v>
      </c>
      <c r="P1044" t="s">
        <v>3860</v>
      </c>
      <c r="Q1044">
        <v>0.14449999999999999</v>
      </c>
    </row>
    <row r="1045" spans="1:17" x14ac:dyDescent="0.35">
      <c r="A1045" t="s">
        <v>1045</v>
      </c>
      <c r="B1045" t="s">
        <v>2532</v>
      </c>
      <c r="C1045">
        <v>46</v>
      </c>
      <c r="D1045" t="s">
        <v>2992</v>
      </c>
      <c r="E1045" t="s">
        <v>3000</v>
      </c>
      <c r="F1045" t="s">
        <v>3020</v>
      </c>
      <c r="G1045">
        <v>19</v>
      </c>
      <c r="H1045">
        <v>909497</v>
      </c>
      <c r="I1045">
        <v>695453</v>
      </c>
      <c r="J1045">
        <v>27.67</v>
      </c>
      <c r="K1045">
        <v>60</v>
      </c>
      <c r="L1045" t="s">
        <v>3046</v>
      </c>
      <c r="M1045">
        <v>427</v>
      </c>
      <c r="N1045">
        <v>2</v>
      </c>
      <c r="O1045" t="s">
        <v>3052</v>
      </c>
      <c r="P1045" t="s">
        <v>3080</v>
      </c>
      <c r="Q1045">
        <v>0.76470000000000005</v>
      </c>
    </row>
    <row r="1046" spans="1:17" x14ac:dyDescent="0.35">
      <c r="A1046" t="s">
        <v>1046</v>
      </c>
      <c r="B1046" t="s">
        <v>2533</v>
      </c>
      <c r="C1046">
        <v>59</v>
      </c>
      <c r="D1046" t="s">
        <v>2990</v>
      </c>
      <c r="E1046" t="s">
        <v>3003</v>
      </c>
      <c r="F1046" t="s">
        <v>3021</v>
      </c>
      <c r="G1046">
        <v>29</v>
      </c>
      <c r="H1046">
        <v>404695</v>
      </c>
      <c r="I1046">
        <v>74575</v>
      </c>
      <c r="J1046">
        <v>20.23</v>
      </c>
      <c r="K1046">
        <v>60</v>
      </c>
      <c r="L1046" t="s">
        <v>3050</v>
      </c>
      <c r="M1046">
        <v>392</v>
      </c>
      <c r="N1046">
        <v>7</v>
      </c>
      <c r="O1046" t="s">
        <v>3052</v>
      </c>
      <c r="P1046" t="s">
        <v>3087</v>
      </c>
      <c r="Q1046">
        <v>0.18429999999999999</v>
      </c>
    </row>
    <row r="1047" spans="1:17" x14ac:dyDescent="0.35">
      <c r="A1047" t="s">
        <v>1047</v>
      </c>
      <c r="B1047" t="s">
        <v>2534</v>
      </c>
      <c r="C1047">
        <v>35</v>
      </c>
      <c r="D1047" t="s">
        <v>2990</v>
      </c>
      <c r="E1047" t="s">
        <v>3002</v>
      </c>
      <c r="F1047" t="s">
        <v>3018</v>
      </c>
      <c r="G1047">
        <v>28</v>
      </c>
      <c r="H1047">
        <v>1919080</v>
      </c>
      <c r="I1047">
        <v>757090</v>
      </c>
      <c r="J1047">
        <v>10.64</v>
      </c>
      <c r="K1047">
        <v>12</v>
      </c>
      <c r="L1047" t="s">
        <v>3046</v>
      </c>
      <c r="M1047">
        <v>826</v>
      </c>
      <c r="N1047">
        <v>3</v>
      </c>
      <c r="O1047" t="s">
        <v>3055</v>
      </c>
      <c r="P1047" t="s">
        <v>3861</v>
      </c>
      <c r="Q1047">
        <v>0.39450000000000002</v>
      </c>
    </row>
    <row r="1048" spans="1:17" x14ac:dyDescent="0.35">
      <c r="A1048" t="s">
        <v>1048</v>
      </c>
      <c r="B1048" t="s">
        <v>2535</v>
      </c>
      <c r="C1048">
        <v>26</v>
      </c>
      <c r="D1048" t="s">
        <v>2990</v>
      </c>
      <c r="E1048" t="s">
        <v>3006</v>
      </c>
      <c r="F1048" t="s">
        <v>3018</v>
      </c>
      <c r="G1048">
        <v>13</v>
      </c>
      <c r="H1048">
        <v>1642073</v>
      </c>
      <c r="I1048">
        <v>115556</v>
      </c>
      <c r="J1048">
        <v>9.59</v>
      </c>
      <c r="K1048">
        <v>12</v>
      </c>
      <c r="L1048" t="s">
        <v>3047</v>
      </c>
      <c r="M1048">
        <v>815</v>
      </c>
      <c r="N1048">
        <v>6</v>
      </c>
      <c r="O1048" t="s">
        <v>3057</v>
      </c>
      <c r="P1048" t="s">
        <v>3312</v>
      </c>
      <c r="Q1048">
        <v>7.0400000000000004E-2</v>
      </c>
    </row>
    <row r="1049" spans="1:17" x14ac:dyDescent="0.35">
      <c r="A1049" t="s">
        <v>1049</v>
      </c>
      <c r="B1049" t="s">
        <v>2536</v>
      </c>
      <c r="C1049">
        <v>46</v>
      </c>
      <c r="D1049" t="s">
        <v>2990</v>
      </c>
      <c r="E1049" t="s">
        <v>3002</v>
      </c>
      <c r="F1049" t="s">
        <v>3019</v>
      </c>
      <c r="G1049">
        <v>16</v>
      </c>
      <c r="H1049">
        <v>1259583</v>
      </c>
      <c r="I1049">
        <v>367220</v>
      </c>
      <c r="J1049">
        <v>14.64</v>
      </c>
      <c r="K1049">
        <v>48</v>
      </c>
      <c r="L1049" t="s">
        <v>3046</v>
      </c>
      <c r="N1049">
        <v>6</v>
      </c>
      <c r="O1049" t="s">
        <v>3056</v>
      </c>
      <c r="P1049" t="s">
        <v>3862</v>
      </c>
      <c r="Q1049">
        <v>0.29149999999999998</v>
      </c>
    </row>
    <row r="1050" spans="1:17" x14ac:dyDescent="0.35">
      <c r="A1050" t="s">
        <v>1050</v>
      </c>
      <c r="B1050" t="s">
        <v>2537</v>
      </c>
      <c r="C1050">
        <v>44</v>
      </c>
      <c r="D1050" t="s">
        <v>2990</v>
      </c>
      <c r="E1050" t="s">
        <v>3004</v>
      </c>
      <c r="F1050" t="s">
        <v>3018</v>
      </c>
      <c r="G1050">
        <v>20</v>
      </c>
      <c r="H1050">
        <v>1523276</v>
      </c>
      <c r="I1050">
        <v>407025</v>
      </c>
      <c r="J1050">
        <v>27.81</v>
      </c>
      <c r="K1050">
        <v>60</v>
      </c>
      <c r="L1050" t="s">
        <v>3047</v>
      </c>
      <c r="M1050">
        <v>574</v>
      </c>
      <c r="N1050">
        <v>2</v>
      </c>
      <c r="O1050" t="s">
        <v>3052</v>
      </c>
      <c r="P1050" t="s">
        <v>3863</v>
      </c>
      <c r="Q1050">
        <v>0.26719999999999999</v>
      </c>
    </row>
    <row r="1051" spans="1:17" x14ac:dyDescent="0.35">
      <c r="A1051" t="s">
        <v>1051</v>
      </c>
      <c r="B1051" t="s">
        <v>2538</v>
      </c>
      <c r="C1051">
        <v>37</v>
      </c>
      <c r="D1051" t="s">
        <v>2992</v>
      </c>
      <c r="E1051" t="s">
        <v>3003</v>
      </c>
      <c r="F1051" t="s">
        <v>3018</v>
      </c>
      <c r="G1051">
        <v>2</v>
      </c>
      <c r="H1051">
        <v>1906676</v>
      </c>
      <c r="I1051">
        <v>790097</v>
      </c>
      <c r="J1051">
        <v>17.03</v>
      </c>
      <c r="K1051">
        <v>36</v>
      </c>
      <c r="L1051" t="s">
        <v>3048</v>
      </c>
      <c r="M1051">
        <v>569</v>
      </c>
      <c r="N1051">
        <v>1</v>
      </c>
      <c r="O1051" t="s">
        <v>3052</v>
      </c>
      <c r="P1051" t="s">
        <v>3240</v>
      </c>
      <c r="Q1051">
        <v>0.41439999999999999</v>
      </c>
    </row>
    <row r="1052" spans="1:17" x14ac:dyDescent="0.35">
      <c r="A1052" t="s">
        <v>1052</v>
      </c>
      <c r="B1052" t="s">
        <v>2539</v>
      </c>
      <c r="C1052">
        <v>43</v>
      </c>
      <c r="D1052" t="s">
        <v>2990</v>
      </c>
      <c r="E1052" t="s">
        <v>3005</v>
      </c>
      <c r="F1052" t="s">
        <v>3019</v>
      </c>
      <c r="G1052">
        <v>10</v>
      </c>
      <c r="H1052">
        <v>208625</v>
      </c>
      <c r="I1052">
        <v>444528</v>
      </c>
      <c r="J1052">
        <v>15.86</v>
      </c>
      <c r="K1052">
        <v>12</v>
      </c>
      <c r="L1052" t="s">
        <v>3051</v>
      </c>
      <c r="M1052">
        <v>700</v>
      </c>
      <c r="N1052">
        <v>3</v>
      </c>
      <c r="O1052" t="s">
        <v>3055</v>
      </c>
      <c r="P1052" t="s">
        <v>3065</v>
      </c>
      <c r="Q1052">
        <v>2.1307999999999998</v>
      </c>
    </row>
    <row r="1053" spans="1:17" x14ac:dyDescent="0.35">
      <c r="A1053" t="s">
        <v>1053</v>
      </c>
      <c r="B1053" t="s">
        <v>2540</v>
      </c>
      <c r="C1053">
        <v>24</v>
      </c>
      <c r="D1053" t="s">
        <v>2990</v>
      </c>
      <c r="E1053" t="s">
        <v>3005</v>
      </c>
      <c r="F1053" t="s">
        <v>3019</v>
      </c>
      <c r="G1053">
        <v>11</v>
      </c>
      <c r="H1053">
        <v>799369</v>
      </c>
      <c r="I1053">
        <v>201196</v>
      </c>
      <c r="J1053">
        <v>14.95</v>
      </c>
      <c r="K1053">
        <v>60</v>
      </c>
      <c r="L1053" t="s">
        <v>3051</v>
      </c>
      <c r="N1053">
        <v>2</v>
      </c>
      <c r="O1053" t="s">
        <v>3055</v>
      </c>
      <c r="P1053" t="s">
        <v>3864</v>
      </c>
      <c r="Q1053">
        <v>0.25169999999999998</v>
      </c>
    </row>
    <row r="1054" spans="1:17" x14ac:dyDescent="0.35">
      <c r="A1054" t="s">
        <v>1054</v>
      </c>
      <c r="B1054" t="s">
        <v>2541</v>
      </c>
      <c r="C1054">
        <v>32</v>
      </c>
      <c r="D1054" t="s">
        <v>2990</v>
      </c>
      <c r="E1054" t="s">
        <v>3001</v>
      </c>
      <c r="F1054" t="s">
        <v>3020</v>
      </c>
      <c r="G1054">
        <v>24</v>
      </c>
      <c r="H1054">
        <v>1974291</v>
      </c>
      <c r="I1054">
        <v>646256</v>
      </c>
      <c r="J1054">
        <v>20.14</v>
      </c>
      <c r="K1054">
        <v>60</v>
      </c>
      <c r="L1054" t="s">
        <v>3050</v>
      </c>
      <c r="M1054">
        <v>614</v>
      </c>
      <c r="N1054">
        <v>1</v>
      </c>
      <c r="O1054" t="s">
        <v>3052</v>
      </c>
      <c r="P1054" t="s">
        <v>3568</v>
      </c>
      <c r="Q1054">
        <v>0.32729999999999998</v>
      </c>
    </row>
    <row r="1055" spans="1:17" x14ac:dyDescent="0.35">
      <c r="A1055" t="s">
        <v>1055</v>
      </c>
      <c r="B1055" t="s">
        <v>2542</v>
      </c>
      <c r="C1055">
        <v>50</v>
      </c>
      <c r="D1055" t="s">
        <v>2992</v>
      </c>
      <c r="E1055" t="s">
        <v>3012</v>
      </c>
      <c r="F1055" t="s">
        <v>3019</v>
      </c>
      <c r="G1055">
        <v>6</v>
      </c>
      <c r="H1055">
        <v>2197107</v>
      </c>
      <c r="I1055">
        <v>174626</v>
      </c>
      <c r="J1055">
        <v>19.559999999999999</v>
      </c>
      <c r="K1055">
        <v>48</v>
      </c>
      <c r="L1055" t="s">
        <v>3046</v>
      </c>
      <c r="M1055">
        <v>553</v>
      </c>
      <c r="N1055">
        <v>7</v>
      </c>
      <c r="O1055" t="s">
        <v>3052</v>
      </c>
      <c r="P1055" t="s">
        <v>3865</v>
      </c>
      <c r="Q1055">
        <v>7.9500000000000001E-2</v>
      </c>
    </row>
    <row r="1056" spans="1:17" x14ac:dyDescent="0.35">
      <c r="A1056" t="s">
        <v>1056</v>
      </c>
      <c r="B1056" t="s">
        <v>2543</v>
      </c>
      <c r="C1056">
        <v>56</v>
      </c>
      <c r="D1056" t="s">
        <v>2992</v>
      </c>
      <c r="E1056" t="s">
        <v>3004</v>
      </c>
      <c r="F1056" t="s">
        <v>3021</v>
      </c>
      <c r="G1056">
        <v>7</v>
      </c>
      <c r="H1056">
        <v>2088802</v>
      </c>
      <c r="I1056">
        <v>688516</v>
      </c>
      <c r="J1056">
        <v>18.010000000000002</v>
      </c>
      <c r="K1056">
        <v>24</v>
      </c>
      <c r="L1056" t="s">
        <v>3047</v>
      </c>
      <c r="M1056">
        <v>308</v>
      </c>
      <c r="N1056">
        <v>5</v>
      </c>
      <c r="O1056" t="s">
        <v>3054</v>
      </c>
      <c r="P1056" t="s">
        <v>3865</v>
      </c>
      <c r="Q1056">
        <v>0.3296</v>
      </c>
    </row>
    <row r="1057" spans="1:17" x14ac:dyDescent="0.35">
      <c r="A1057" t="s">
        <v>1057</v>
      </c>
      <c r="B1057" t="s">
        <v>2544</v>
      </c>
      <c r="C1057">
        <v>33</v>
      </c>
      <c r="D1057" t="s">
        <v>2992</v>
      </c>
      <c r="E1057" t="s">
        <v>2998</v>
      </c>
      <c r="F1057" t="s">
        <v>3021</v>
      </c>
      <c r="G1057">
        <v>17</v>
      </c>
      <c r="H1057">
        <v>2140155</v>
      </c>
      <c r="I1057">
        <v>198969</v>
      </c>
      <c r="J1057">
        <v>21.65</v>
      </c>
      <c r="K1057">
        <v>24</v>
      </c>
      <c r="L1057" t="s">
        <v>3050</v>
      </c>
      <c r="M1057">
        <v>486</v>
      </c>
      <c r="N1057">
        <v>4</v>
      </c>
      <c r="O1057" t="s">
        <v>3055</v>
      </c>
      <c r="P1057" t="s">
        <v>3097</v>
      </c>
      <c r="Q1057">
        <v>9.2999999999999999E-2</v>
      </c>
    </row>
    <row r="1058" spans="1:17" x14ac:dyDescent="0.35">
      <c r="A1058" t="s">
        <v>1058</v>
      </c>
      <c r="B1058" t="s">
        <v>2545</v>
      </c>
      <c r="C1058">
        <v>64</v>
      </c>
      <c r="D1058" t="s">
        <v>2992</v>
      </c>
      <c r="E1058" t="s">
        <v>3001</v>
      </c>
      <c r="F1058" t="s">
        <v>3020</v>
      </c>
      <c r="G1058">
        <v>0</v>
      </c>
      <c r="H1058">
        <v>1241339</v>
      </c>
      <c r="I1058">
        <v>771731</v>
      </c>
      <c r="J1058">
        <v>22.19</v>
      </c>
      <c r="K1058">
        <v>48</v>
      </c>
      <c r="L1058" t="s">
        <v>3051</v>
      </c>
      <c r="M1058">
        <v>556</v>
      </c>
      <c r="N1058">
        <v>0</v>
      </c>
      <c r="O1058" t="s">
        <v>3055</v>
      </c>
      <c r="P1058" t="s">
        <v>3383</v>
      </c>
      <c r="Q1058">
        <v>0.62170000000000003</v>
      </c>
    </row>
    <row r="1059" spans="1:17" x14ac:dyDescent="0.35">
      <c r="A1059" t="s">
        <v>1059</v>
      </c>
      <c r="B1059" t="s">
        <v>2546</v>
      </c>
      <c r="C1059">
        <v>39</v>
      </c>
      <c r="D1059" t="s">
        <v>2990</v>
      </c>
      <c r="E1059" t="s">
        <v>3001</v>
      </c>
      <c r="G1059">
        <v>11</v>
      </c>
      <c r="H1059">
        <v>623031</v>
      </c>
      <c r="I1059">
        <v>650421</v>
      </c>
      <c r="J1059">
        <v>18.39</v>
      </c>
      <c r="K1059">
        <v>12</v>
      </c>
      <c r="L1059" t="s">
        <v>3049</v>
      </c>
      <c r="M1059">
        <v>645</v>
      </c>
      <c r="N1059">
        <v>2</v>
      </c>
      <c r="O1059" t="s">
        <v>3053</v>
      </c>
      <c r="P1059" t="s">
        <v>3118</v>
      </c>
      <c r="Q1059">
        <v>1.044</v>
      </c>
    </row>
    <row r="1060" spans="1:17" x14ac:dyDescent="0.35">
      <c r="A1060" t="s">
        <v>1060</v>
      </c>
      <c r="B1060" t="s">
        <v>2547</v>
      </c>
      <c r="C1060">
        <v>51</v>
      </c>
      <c r="D1060" t="s">
        <v>2990</v>
      </c>
      <c r="E1060" t="s">
        <v>3000</v>
      </c>
      <c r="F1060" t="s">
        <v>3021</v>
      </c>
      <c r="G1060">
        <v>9</v>
      </c>
      <c r="H1060">
        <v>1919461</v>
      </c>
      <c r="I1060">
        <v>693812</v>
      </c>
      <c r="J1060">
        <v>23.6</v>
      </c>
      <c r="K1060">
        <v>60</v>
      </c>
      <c r="L1060" t="s">
        <v>3046</v>
      </c>
      <c r="M1060">
        <v>634</v>
      </c>
      <c r="N1060">
        <v>2</v>
      </c>
      <c r="O1060" t="s">
        <v>3054</v>
      </c>
      <c r="P1060" t="s">
        <v>3866</v>
      </c>
      <c r="Q1060">
        <v>0.36149999999999999</v>
      </c>
    </row>
    <row r="1061" spans="1:17" x14ac:dyDescent="0.35">
      <c r="A1061" t="s">
        <v>1061</v>
      </c>
      <c r="B1061" t="s">
        <v>2548</v>
      </c>
      <c r="C1061">
        <v>46</v>
      </c>
      <c r="D1061" t="s">
        <v>2992</v>
      </c>
      <c r="E1061" t="s">
        <v>3006</v>
      </c>
      <c r="F1061" t="s">
        <v>3020</v>
      </c>
      <c r="G1061">
        <v>11</v>
      </c>
      <c r="H1061">
        <v>2332299</v>
      </c>
      <c r="I1061">
        <v>73053</v>
      </c>
      <c r="J1061">
        <v>8.08</v>
      </c>
      <c r="K1061">
        <v>60</v>
      </c>
      <c r="L1061" t="s">
        <v>3051</v>
      </c>
      <c r="M1061">
        <v>310</v>
      </c>
      <c r="N1061">
        <v>4</v>
      </c>
      <c r="O1061" t="s">
        <v>3052</v>
      </c>
      <c r="P1061" t="s">
        <v>3867</v>
      </c>
      <c r="Q1061">
        <v>3.1300000000000001E-2</v>
      </c>
    </row>
    <row r="1062" spans="1:17" x14ac:dyDescent="0.35">
      <c r="A1062" t="s">
        <v>1062</v>
      </c>
      <c r="B1062" t="s">
        <v>2549</v>
      </c>
      <c r="C1062">
        <v>31</v>
      </c>
      <c r="D1062" t="s">
        <v>2992</v>
      </c>
      <c r="E1062" t="s">
        <v>3005</v>
      </c>
      <c r="F1062" t="s">
        <v>3020</v>
      </c>
      <c r="G1062">
        <v>12</v>
      </c>
      <c r="H1062">
        <v>1533324</v>
      </c>
      <c r="I1062">
        <v>506675</v>
      </c>
      <c r="J1062">
        <v>11.38</v>
      </c>
      <c r="K1062">
        <v>12</v>
      </c>
      <c r="L1062" t="s">
        <v>3050</v>
      </c>
      <c r="M1062">
        <v>327</v>
      </c>
      <c r="N1062">
        <v>4</v>
      </c>
      <c r="O1062" t="s">
        <v>3055</v>
      </c>
      <c r="P1062" t="s">
        <v>3868</v>
      </c>
      <c r="Q1062">
        <v>0.33040000000000003</v>
      </c>
    </row>
    <row r="1063" spans="1:17" x14ac:dyDescent="0.35">
      <c r="A1063" t="s">
        <v>1063</v>
      </c>
      <c r="B1063" t="s">
        <v>2550</v>
      </c>
      <c r="C1063">
        <v>49</v>
      </c>
      <c r="D1063" t="s">
        <v>2992</v>
      </c>
      <c r="E1063" t="s">
        <v>3003</v>
      </c>
      <c r="F1063" t="s">
        <v>3018</v>
      </c>
      <c r="G1063">
        <v>6</v>
      </c>
      <c r="H1063">
        <v>2098370</v>
      </c>
      <c r="I1063">
        <v>557977</v>
      </c>
      <c r="J1063">
        <v>18.29</v>
      </c>
      <c r="K1063">
        <v>24</v>
      </c>
      <c r="L1063" t="s">
        <v>3051</v>
      </c>
      <c r="M1063">
        <v>794</v>
      </c>
      <c r="N1063">
        <v>4</v>
      </c>
      <c r="O1063" t="s">
        <v>3056</v>
      </c>
      <c r="P1063" t="s">
        <v>3188</v>
      </c>
      <c r="Q1063">
        <v>0.26590000000000003</v>
      </c>
    </row>
    <row r="1064" spans="1:17" x14ac:dyDescent="0.35">
      <c r="A1064" t="s">
        <v>1064</v>
      </c>
      <c r="B1064" t="s">
        <v>2551</v>
      </c>
      <c r="C1064">
        <v>63</v>
      </c>
      <c r="D1064" t="s">
        <v>2992</v>
      </c>
      <c r="E1064" t="s">
        <v>3006</v>
      </c>
      <c r="F1064" t="s">
        <v>3020</v>
      </c>
      <c r="G1064">
        <v>10</v>
      </c>
      <c r="H1064">
        <v>195434</v>
      </c>
      <c r="I1064">
        <v>269265</v>
      </c>
      <c r="J1064">
        <v>26.52</v>
      </c>
      <c r="K1064">
        <v>24</v>
      </c>
      <c r="L1064" t="s">
        <v>3047</v>
      </c>
      <c r="M1064">
        <v>361</v>
      </c>
      <c r="N1064">
        <v>1</v>
      </c>
      <c r="O1064" t="s">
        <v>3057</v>
      </c>
      <c r="P1064" t="s">
        <v>3869</v>
      </c>
      <c r="Q1064">
        <v>1.3777999999999999</v>
      </c>
    </row>
    <row r="1065" spans="1:17" x14ac:dyDescent="0.35">
      <c r="A1065" t="s">
        <v>1065</v>
      </c>
      <c r="B1065" t="s">
        <v>2552</v>
      </c>
      <c r="C1065">
        <v>34</v>
      </c>
      <c r="D1065" t="s">
        <v>2992</v>
      </c>
      <c r="E1065" t="s">
        <v>3006</v>
      </c>
      <c r="F1065" t="s">
        <v>3019</v>
      </c>
      <c r="G1065">
        <v>2</v>
      </c>
      <c r="H1065">
        <v>574583</v>
      </c>
      <c r="I1065">
        <v>778108</v>
      </c>
      <c r="J1065">
        <v>19.77</v>
      </c>
      <c r="K1065">
        <v>24</v>
      </c>
      <c r="L1065" t="s">
        <v>3048</v>
      </c>
      <c r="M1065">
        <v>552</v>
      </c>
      <c r="N1065">
        <v>4</v>
      </c>
      <c r="O1065" t="s">
        <v>3053</v>
      </c>
      <c r="P1065" t="s">
        <v>3870</v>
      </c>
      <c r="Q1065">
        <v>1.3542000000000001</v>
      </c>
    </row>
    <row r="1066" spans="1:17" x14ac:dyDescent="0.35">
      <c r="A1066" t="s">
        <v>1066</v>
      </c>
      <c r="B1066" t="s">
        <v>2553</v>
      </c>
      <c r="C1066">
        <v>59</v>
      </c>
      <c r="D1066" t="s">
        <v>2990</v>
      </c>
      <c r="E1066" t="s">
        <v>3006</v>
      </c>
      <c r="F1066" t="s">
        <v>3021</v>
      </c>
      <c r="G1066">
        <v>12</v>
      </c>
      <c r="H1066">
        <v>1149211</v>
      </c>
      <c r="I1066">
        <v>675129</v>
      </c>
      <c r="J1066">
        <v>27.13</v>
      </c>
      <c r="K1066">
        <v>24</v>
      </c>
      <c r="L1066" t="s">
        <v>3046</v>
      </c>
      <c r="M1066">
        <v>624</v>
      </c>
      <c r="N1066">
        <v>7</v>
      </c>
      <c r="O1066" t="s">
        <v>3054</v>
      </c>
      <c r="P1066" t="s">
        <v>3339</v>
      </c>
      <c r="Q1066">
        <v>0.58750000000000002</v>
      </c>
    </row>
    <row r="1067" spans="1:17" x14ac:dyDescent="0.35">
      <c r="A1067" t="s">
        <v>1067</v>
      </c>
      <c r="B1067" t="s">
        <v>2554</v>
      </c>
      <c r="C1067">
        <v>44</v>
      </c>
      <c r="D1067" t="s">
        <v>2992</v>
      </c>
      <c r="E1067" t="s">
        <v>3005</v>
      </c>
      <c r="F1067" t="s">
        <v>3020</v>
      </c>
      <c r="G1067">
        <v>5</v>
      </c>
      <c r="H1067">
        <v>423306</v>
      </c>
      <c r="I1067">
        <v>657787</v>
      </c>
      <c r="J1067">
        <v>15.1</v>
      </c>
      <c r="K1067">
        <v>12</v>
      </c>
      <c r="L1067" t="s">
        <v>3049</v>
      </c>
      <c r="M1067">
        <v>575</v>
      </c>
      <c r="N1067">
        <v>4</v>
      </c>
      <c r="O1067" t="s">
        <v>3052</v>
      </c>
      <c r="P1067" t="s">
        <v>3306</v>
      </c>
      <c r="Q1067">
        <v>1.5539000000000001</v>
      </c>
    </row>
    <row r="1068" spans="1:17" x14ac:dyDescent="0.35">
      <c r="A1068" t="s">
        <v>1068</v>
      </c>
      <c r="B1068" t="s">
        <v>2555</v>
      </c>
      <c r="C1068">
        <v>26</v>
      </c>
      <c r="D1068" t="s">
        <v>2992</v>
      </c>
      <c r="E1068" t="s">
        <v>3003</v>
      </c>
      <c r="F1068" t="s">
        <v>3018</v>
      </c>
      <c r="G1068">
        <v>24</v>
      </c>
      <c r="H1068">
        <v>465521</v>
      </c>
      <c r="I1068">
        <v>620600</v>
      </c>
      <c r="J1068">
        <v>15.63</v>
      </c>
      <c r="K1068">
        <v>24</v>
      </c>
      <c r="L1068" t="s">
        <v>3050</v>
      </c>
      <c r="M1068">
        <v>446</v>
      </c>
      <c r="N1068">
        <v>2</v>
      </c>
      <c r="O1068" t="s">
        <v>3055</v>
      </c>
      <c r="P1068" t="s">
        <v>3871</v>
      </c>
      <c r="Q1068">
        <v>1.3331</v>
      </c>
    </row>
    <row r="1069" spans="1:17" x14ac:dyDescent="0.35">
      <c r="A1069" t="s">
        <v>1069</v>
      </c>
      <c r="B1069" t="s">
        <v>1849</v>
      </c>
      <c r="C1069">
        <v>46</v>
      </c>
      <c r="D1069" t="s">
        <v>2990</v>
      </c>
      <c r="E1069" t="s">
        <v>3005</v>
      </c>
      <c r="F1069" t="s">
        <v>3018</v>
      </c>
      <c r="G1069">
        <v>7</v>
      </c>
      <c r="H1069">
        <v>899401</v>
      </c>
      <c r="I1069">
        <v>596201</v>
      </c>
      <c r="J1069" t="s">
        <v>3037</v>
      </c>
      <c r="K1069">
        <v>48</v>
      </c>
      <c r="L1069" t="s">
        <v>3047</v>
      </c>
      <c r="M1069">
        <v>352</v>
      </c>
      <c r="N1069">
        <v>2</v>
      </c>
      <c r="O1069" t="s">
        <v>3057</v>
      </c>
      <c r="P1069" t="s">
        <v>3872</v>
      </c>
      <c r="Q1069">
        <v>0.66290000000000004</v>
      </c>
    </row>
    <row r="1070" spans="1:17" x14ac:dyDescent="0.35">
      <c r="A1070" t="s">
        <v>1070</v>
      </c>
      <c r="B1070" t="s">
        <v>2556</v>
      </c>
      <c r="C1070">
        <v>34</v>
      </c>
      <c r="D1070" t="s">
        <v>2992</v>
      </c>
      <c r="E1070" t="s">
        <v>3007</v>
      </c>
      <c r="F1070" t="s">
        <v>3020</v>
      </c>
      <c r="G1070">
        <v>21</v>
      </c>
      <c r="H1070">
        <v>2300464</v>
      </c>
      <c r="I1070">
        <v>237060</v>
      </c>
      <c r="J1070">
        <v>11.8</v>
      </c>
      <c r="K1070">
        <v>48</v>
      </c>
      <c r="L1070" t="s">
        <v>3048</v>
      </c>
      <c r="N1070">
        <v>7</v>
      </c>
      <c r="O1070" t="s">
        <v>3054</v>
      </c>
      <c r="P1070" t="s">
        <v>3873</v>
      </c>
      <c r="Q1070">
        <v>0.10299999999999999</v>
      </c>
    </row>
    <row r="1071" spans="1:17" x14ac:dyDescent="0.35">
      <c r="A1071" t="s">
        <v>1071</v>
      </c>
      <c r="B1071" t="s">
        <v>2557</v>
      </c>
      <c r="C1071">
        <v>37</v>
      </c>
      <c r="D1071" t="s">
        <v>2992</v>
      </c>
      <c r="E1071" t="s">
        <v>3005</v>
      </c>
      <c r="F1071" t="s">
        <v>3018</v>
      </c>
      <c r="G1071">
        <v>23</v>
      </c>
      <c r="H1071">
        <v>1385663</v>
      </c>
      <c r="I1071">
        <v>71374</v>
      </c>
      <c r="J1071">
        <v>9.34</v>
      </c>
      <c r="K1071">
        <v>36</v>
      </c>
      <c r="L1071" t="s">
        <v>3051</v>
      </c>
      <c r="M1071">
        <v>460</v>
      </c>
      <c r="N1071">
        <v>5</v>
      </c>
      <c r="O1071" t="s">
        <v>3054</v>
      </c>
      <c r="P1071" t="s">
        <v>3434</v>
      </c>
      <c r="Q1071">
        <v>5.1499999999999997E-2</v>
      </c>
    </row>
    <row r="1072" spans="1:17" x14ac:dyDescent="0.35">
      <c r="A1072" t="s">
        <v>1072</v>
      </c>
      <c r="B1072" t="s">
        <v>2558</v>
      </c>
      <c r="C1072">
        <v>55</v>
      </c>
      <c r="D1072" t="s">
        <v>2992</v>
      </c>
      <c r="E1072" t="s">
        <v>3000</v>
      </c>
      <c r="F1072" t="s">
        <v>3018</v>
      </c>
      <c r="G1072">
        <v>10</v>
      </c>
      <c r="H1072">
        <v>2270545</v>
      </c>
      <c r="I1072">
        <v>448733</v>
      </c>
      <c r="J1072">
        <v>19.28</v>
      </c>
      <c r="K1072">
        <v>60</v>
      </c>
      <c r="L1072" t="s">
        <v>3046</v>
      </c>
      <c r="M1072">
        <v>490</v>
      </c>
      <c r="N1072">
        <v>3</v>
      </c>
      <c r="O1072" t="s">
        <v>3054</v>
      </c>
      <c r="P1072" t="s">
        <v>3666</v>
      </c>
      <c r="Q1072">
        <v>0.1976</v>
      </c>
    </row>
    <row r="1073" spans="1:17" x14ac:dyDescent="0.35">
      <c r="A1073" t="s">
        <v>1073</v>
      </c>
      <c r="B1073" t="s">
        <v>2559</v>
      </c>
      <c r="C1073">
        <v>52</v>
      </c>
      <c r="D1073" t="s">
        <v>2992</v>
      </c>
      <c r="E1073" t="s">
        <v>3001</v>
      </c>
      <c r="F1073" t="s">
        <v>3021</v>
      </c>
      <c r="G1073">
        <v>22</v>
      </c>
      <c r="H1073">
        <v>332360</v>
      </c>
      <c r="I1073">
        <v>731028</v>
      </c>
      <c r="J1073">
        <v>16.62</v>
      </c>
      <c r="K1073">
        <v>60</v>
      </c>
      <c r="L1073" t="s">
        <v>3048</v>
      </c>
      <c r="M1073">
        <v>811</v>
      </c>
      <c r="N1073">
        <v>0</v>
      </c>
      <c r="O1073" t="s">
        <v>3054</v>
      </c>
      <c r="P1073" t="s">
        <v>3212</v>
      </c>
      <c r="Q1073">
        <v>2.1995</v>
      </c>
    </row>
    <row r="1074" spans="1:17" x14ac:dyDescent="0.35">
      <c r="A1074" t="s">
        <v>1074</v>
      </c>
      <c r="B1074" t="s">
        <v>2560</v>
      </c>
      <c r="C1074">
        <v>59</v>
      </c>
      <c r="D1074" t="s">
        <v>2992</v>
      </c>
      <c r="E1074" t="s">
        <v>3011</v>
      </c>
      <c r="F1074" t="s">
        <v>3019</v>
      </c>
      <c r="G1074">
        <v>0</v>
      </c>
      <c r="H1074">
        <v>455709</v>
      </c>
      <c r="I1074">
        <v>746448</v>
      </c>
      <c r="J1074">
        <v>12.64</v>
      </c>
      <c r="K1074">
        <v>60</v>
      </c>
      <c r="L1074" t="s">
        <v>3051</v>
      </c>
      <c r="M1074">
        <v>498</v>
      </c>
      <c r="N1074">
        <v>3</v>
      </c>
      <c r="O1074" t="s">
        <v>3054</v>
      </c>
      <c r="P1074" t="s">
        <v>3242</v>
      </c>
      <c r="Q1074">
        <v>1.6379999999999999</v>
      </c>
    </row>
    <row r="1075" spans="1:17" x14ac:dyDescent="0.35">
      <c r="B1075" t="s">
        <v>2561</v>
      </c>
      <c r="C1075">
        <v>21</v>
      </c>
      <c r="D1075" t="s">
        <v>2992</v>
      </c>
      <c r="E1075" t="s">
        <v>3007</v>
      </c>
      <c r="F1075" t="s">
        <v>3018</v>
      </c>
      <c r="G1075">
        <v>22</v>
      </c>
      <c r="H1075">
        <v>2113731</v>
      </c>
      <c r="I1075">
        <v>527831</v>
      </c>
      <c r="J1075">
        <v>15.17</v>
      </c>
      <c r="K1075">
        <v>12</v>
      </c>
      <c r="L1075" t="s">
        <v>3046</v>
      </c>
      <c r="M1075">
        <v>755</v>
      </c>
      <c r="N1075">
        <v>1</v>
      </c>
      <c r="O1075" t="s">
        <v>3055</v>
      </c>
      <c r="P1075" t="s">
        <v>3874</v>
      </c>
      <c r="Q1075">
        <v>0.24970000000000001</v>
      </c>
    </row>
    <row r="1076" spans="1:17" x14ac:dyDescent="0.35">
      <c r="A1076" t="s">
        <v>1075</v>
      </c>
      <c r="B1076" t="s">
        <v>2562</v>
      </c>
      <c r="C1076">
        <v>45</v>
      </c>
      <c r="D1076" t="s">
        <v>2992</v>
      </c>
      <c r="E1076" t="s">
        <v>3000</v>
      </c>
      <c r="F1076" t="s">
        <v>3019</v>
      </c>
      <c r="G1076">
        <v>4</v>
      </c>
      <c r="H1076">
        <v>1760677</v>
      </c>
      <c r="I1076">
        <v>559660</v>
      </c>
      <c r="J1076">
        <v>21.55</v>
      </c>
      <c r="K1076">
        <v>60</v>
      </c>
      <c r="L1076" t="s">
        <v>3050</v>
      </c>
      <c r="M1076">
        <v>530</v>
      </c>
      <c r="N1076">
        <v>1</v>
      </c>
      <c r="O1076" t="s">
        <v>3054</v>
      </c>
      <c r="P1076" t="s">
        <v>3875</v>
      </c>
      <c r="Q1076">
        <v>0.31790000000000002</v>
      </c>
    </row>
    <row r="1077" spans="1:17" x14ac:dyDescent="0.35">
      <c r="A1077" t="s">
        <v>1076</v>
      </c>
      <c r="B1077" t="s">
        <v>2563</v>
      </c>
      <c r="C1077">
        <v>30</v>
      </c>
      <c r="D1077" t="s">
        <v>2990</v>
      </c>
      <c r="E1077" t="s">
        <v>2998</v>
      </c>
      <c r="F1077" t="s">
        <v>3020</v>
      </c>
      <c r="G1077">
        <v>0</v>
      </c>
      <c r="H1077">
        <v>542455</v>
      </c>
      <c r="I1077">
        <v>610189</v>
      </c>
      <c r="J1077">
        <v>11.29</v>
      </c>
      <c r="K1077">
        <v>48</v>
      </c>
      <c r="M1077">
        <v>482</v>
      </c>
      <c r="N1077">
        <v>4</v>
      </c>
      <c r="O1077" t="s">
        <v>3056</v>
      </c>
      <c r="P1077" t="s">
        <v>3541</v>
      </c>
      <c r="Q1077">
        <v>1.1249</v>
      </c>
    </row>
    <row r="1078" spans="1:17" x14ac:dyDescent="0.35">
      <c r="A1078" t="s">
        <v>1077</v>
      </c>
      <c r="B1078" t="s">
        <v>2564</v>
      </c>
      <c r="C1078">
        <v>26</v>
      </c>
      <c r="D1078" t="s">
        <v>2990</v>
      </c>
      <c r="E1078" t="s">
        <v>3001</v>
      </c>
      <c r="F1078" t="s">
        <v>3020</v>
      </c>
      <c r="G1078">
        <v>5</v>
      </c>
      <c r="H1078">
        <v>2284683</v>
      </c>
      <c r="I1078">
        <v>787286</v>
      </c>
      <c r="J1078">
        <v>22.69</v>
      </c>
      <c r="K1078">
        <v>60</v>
      </c>
      <c r="L1078" t="s">
        <v>3046</v>
      </c>
      <c r="M1078">
        <v>692</v>
      </c>
      <c r="N1078">
        <v>4</v>
      </c>
      <c r="O1078" t="s">
        <v>3052</v>
      </c>
      <c r="P1078" t="s">
        <v>3876</v>
      </c>
      <c r="Q1078">
        <v>0.34460000000000002</v>
      </c>
    </row>
    <row r="1079" spans="1:17" x14ac:dyDescent="0.35">
      <c r="A1079" t="s">
        <v>1078</v>
      </c>
      <c r="B1079" t="s">
        <v>2565</v>
      </c>
      <c r="C1079">
        <v>59</v>
      </c>
      <c r="D1079" t="s">
        <v>2992</v>
      </c>
      <c r="E1079" t="s">
        <v>3009</v>
      </c>
      <c r="F1079" t="s">
        <v>3018</v>
      </c>
      <c r="G1079">
        <v>19</v>
      </c>
      <c r="H1079">
        <v>1623717</v>
      </c>
      <c r="I1079">
        <v>286010</v>
      </c>
      <c r="J1079">
        <v>17.28</v>
      </c>
      <c r="K1079">
        <v>36</v>
      </c>
      <c r="L1079" t="s">
        <v>3051</v>
      </c>
      <c r="M1079">
        <v>592</v>
      </c>
      <c r="N1079">
        <v>5</v>
      </c>
      <c r="O1079" t="s">
        <v>3054</v>
      </c>
      <c r="P1079" t="s">
        <v>3877</v>
      </c>
      <c r="Q1079">
        <v>0.17610000000000001</v>
      </c>
    </row>
    <row r="1080" spans="1:17" x14ac:dyDescent="0.35">
      <c r="A1080" t="s">
        <v>1079</v>
      </c>
      <c r="B1080" t="s">
        <v>2566</v>
      </c>
      <c r="C1080">
        <v>29</v>
      </c>
      <c r="D1080" t="s">
        <v>2990</v>
      </c>
      <c r="E1080" t="s">
        <v>2998</v>
      </c>
      <c r="F1080" t="s">
        <v>3021</v>
      </c>
      <c r="G1080">
        <v>16</v>
      </c>
      <c r="H1080">
        <v>1809849</v>
      </c>
      <c r="I1080">
        <v>32828</v>
      </c>
      <c r="J1080">
        <v>26.63</v>
      </c>
      <c r="K1080">
        <v>12</v>
      </c>
      <c r="L1080" t="s">
        <v>3049</v>
      </c>
      <c r="M1080">
        <v>693</v>
      </c>
      <c r="N1080">
        <v>4</v>
      </c>
      <c r="O1080" t="s">
        <v>3054</v>
      </c>
      <c r="P1080" t="s">
        <v>3878</v>
      </c>
      <c r="Q1080">
        <v>1.8100000000000002E-2</v>
      </c>
    </row>
    <row r="1081" spans="1:17" x14ac:dyDescent="0.35">
      <c r="A1081" t="s">
        <v>1080</v>
      </c>
      <c r="B1081" t="s">
        <v>2567</v>
      </c>
      <c r="C1081">
        <v>62</v>
      </c>
      <c r="D1081" t="s">
        <v>2992</v>
      </c>
      <c r="E1081" t="s">
        <v>3002</v>
      </c>
      <c r="F1081" t="s">
        <v>3019</v>
      </c>
      <c r="G1081">
        <v>26</v>
      </c>
      <c r="H1081">
        <v>569954</v>
      </c>
      <c r="I1081">
        <v>404193</v>
      </c>
      <c r="J1081">
        <v>15.13</v>
      </c>
      <c r="K1081">
        <v>36</v>
      </c>
      <c r="L1081" t="s">
        <v>3049</v>
      </c>
      <c r="M1081">
        <v>834</v>
      </c>
      <c r="N1081">
        <v>1</v>
      </c>
      <c r="O1081" t="s">
        <v>3054</v>
      </c>
      <c r="P1081" t="s">
        <v>3879</v>
      </c>
      <c r="Q1081">
        <v>0.70920000000000005</v>
      </c>
    </row>
    <row r="1082" spans="1:17" x14ac:dyDescent="0.35">
      <c r="A1082" t="s">
        <v>750</v>
      </c>
      <c r="B1082" t="s">
        <v>2239</v>
      </c>
      <c r="C1082">
        <v>41</v>
      </c>
      <c r="D1082" t="s">
        <v>2992</v>
      </c>
      <c r="E1082" t="s">
        <v>3005</v>
      </c>
      <c r="F1082" t="s">
        <v>3018</v>
      </c>
      <c r="G1082">
        <v>6</v>
      </c>
      <c r="I1082">
        <v>313052</v>
      </c>
      <c r="J1082">
        <v>24.48</v>
      </c>
      <c r="K1082">
        <v>48</v>
      </c>
      <c r="L1082" t="s">
        <v>3047</v>
      </c>
      <c r="M1082">
        <v>792</v>
      </c>
      <c r="N1082">
        <v>5</v>
      </c>
      <c r="O1082" t="s">
        <v>3052</v>
      </c>
      <c r="P1082" t="s">
        <v>3677</v>
      </c>
      <c r="Q1082">
        <v>0.2366</v>
      </c>
    </row>
    <row r="1083" spans="1:17" x14ac:dyDescent="0.35">
      <c r="A1083" t="s">
        <v>1081</v>
      </c>
      <c r="B1083" t="s">
        <v>2568</v>
      </c>
      <c r="C1083">
        <v>60</v>
      </c>
      <c r="D1083" t="s">
        <v>2992</v>
      </c>
      <c r="E1083" t="s">
        <v>3001</v>
      </c>
      <c r="F1083" t="s">
        <v>3018</v>
      </c>
      <c r="G1083">
        <v>17</v>
      </c>
      <c r="H1083">
        <v>1697740</v>
      </c>
      <c r="I1083">
        <v>632084</v>
      </c>
      <c r="J1083">
        <v>10.41</v>
      </c>
      <c r="K1083">
        <v>36</v>
      </c>
      <c r="L1083" t="s">
        <v>3051</v>
      </c>
      <c r="M1083">
        <v>772</v>
      </c>
      <c r="N1083">
        <v>0</v>
      </c>
      <c r="O1083" t="s">
        <v>3057</v>
      </c>
      <c r="P1083" t="s">
        <v>3626</v>
      </c>
      <c r="Q1083">
        <v>0.37230000000000002</v>
      </c>
    </row>
    <row r="1084" spans="1:17" x14ac:dyDescent="0.35">
      <c r="A1084" t="s">
        <v>1082</v>
      </c>
      <c r="B1084" t="s">
        <v>2569</v>
      </c>
      <c r="C1084">
        <v>54</v>
      </c>
      <c r="D1084" t="s">
        <v>2990</v>
      </c>
      <c r="E1084" t="s">
        <v>3007</v>
      </c>
      <c r="F1084" t="s">
        <v>3019</v>
      </c>
      <c r="G1084">
        <v>29</v>
      </c>
      <c r="H1084">
        <v>1550485</v>
      </c>
      <c r="I1084">
        <v>450179</v>
      </c>
      <c r="J1084">
        <v>8.9700000000000006</v>
      </c>
      <c r="K1084">
        <v>60</v>
      </c>
      <c r="L1084" t="s">
        <v>3048</v>
      </c>
      <c r="M1084">
        <v>456</v>
      </c>
      <c r="N1084">
        <v>5</v>
      </c>
      <c r="O1084" t="s">
        <v>3056</v>
      </c>
      <c r="P1084" t="s">
        <v>3880</v>
      </c>
      <c r="Q1084">
        <v>0.2903</v>
      </c>
    </row>
    <row r="1085" spans="1:17" x14ac:dyDescent="0.35">
      <c r="A1085" t="s">
        <v>1083</v>
      </c>
      <c r="B1085" t="s">
        <v>2570</v>
      </c>
      <c r="C1085">
        <v>46</v>
      </c>
      <c r="D1085" t="s">
        <v>2992</v>
      </c>
      <c r="E1085" t="s">
        <v>3002</v>
      </c>
      <c r="F1085" t="s">
        <v>3019</v>
      </c>
      <c r="G1085">
        <v>16</v>
      </c>
      <c r="H1085">
        <v>319544</v>
      </c>
      <c r="I1085">
        <v>186782</v>
      </c>
      <c r="J1085">
        <v>14.9</v>
      </c>
      <c r="K1085">
        <v>36</v>
      </c>
      <c r="L1085" t="s">
        <v>3050</v>
      </c>
      <c r="M1085">
        <v>518</v>
      </c>
      <c r="N1085">
        <v>5</v>
      </c>
      <c r="O1085" t="s">
        <v>3052</v>
      </c>
      <c r="P1085" t="s">
        <v>3881</v>
      </c>
      <c r="Q1085">
        <v>0.58450000000000002</v>
      </c>
    </row>
    <row r="1086" spans="1:17" x14ac:dyDescent="0.35">
      <c r="A1086" t="s">
        <v>1084</v>
      </c>
      <c r="B1086" t="s">
        <v>2571</v>
      </c>
      <c r="C1086">
        <v>30</v>
      </c>
      <c r="D1086" t="s">
        <v>2992</v>
      </c>
      <c r="E1086" t="s">
        <v>2999</v>
      </c>
      <c r="F1086" t="s">
        <v>3021</v>
      </c>
      <c r="G1086">
        <v>9</v>
      </c>
      <c r="H1086">
        <v>1484766</v>
      </c>
      <c r="I1086">
        <v>315809</v>
      </c>
      <c r="J1086">
        <v>16.809999999999999</v>
      </c>
      <c r="K1086">
        <v>24</v>
      </c>
      <c r="L1086" t="s">
        <v>3051</v>
      </c>
      <c r="M1086">
        <v>743</v>
      </c>
      <c r="N1086">
        <v>5</v>
      </c>
      <c r="O1086" t="s">
        <v>3055</v>
      </c>
      <c r="P1086" t="s">
        <v>3882</v>
      </c>
      <c r="Q1086">
        <v>0.2127</v>
      </c>
    </row>
    <row r="1087" spans="1:17" x14ac:dyDescent="0.35">
      <c r="A1087" t="s">
        <v>1085</v>
      </c>
      <c r="B1087" t="s">
        <v>2572</v>
      </c>
      <c r="C1087">
        <v>44</v>
      </c>
      <c r="D1087" t="s">
        <v>2990</v>
      </c>
      <c r="E1087" t="s">
        <v>3005</v>
      </c>
      <c r="F1087" t="s">
        <v>3020</v>
      </c>
      <c r="G1087">
        <v>21</v>
      </c>
      <c r="H1087">
        <v>1022981</v>
      </c>
      <c r="I1087">
        <v>71001</v>
      </c>
      <c r="J1087">
        <v>25.81</v>
      </c>
      <c r="K1087">
        <v>36</v>
      </c>
      <c r="L1087" t="s">
        <v>3049</v>
      </c>
      <c r="M1087">
        <v>580</v>
      </c>
      <c r="N1087">
        <v>4</v>
      </c>
      <c r="O1087" t="s">
        <v>3053</v>
      </c>
      <c r="P1087" t="s">
        <v>3134</v>
      </c>
      <c r="Q1087">
        <v>6.9400000000000003E-2</v>
      </c>
    </row>
    <row r="1088" spans="1:17" x14ac:dyDescent="0.35">
      <c r="A1088" t="s">
        <v>1086</v>
      </c>
      <c r="B1088" t="s">
        <v>2573</v>
      </c>
      <c r="C1088">
        <v>54</v>
      </c>
      <c r="E1088" t="s">
        <v>3001</v>
      </c>
      <c r="F1088" t="s">
        <v>3018</v>
      </c>
      <c r="G1088">
        <v>14</v>
      </c>
      <c r="H1088">
        <v>960741</v>
      </c>
      <c r="I1088">
        <v>427427</v>
      </c>
      <c r="J1088">
        <v>12.75</v>
      </c>
      <c r="K1088">
        <v>24</v>
      </c>
      <c r="L1088" t="s">
        <v>3046</v>
      </c>
      <c r="M1088">
        <v>766</v>
      </c>
      <c r="N1088">
        <v>3</v>
      </c>
      <c r="O1088" t="s">
        <v>3053</v>
      </c>
      <c r="P1088" t="s">
        <v>3818</v>
      </c>
      <c r="Q1088">
        <v>0.44490000000000002</v>
      </c>
    </row>
    <row r="1089" spans="1:17" x14ac:dyDescent="0.35">
      <c r="A1089" t="s">
        <v>1087</v>
      </c>
      <c r="B1089" t="s">
        <v>2574</v>
      </c>
      <c r="C1089">
        <v>55</v>
      </c>
      <c r="D1089" t="s">
        <v>2990</v>
      </c>
      <c r="E1089" t="s">
        <v>3001</v>
      </c>
      <c r="F1089" t="s">
        <v>3020</v>
      </c>
      <c r="G1089">
        <v>21</v>
      </c>
      <c r="H1089">
        <v>229104</v>
      </c>
      <c r="I1089">
        <v>706268</v>
      </c>
      <c r="J1089">
        <v>21.48</v>
      </c>
      <c r="K1089">
        <v>12</v>
      </c>
      <c r="M1089">
        <v>347</v>
      </c>
      <c r="N1089">
        <v>2</v>
      </c>
      <c r="O1089" t="s">
        <v>3060</v>
      </c>
      <c r="P1089" t="s">
        <v>3693</v>
      </c>
      <c r="Q1089">
        <v>3.0827</v>
      </c>
    </row>
    <row r="1090" spans="1:17" x14ac:dyDescent="0.35">
      <c r="A1090" t="s">
        <v>1088</v>
      </c>
      <c r="B1090" t="s">
        <v>2575</v>
      </c>
      <c r="C1090">
        <v>50</v>
      </c>
      <c r="D1090" t="s">
        <v>2992</v>
      </c>
      <c r="E1090" t="s">
        <v>2999</v>
      </c>
      <c r="F1090" t="s">
        <v>3019</v>
      </c>
      <c r="G1090">
        <v>11</v>
      </c>
      <c r="H1090">
        <v>1282127</v>
      </c>
      <c r="I1090">
        <v>418172</v>
      </c>
      <c r="J1090">
        <v>16.84</v>
      </c>
      <c r="K1090">
        <v>48</v>
      </c>
      <c r="M1090">
        <v>437</v>
      </c>
      <c r="N1090">
        <v>7</v>
      </c>
      <c r="O1090" t="s">
        <v>3057</v>
      </c>
      <c r="P1090" t="s">
        <v>3666</v>
      </c>
      <c r="Q1090">
        <v>0.32619999999999999</v>
      </c>
    </row>
    <row r="1091" spans="1:17" x14ac:dyDescent="0.35">
      <c r="A1091" t="s">
        <v>1089</v>
      </c>
      <c r="B1091" t="s">
        <v>2576</v>
      </c>
      <c r="C1091">
        <v>23</v>
      </c>
      <c r="D1091" t="s">
        <v>2990</v>
      </c>
      <c r="E1091" t="s">
        <v>3003</v>
      </c>
      <c r="F1091" t="s">
        <v>3020</v>
      </c>
      <c r="G1091">
        <v>0</v>
      </c>
      <c r="H1091">
        <v>1935692</v>
      </c>
      <c r="I1091">
        <v>425453</v>
      </c>
      <c r="J1091">
        <v>17.170000000000002</v>
      </c>
      <c r="K1091">
        <v>60</v>
      </c>
      <c r="L1091" t="s">
        <v>3048</v>
      </c>
      <c r="M1091">
        <v>435</v>
      </c>
      <c r="N1091">
        <v>5</v>
      </c>
      <c r="O1091" t="s">
        <v>3056</v>
      </c>
      <c r="P1091" t="s">
        <v>3151</v>
      </c>
      <c r="Q1091">
        <v>0.2198</v>
      </c>
    </row>
    <row r="1092" spans="1:17" x14ac:dyDescent="0.35">
      <c r="A1092" t="s">
        <v>1090</v>
      </c>
      <c r="B1092" t="s">
        <v>2577</v>
      </c>
      <c r="C1092">
        <v>64</v>
      </c>
      <c r="D1092" t="s">
        <v>2990</v>
      </c>
      <c r="E1092" t="s">
        <v>3005</v>
      </c>
      <c r="F1092" t="s">
        <v>3018</v>
      </c>
      <c r="G1092">
        <v>15</v>
      </c>
      <c r="H1092">
        <v>1327087</v>
      </c>
      <c r="I1092">
        <v>81240</v>
      </c>
      <c r="J1092">
        <v>24.37</v>
      </c>
      <c r="K1092">
        <v>24</v>
      </c>
      <c r="L1092" t="s">
        <v>3049</v>
      </c>
      <c r="M1092">
        <v>343</v>
      </c>
      <c r="N1092">
        <v>1</v>
      </c>
      <c r="O1092" t="s">
        <v>3052</v>
      </c>
      <c r="P1092" t="s">
        <v>3077</v>
      </c>
      <c r="Q1092">
        <v>6.1199999999999997E-2</v>
      </c>
    </row>
    <row r="1093" spans="1:17" x14ac:dyDescent="0.35">
      <c r="A1093" t="s">
        <v>1091</v>
      </c>
      <c r="B1093" t="s">
        <v>2578</v>
      </c>
      <c r="C1093">
        <v>28</v>
      </c>
      <c r="D1093" t="s">
        <v>2990</v>
      </c>
      <c r="E1093" t="s">
        <v>3003</v>
      </c>
      <c r="F1093" t="s">
        <v>3021</v>
      </c>
      <c r="G1093">
        <v>15</v>
      </c>
      <c r="H1093">
        <v>1936124</v>
      </c>
      <c r="I1093">
        <v>496128</v>
      </c>
      <c r="J1093">
        <v>17.57</v>
      </c>
      <c r="K1093">
        <v>36</v>
      </c>
      <c r="L1093" t="s">
        <v>3050</v>
      </c>
      <c r="M1093">
        <v>744</v>
      </c>
      <c r="N1093">
        <v>0</v>
      </c>
      <c r="O1093" t="s">
        <v>3052</v>
      </c>
      <c r="P1093" t="s">
        <v>3883</v>
      </c>
      <c r="Q1093">
        <v>0.25619999999999998</v>
      </c>
    </row>
    <row r="1094" spans="1:17" x14ac:dyDescent="0.35">
      <c r="A1094" t="s">
        <v>1092</v>
      </c>
      <c r="B1094" t="s">
        <v>2579</v>
      </c>
      <c r="C1094">
        <v>63</v>
      </c>
      <c r="D1094" t="s">
        <v>2992</v>
      </c>
      <c r="E1094" t="s">
        <v>3007</v>
      </c>
      <c r="F1094" t="s">
        <v>3020</v>
      </c>
      <c r="G1094">
        <v>4</v>
      </c>
      <c r="H1094">
        <v>1706318</v>
      </c>
      <c r="I1094">
        <v>219298</v>
      </c>
      <c r="J1094">
        <v>15.44</v>
      </c>
      <c r="K1094">
        <v>48</v>
      </c>
      <c r="L1094" t="s">
        <v>3046</v>
      </c>
      <c r="M1094">
        <v>756</v>
      </c>
      <c r="N1094">
        <v>5</v>
      </c>
      <c r="O1094" t="s">
        <v>3054</v>
      </c>
      <c r="P1094" t="s">
        <v>3884</v>
      </c>
      <c r="Q1094">
        <v>0.1285</v>
      </c>
    </row>
    <row r="1095" spans="1:17" x14ac:dyDescent="0.35">
      <c r="A1095" t="s">
        <v>1093</v>
      </c>
      <c r="B1095" t="s">
        <v>2580</v>
      </c>
      <c r="C1095">
        <v>33</v>
      </c>
      <c r="D1095" t="s">
        <v>2992</v>
      </c>
      <c r="E1095" t="s">
        <v>3002</v>
      </c>
      <c r="F1095" t="s">
        <v>3018</v>
      </c>
      <c r="G1095">
        <v>8</v>
      </c>
      <c r="H1095">
        <v>1504667</v>
      </c>
      <c r="I1095">
        <v>777180</v>
      </c>
      <c r="J1095">
        <v>16.61</v>
      </c>
      <c r="K1095">
        <v>60</v>
      </c>
      <c r="L1095" t="s">
        <v>3046</v>
      </c>
      <c r="M1095">
        <v>316</v>
      </c>
      <c r="N1095">
        <v>7</v>
      </c>
      <c r="O1095" t="s">
        <v>3053</v>
      </c>
      <c r="P1095" t="s">
        <v>3085</v>
      </c>
      <c r="Q1095">
        <v>0.51649999999999996</v>
      </c>
    </row>
    <row r="1096" spans="1:17" x14ac:dyDescent="0.35">
      <c r="A1096" t="s">
        <v>1094</v>
      </c>
      <c r="B1096" t="s">
        <v>2581</v>
      </c>
      <c r="C1096">
        <v>32</v>
      </c>
      <c r="D1096" t="s">
        <v>2992</v>
      </c>
      <c r="E1096" t="s">
        <v>3001</v>
      </c>
      <c r="F1096" t="s">
        <v>3019</v>
      </c>
      <c r="G1096">
        <v>22</v>
      </c>
      <c r="H1096">
        <v>713634</v>
      </c>
      <c r="I1096">
        <v>700667</v>
      </c>
      <c r="J1096">
        <v>24.59</v>
      </c>
      <c r="K1096">
        <v>12</v>
      </c>
      <c r="L1096" t="s">
        <v>3046</v>
      </c>
      <c r="M1096">
        <v>696</v>
      </c>
      <c r="N1096">
        <v>6</v>
      </c>
      <c r="O1096" t="s">
        <v>3054</v>
      </c>
      <c r="P1096" t="s">
        <v>3353</v>
      </c>
      <c r="Q1096">
        <v>0.98180000000000001</v>
      </c>
    </row>
    <row r="1097" spans="1:17" x14ac:dyDescent="0.35">
      <c r="A1097" t="s">
        <v>1095</v>
      </c>
      <c r="B1097" t="s">
        <v>2582</v>
      </c>
      <c r="C1097">
        <v>46</v>
      </c>
      <c r="D1097" t="s">
        <v>2990</v>
      </c>
      <c r="E1097" t="s">
        <v>3004</v>
      </c>
      <c r="F1097" t="s">
        <v>3020</v>
      </c>
      <c r="G1097">
        <v>9</v>
      </c>
      <c r="H1097">
        <v>266365</v>
      </c>
      <c r="I1097">
        <v>69812</v>
      </c>
      <c r="J1097">
        <v>15.94</v>
      </c>
      <c r="K1097">
        <v>24</v>
      </c>
      <c r="L1097" t="s">
        <v>3051</v>
      </c>
      <c r="M1097">
        <v>507</v>
      </c>
      <c r="N1097">
        <v>0</v>
      </c>
      <c r="O1097" t="s">
        <v>3057</v>
      </c>
      <c r="P1097" t="s">
        <v>3885</v>
      </c>
      <c r="Q1097">
        <v>0.2621</v>
      </c>
    </row>
    <row r="1098" spans="1:17" x14ac:dyDescent="0.35">
      <c r="A1098" t="s">
        <v>1096</v>
      </c>
      <c r="B1098" t="s">
        <v>2583</v>
      </c>
      <c r="C1098">
        <v>32</v>
      </c>
      <c r="D1098" t="s">
        <v>2992</v>
      </c>
      <c r="E1098" t="s">
        <v>3007</v>
      </c>
      <c r="F1098" t="s">
        <v>3018</v>
      </c>
      <c r="G1098">
        <v>26</v>
      </c>
      <c r="H1098">
        <v>435948</v>
      </c>
      <c r="I1098">
        <v>31094</v>
      </c>
      <c r="J1098">
        <v>14.7</v>
      </c>
      <c r="K1098">
        <v>12</v>
      </c>
      <c r="L1098" t="s">
        <v>3050</v>
      </c>
      <c r="M1098">
        <v>624</v>
      </c>
      <c r="N1098">
        <v>5</v>
      </c>
      <c r="O1098" t="s">
        <v>3053</v>
      </c>
      <c r="P1098" t="s">
        <v>3226</v>
      </c>
      <c r="Q1098">
        <v>7.1300000000000002E-2</v>
      </c>
    </row>
    <row r="1099" spans="1:17" x14ac:dyDescent="0.35">
      <c r="A1099" t="s">
        <v>1097</v>
      </c>
      <c r="B1099" t="s">
        <v>2584</v>
      </c>
      <c r="C1099">
        <v>56</v>
      </c>
      <c r="D1099" t="s">
        <v>2990</v>
      </c>
      <c r="E1099" t="s">
        <v>2999</v>
      </c>
      <c r="F1099" t="s">
        <v>3018</v>
      </c>
      <c r="G1099">
        <v>3</v>
      </c>
      <c r="H1099">
        <v>1211519</v>
      </c>
      <c r="I1099">
        <v>112769</v>
      </c>
      <c r="J1099">
        <v>9.69</v>
      </c>
      <c r="K1099">
        <v>48</v>
      </c>
      <c r="L1099" t="s">
        <v>3046</v>
      </c>
      <c r="M1099">
        <v>382</v>
      </c>
      <c r="N1099">
        <v>3</v>
      </c>
      <c r="O1099" t="s">
        <v>3053</v>
      </c>
      <c r="P1099" t="s">
        <v>3219</v>
      </c>
      <c r="Q1099">
        <v>9.3100000000000002E-2</v>
      </c>
    </row>
    <row r="1100" spans="1:17" x14ac:dyDescent="0.35">
      <c r="A1100" t="s">
        <v>1098</v>
      </c>
      <c r="B1100" t="s">
        <v>2585</v>
      </c>
      <c r="C1100">
        <v>23</v>
      </c>
      <c r="D1100" t="s">
        <v>2990</v>
      </c>
      <c r="E1100" t="s">
        <v>3003</v>
      </c>
      <c r="F1100" t="s">
        <v>3021</v>
      </c>
      <c r="G1100">
        <v>28</v>
      </c>
      <c r="H1100">
        <v>623945</v>
      </c>
      <c r="I1100">
        <v>113500</v>
      </c>
      <c r="J1100">
        <v>11.97</v>
      </c>
      <c r="K1100">
        <v>24</v>
      </c>
      <c r="L1100" t="s">
        <v>3051</v>
      </c>
      <c r="M1100">
        <v>771</v>
      </c>
      <c r="N1100">
        <v>1</v>
      </c>
      <c r="O1100" t="s">
        <v>3056</v>
      </c>
      <c r="P1100" t="s">
        <v>3140</v>
      </c>
      <c r="Q1100">
        <v>0.18190000000000001</v>
      </c>
    </row>
    <row r="1101" spans="1:17" x14ac:dyDescent="0.35">
      <c r="A1101" t="s">
        <v>1099</v>
      </c>
      <c r="B1101" t="s">
        <v>2586</v>
      </c>
      <c r="C1101">
        <v>51</v>
      </c>
      <c r="D1101" t="s">
        <v>2990</v>
      </c>
      <c r="E1101" t="s">
        <v>3002</v>
      </c>
      <c r="F1101" t="s">
        <v>3020</v>
      </c>
      <c r="G1101">
        <v>20</v>
      </c>
      <c r="H1101">
        <v>955158</v>
      </c>
      <c r="I1101">
        <v>443291</v>
      </c>
      <c r="J1101">
        <v>14.63</v>
      </c>
      <c r="K1101">
        <v>12</v>
      </c>
      <c r="L1101" t="s">
        <v>3048</v>
      </c>
      <c r="M1101">
        <v>999</v>
      </c>
      <c r="N1101">
        <v>1</v>
      </c>
      <c r="O1101" t="s">
        <v>3055</v>
      </c>
      <c r="P1101" t="s">
        <v>3886</v>
      </c>
      <c r="Q1101">
        <v>0.46410000000000001</v>
      </c>
    </row>
    <row r="1102" spans="1:17" x14ac:dyDescent="0.35">
      <c r="A1102" t="s">
        <v>1100</v>
      </c>
      <c r="B1102" t="s">
        <v>2587</v>
      </c>
      <c r="C1102">
        <v>21</v>
      </c>
      <c r="D1102" t="s">
        <v>2990</v>
      </c>
      <c r="E1102" t="s">
        <v>2998</v>
      </c>
      <c r="F1102" t="s">
        <v>3019</v>
      </c>
      <c r="G1102">
        <v>22</v>
      </c>
      <c r="H1102">
        <v>2057541</v>
      </c>
      <c r="I1102">
        <v>508019</v>
      </c>
      <c r="J1102">
        <v>24.19</v>
      </c>
      <c r="K1102">
        <v>60</v>
      </c>
      <c r="L1102" t="s">
        <v>3051</v>
      </c>
      <c r="N1102">
        <v>6</v>
      </c>
      <c r="O1102" t="s">
        <v>3055</v>
      </c>
      <c r="P1102" t="s">
        <v>3482</v>
      </c>
      <c r="Q1102">
        <v>0.24690000000000001</v>
      </c>
    </row>
    <row r="1103" spans="1:17" x14ac:dyDescent="0.35">
      <c r="A1103" t="s">
        <v>1101</v>
      </c>
      <c r="B1103" t="s">
        <v>2588</v>
      </c>
      <c r="C1103">
        <v>37</v>
      </c>
      <c r="D1103" t="s">
        <v>2990</v>
      </c>
      <c r="E1103" t="s">
        <v>3000</v>
      </c>
      <c r="F1103" t="s">
        <v>3019</v>
      </c>
      <c r="G1103">
        <v>8</v>
      </c>
      <c r="H1103">
        <v>1987610</v>
      </c>
      <c r="I1103">
        <v>617690</v>
      </c>
      <c r="J1103">
        <v>15.9</v>
      </c>
      <c r="K1103">
        <v>36</v>
      </c>
      <c r="L1103" t="s">
        <v>3047</v>
      </c>
      <c r="M1103">
        <v>448</v>
      </c>
      <c r="N1103">
        <v>3</v>
      </c>
      <c r="O1103" t="s">
        <v>3057</v>
      </c>
      <c r="P1103" t="s">
        <v>3887</v>
      </c>
      <c r="Q1103">
        <v>0.31080000000000002</v>
      </c>
    </row>
    <row r="1104" spans="1:17" x14ac:dyDescent="0.35">
      <c r="A1104" t="s">
        <v>1102</v>
      </c>
      <c r="B1104" t="s">
        <v>2589</v>
      </c>
      <c r="C1104">
        <v>40</v>
      </c>
      <c r="D1104" t="s">
        <v>2992</v>
      </c>
      <c r="E1104" t="s">
        <v>3003</v>
      </c>
      <c r="F1104" t="s">
        <v>3020</v>
      </c>
      <c r="G1104">
        <v>20</v>
      </c>
      <c r="H1104">
        <v>1089711</v>
      </c>
      <c r="I1104">
        <v>39477</v>
      </c>
      <c r="J1104">
        <v>15.3</v>
      </c>
      <c r="K1104">
        <v>60</v>
      </c>
      <c r="L1104" t="s">
        <v>3048</v>
      </c>
      <c r="M1104">
        <v>824</v>
      </c>
      <c r="N1104">
        <v>6</v>
      </c>
      <c r="O1104" t="s">
        <v>3053</v>
      </c>
      <c r="P1104" t="s">
        <v>3888</v>
      </c>
      <c r="Q1104">
        <v>3.6200000000000003E-2</v>
      </c>
    </row>
    <row r="1105" spans="1:17" x14ac:dyDescent="0.35">
      <c r="A1105" t="s">
        <v>1103</v>
      </c>
      <c r="B1105" t="s">
        <v>2590</v>
      </c>
      <c r="C1105">
        <v>63</v>
      </c>
      <c r="D1105" t="s">
        <v>2990</v>
      </c>
      <c r="E1105" t="s">
        <v>2998</v>
      </c>
      <c r="F1105" t="s">
        <v>3019</v>
      </c>
      <c r="G1105">
        <v>1</v>
      </c>
      <c r="H1105">
        <v>746088</v>
      </c>
      <c r="I1105">
        <v>86197</v>
      </c>
      <c r="J1105">
        <v>25.81</v>
      </c>
      <c r="K1105">
        <v>24</v>
      </c>
      <c r="L1105" t="s">
        <v>3051</v>
      </c>
      <c r="M1105">
        <v>587</v>
      </c>
      <c r="N1105">
        <v>2</v>
      </c>
      <c r="O1105" t="s">
        <v>3058</v>
      </c>
      <c r="P1105" t="s">
        <v>3456</v>
      </c>
      <c r="Q1105">
        <v>0.11550000000000001</v>
      </c>
    </row>
    <row r="1106" spans="1:17" x14ac:dyDescent="0.35">
      <c r="A1106" t="s">
        <v>1104</v>
      </c>
      <c r="B1106" t="s">
        <v>2591</v>
      </c>
      <c r="C1106">
        <v>22</v>
      </c>
      <c r="D1106" t="s">
        <v>2992</v>
      </c>
      <c r="E1106" t="s">
        <v>3002</v>
      </c>
      <c r="F1106" t="s">
        <v>3019</v>
      </c>
      <c r="G1106">
        <v>29</v>
      </c>
      <c r="H1106">
        <v>1706322</v>
      </c>
      <c r="I1106">
        <v>477666</v>
      </c>
      <c r="J1106">
        <v>13.22</v>
      </c>
      <c r="K1106">
        <v>12</v>
      </c>
      <c r="L1106" t="s">
        <v>3049</v>
      </c>
      <c r="M1106">
        <v>434</v>
      </c>
      <c r="N1106">
        <v>4</v>
      </c>
      <c r="O1106" t="s">
        <v>3056</v>
      </c>
      <c r="P1106" t="s">
        <v>3752</v>
      </c>
      <c r="Q1106">
        <v>0.27989999999999998</v>
      </c>
    </row>
    <row r="1107" spans="1:17" x14ac:dyDescent="0.35">
      <c r="A1107" t="s">
        <v>1105</v>
      </c>
      <c r="B1107" t="s">
        <v>2592</v>
      </c>
      <c r="C1107">
        <v>53</v>
      </c>
      <c r="D1107" t="s">
        <v>2992</v>
      </c>
      <c r="E1107" t="s">
        <v>3003</v>
      </c>
      <c r="F1107" t="s">
        <v>3020</v>
      </c>
      <c r="G1107">
        <v>23</v>
      </c>
      <c r="H1107">
        <v>1628763</v>
      </c>
      <c r="I1107">
        <v>163888</v>
      </c>
      <c r="J1107">
        <v>24.18</v>
      </c>
      <c r="K1107">
        <v>12</v>
      </c>
      <c r="L1107" t="s">
        <v>3049</v>
      </c>
      <c r="M1107">
        <v>520</v>
      </c>
      <c r="N1107">
        <v>7</v>
      </c>
      <c r="O1107" t="s">
        <v>3055</v>
      </c>
      <c r="P1107" t="s">
        <v>3889</v>
      </c>
      <c r="Q1107">
        <v>0.10059999999999999</v>
      </c>
    </row>
    <row r="1108" spans="1:17" x14ac:dyDescent="0.35">
      <c r="A1108" t="s">
        <v>1106</v>
      </c>
      <c r="B1108" t="s">
        <v>2593</v>
      </c>
      <c r="C1108">
        <v>33</v>
      </c>
      <c r="D1108" t="s">
        <v>2992</v>
      </c>
      <c r="E1108" t="s">
        <v>3007</v>
      </c>
      <c r="F1108" t="s">
        <v>3018</v>
      </c>
      <c r="G1108">
        <v>9</v>
      </c>
      <c r="H1108">
        <v>1410746</v>
      </c>
      <c r="I1108">
        <v>155203</v>
      </c>
      <c r="J1108">
        <v>11.93</v>
      </c>
      <c r="K1108">
        <v>36</v>
      </c>
      <c r="L1108" t="s">
        <v>3047</v>
      </c>
      <c r="M1108">
        <v>644</v>
      </c>
      <c r="N1108">
        <v>7</v>
      </c>
      <c r="O1108" t="s">
        <v>3054</v>
      </c>
      <c r="P1108" t="s">
        <v>3265</v>
      </c>
      <c r="Q1108">
        <v>0.11</v>
      </c>
    </row>
    <row r="1109" spans="1:17" x14ac:dyDescent="0.35">
      <c r="A1109" t="s">
        <v>1107</v>
      </c>
      <c r="B1109" t="s">
        <v>2594</v>
      </c>
      <c r="C1109">
        <v>64</v>
      </c>
      <c r="D1109" t="s">
        <v>2992</v>
      </c>
      <c r="E1109" t="s">
        <v>2999</v>
      </c>
      <c r="F1109" t="s">
        <v>3019</v>
      </c>
      <c r="G1109">
        <v>23</v>
      </c>
      <c r="H1109">
        <v>606346</v>
      </c>
      <c r="I1109">
        <v>779710</v>
      </c>
      <c r="J1109">
        <v>11.04</v>
      </c>
      <c r="K1109">
        <v>24</v>
      </c>
      <c r="L1109" t="s">
        <v>3050</v>
      </c>
      <c r="M1109">
        <v>337</v>
      </c>
      <c r="N1109">
        <v>3</v>
      </c>
      <c r="O1109" t="s">
        <v>3055</v>
      </c>
      <c r="P1109" t="s">
        <v>3890</v>
      </c>
      <c r="Q1109">
        <v>1.2859</v>
      </c>
    </row>
    <row r="1110" spans="1:17" x14ac:dyDescent="0.35">
      <c r="A1110" t="s">
        <v>1108</v>
      </c>
      <c r="B1110" t="s">
        <v>2595</v>
      </c>
      <c r="C1110">
        <v>43</v>
      </c>
      <c r="D1110" t="s">
        <v>2990</v>
      </c>
      <c r="E1110" t="s">
        <v>3005</v>
      </c>
      <c r="F1110" t="s">
        <v>3021</v>
      </c>
      <c r="G1110">
        <v>28</v>
      </c>
      <c r="H1110">
        <v>952800</v>
      </c>
      <c r="I1110">
        <v>785348</v>
      </c>
      <c r="J1110">
        <v>22.49</v>
      </c>
      <c r="K1110">
        <v>24</v>
      </c>
      <c r="L1110" t="s">
        <v>3047</v>
      </c>
      <c r="M1110">
        <v>479</v>
      </c>
      <c r="N1110">
        <v>0</v>
      </c>
      <c r="O1110" t="s">
        <v>3052</v>
      </c>
      <c r="P1110" t="s">
        <v>3891</v>
      </c>
      <c r="Q1110">
        <v>0.82430000000000003</v>
      </c>
    </row>
    <row r="1111" spans="1:17" x14ac:dyDescent="0.35">
      <c r="A1111" t="s">
        <v>1109</v>
      </c>
      <c r="B1111" t="s">
        <v>2596</v>
      </c>
      <c r="C1111">
        <v>23</v>
      </c>
      <c r="D1111" t="s">
        <v>2992</v>
      </c>
      <c r="E1111" t="s">
        <v>2998</v>
      </c>
      <c r="F1111" t="s">
        <v>3020</v>
      </c>
      <c r="G1111">
        <v>24</v>
      </c>
      <c r="H1111">
        <v>448512</v>
      </c>
      <c r="I1111">
        <v>775728</v>
      </c>
      <c r="J1111">
        <v>18.93</v>
      </c>
      <c r="K1111">
        <v>24</v>
      </c>
      <c r="L1111" t="s">
        <v>3046</v>
      </c>
      <c r="M1111">
        <v>509</v>
      </c>
      <c r="N1111">
        <v>4</v>
      </c>
      <c r="O1111" t="s">
        <v>3058</v>
      </c>
      <c r="P1111" t="s">
        <v>3449</v>
      </c>
      <c r="Q1111">
        <v>1.7296</v>
      </c>
    </row>
    <row r="1112" spans="1:17" x14ac:dyDescent="0.35">
      <c r="A1112" t="s">
        <v>1110</v>
      </c>
      <c r="B1112" t="s">
        <v>2597</v>
      </c>
      <c r="C1112">
        <v>33</v>
      </c>
      <c r="D1112" t="s">
        <v>2990</v>
      </c>
      <c r="E1112" t="s">
        <v>3002</v>
      </c>
      <c r="F1112" t="s">
        <v>3019</v>
      </c>
      <c r="G1112">
        <v>23</v>
      </c>
      <c r="H1112">
        <v>1798963</v>
      </c>
      <c r="I1112">
        <v>251318</v>
      </c>
      <c r="J1112">
        <v>25.09</v>
      </c>
      <c r="K1112">
        <v>12</v>
      </c>
      <c r="L1112" t="s">
        <v>3049</v>
      </c>
      <c r="M1112">
        <v>445</v>
      </c>
      <c r="N1112">
        <v>2</v>
      </c>
      <c r="O1112" t="s">
        <v>3057</v>
      </c>
      <c r="P1112" t="s">
        <v>3185</v>
      </c>
      <c r="Q1112">
        <v>0.13969999999999999</v>
      </c>
    </row>
    <row r="1113" spans="1:17" x14ac:dyDescent="0.35">
      <c r="A1113" t="s">
        <v>1111</v>
      </c>
      <c r="B1113" t="s">
        <v>2598</v>
      </c>
      <c r="C1113">
        <v>48</v>
      </c>
      <c r="D1113" t="s">
        <v>2990</v>
      </c>
      <c r="E1113" t="s">
        <v>2999</v>
      </c>
      <c r="F1113" t="s">
        <v>3020</v>
      </c>
      <c r="G1113">
        <v>0</v>
      </c>
      <c r="H1113">
        <v>1025474</v>
      </c>
      <c r="I1113">
        <v>462899</v>
      </c>
      <c r="J1113">
        <v>22.51</v>
      </c>
      <c r="K1113">
        <v>48</v>
      </c>
      <c r="L1113" t="s">
        <v>3046</v>
      </c>
      <c r="M1113">
        <v>656</v>
      </c>
      <c r="N1113">
        <v>6</v>
      </c>
      <c r="O1113" t="s">
        <v>3054</v>
      </c>
      <c r="P1113" t="s">
        <v>3567</v>
      </c>
      <c r="Q1113">
        <v>0.45140000000000002</v>
      </c>
    </row>
    <row r="1114" spans="1:17" x14ac:dyDescent="0.35">
      <c r="A1114" t="s">
        <v>1112</v>
      </c>
      <c r="B1114" t="s">
        <v>2599</v>
      </c>
      <c r="C1114">
        <v>50</v>
      </c>
      <c r="D1114" t="s">
        <v>2992</v>
      </c>
      <c r="E1114" t="s">
        <v>2999</v>
      </c>
      <c r="F1114" t="s">
        <v>3020</v>
      </c>
      <c r="G1114">
        <v>26</v>
      </c>
      <c r="H1114">
        <v>1035080</v>
      </c>
      <c r="I1114">
        <v>134589</v>
      </c>
      <c r="J1114">
        <v>23.93</v>
      </c>
      <c r="K1114">
        <v>60</v>
      </c>
      <c r="L1114" t="s">
        <v>3046</v>
      </c>
      <c r="M1114">
        <v>716</v>
      </c>
      <c r="N1114">
        <v>2</v>
      </c>
      <c r="O1114" t="s">
        <v>3054</v>
      </c>
      <c r="P1114" t="s">
        <v>3600</v>
      </c>
      <c r="Q1114">
        <v>0.13</v>
      </c>
    </row>
    <row r="1115" spans="1:17" x14ac:dyDescent="0.35">
      <c r="A1115" t="s">
        <v>1113</v>
      </c>
      <c r="B1115" t="s">
        <v>2600</v>
      </c>
      <c r="C1115">
        <v>37</v>
      </c>
      <c r="D1115" t="s">
        <v>2992</v>
      </c>
      <c r="E1115" t="s">
        <v>2999</v>
      </c>
      <c r="F1115" t="s">
        <v>3018</v>
      </c>
      <c r="G1115">
        <v>2</v>
      </c>
      <c r="H1115">
        <v>182352</v>
      </c>
      <c r="I1115">
        <v>72446</v>
      </c>
      <c r="J1115">
        <v>12.08</v>
      </c>
      <c r="K1115">
        <v>60</v>
      </c>
      <c r="L1115" t="s">
        <v>3051</v>
      </c>
      <c r="M1115">
        <v>843</v>
      </c>
      <c r="N1115">
        <v>5</v>
      </c>
      <c r="O1115" t="s">
        <v>3057</v>
      </c>
      <c r="P1115" t="s">
        <v>3327</v>
      </c>
      <c r="Q1115">
        <v>0.39729999999999999</v>
      </c>
    </row>
    <row r="1116" spans="1:17" x14ac:dyDescent="0.35">
      <c r="A1116" t="s">
        <v>1114</v>
      </c>
      <c r="B1116" t="s">
        <v>2601</v>
      </c>
      <c r="C1116">
        <v>40</v>
      </c>
      <c r="D1116" t="s">
        <v>2992</v>
      </c>
      <c r="E1116" t="s">
        <v>3001</v>
      </c>
      <c r="F1116" t="s">
        <v>3021</v>
      </c>
      <c r="G1116">
        <v>18</v>
      </c>
      <c r="H1116">
        <v>2319879</v>
      </c>
      <c r="I1116">
        <v>797022</v>
      </c>
      <c r="J1116">
        <v>26.66</v>
      </c>
      <c r="K1116">
        <v>36</v>
      </c>
      <c r="L1116" t="s">
        <v>3051</v>
      </c>
      <c r="M1116">
        <v>561</v>
      </c>
      <c r="N1116">
        <v>3</v>
      </c>
      <c r="O1116" t="s">
        <v>3057</v>
      </c>
      <c r="P1116" t="s">
        <v>3892</v>
      </c>
      <c r="Q1116">
        <v>0.34360000000000002</v>
      </c>
    </row>
    <row r="1117" spans="1:17" x14ac:dyDescent="0.35">
      <c r="A1117" t="s">
        <v>1115</v>
      </c>
      <c r="B1117" t="s">
        <v>2602</v>
      </c>
      <c r="C1117">
        <v>35</v>
      </c>
      <c r="D1117" t="s">
        <v>2992</v>
      </c>
      <c r="E1117" t="s">
        <v>3006</v>
      </c>
      <c r="F1117" t="s">
        <v>3018</v>
      </c>
      <c r="G1117">
        <v>6</v>
      </c>
      <c r="H1117">
        <v>292990</v>
      </c>
      <c r="I1117">
        <v>300833</v>
      </c>
      <c r="J1117">
        <v>19.760000000000002</v>
      </c>
      <c r="K1117">
        <v>36</v>
      </c>
      <c r="L1117" t="s">
        <v>3046</v>
      </c>
      <c r="M1117">
        <v>365</v>
      </c>
      <c r="N1117">
        <v>4</v>
      </c>
      <c r="O1117" t="s">
        <v>3057</v>
      </c>
      <c r="P1117" t="s">
        <v>3352</v>
      </c>
      <c r="Q1117">
        <v>1.0267999999999999</v>
      </c>
    </row>
    <row r="1118" spans="1:17" x14ac:dyDescent="0.35">
      <c r="A1118" t="s">
        <v>1116</v>
      </c>
      <c r="B1118" t="s">
        <v>2603</v>
      </c>
      <c r="C1118">
        <v>52</v>
      </c>
      <c r="D1118" t="s">
        <v>2992</v>
      </c>
      <c r="E1118" t="s">
        <v>3007</v>
      </c>
      <c r="F1118" t="s">
        <v>3020</v>
      </c>
      <c r="G1118">
        <v>29</v>
      </c>
      <c r="I1118">
        <v>517599</v>
      </c>
      <c r="J1118">
        <v>14.44</v>
      </c>
      <c r="K1118">
        <v>24</v>
      </c>
      <c r="L1118" t="s">
        <v>3047</v>
      </c>
      <c r="M1118">
        <v>468</v>
      </c>
      <c r="N1118">
        <v>4</v>
      </c>
      <c r="O1118" t="s">
        <v>3054</v>
      </c>
      <c r="P1118" t="s">
        <v>3893</v>
      </c>
      <c r="Q1118">
        <v>0.69889999999999997</v>
      </c>
    </row>
    <row r="1119" spans="1:17" x14ac:dyDescent="0.35">
      <c r="A1119" t="s">
        <v>1117</v>
      </c>
      <c r="B1119" t="s">
        <v>2604</v>
      </c>
      <c r="C1119">
        <v>30</v>
      </c>
      <c r="D1119" t="s">
        <v>2992</v>
      </c>
      <c r="E1119" t="s">
        <v>3001</v>
      </c>
      <c r="F1119" t="s">
        <v>3019</v>
      </c>
      <c r="G1119">
        <v>12</v>
      </c>
      <c r="H1119">
        <v>2349392</v>
      </c>
      <c r="I1119">
        <v>177636</v>
      </c>
      <c r="J1119">
        <v>21.28</v>
      </c>
      <c r="K1119">
        <v>12</v>
      </c>
      <c r="L1119" t="s">
        <v>3051</v>
      </c>
      <c r="M1119">
        <v>514</v>
      </c>
      <c r="N1119">
        <v>0</v>
      </c>
      <c r="O1119" t="s">
        <v>3056</v>
      </c>
      <c r="P1119" t="s">
        <v>3539</v>
      </c>
      <c r="Q1119">
        <v>7.5600000000000001E-2</v>
      </c>
    </row>
    <row r="1120" spans="1:17" x14ac:dyDescent="0.35">
      <c r="A1120" t="s">
        <v>1118</v>
      </c>
      <c r="B1120" t="s">
        <v>2605</v>
      </c>
      <c r="C1120">
        <v>34</v>
      </c>
      <c r="D1120" t="s">
        <v>2992</v>
      </c>
      <c r="E1120" t="s">
        <v>3002</v>
      </c>
      <c r="F1120" t="s">
        <v>3018</v>
      </c>
      <c r="G1120">
        <v>0</v>
      </c>
      <c r="H1120">
        <v>1960752</v>
      </c>
      <c r="I1120">
        <v>755010</v>
      </c>
      <c r="J1120">
        <v>20.6</v>
      </c>
      <c r="K1120">
        <v>36</v>
      </c>
      <c r="L1120" t="s">
        <v>3046</v>
      </c>
      <c r="M1120">
        <v>383</v>
      </c>
      <c r="N1120">
        <v>5</v>
      </c>
      <c r="O1120" t="s">
        <v>3055</v>
      </c>
      <c r="P1120" t="s">
        <v>3894</v>
      </c>
      <c r="Q1120">
        <v>0.3851</v>
      </c>
    </row>
    <row r="1121" spans="1:17" x14ac:dyDescent="0.35">
      <c r="A1121" t="s">
        <v>1119</v>
      </c>
      <c r="B1121" t="s">
        <v>2606</v>
      </c>
      <c r="C1121">
        <v>48</v>
      </c>
      <c r="D1121" t="s">
        <v>2990</v>
      </c>
      <c r="E1121" t="s">
        <v>3007</v>
      </c>
      <c r="F1121" t="s">
        <v>3020</v>
      </c>
      <c r="G1121">
        <v>21</v>
      </c>
      <c r="H1121">
        <v>431537</v>
      </c>
      <c r="I1121">
        <v>207256</v>
      </c>
      <c r="J1121">
        <v>10.16</v>
      </c>
      <c r="K1121">
        <v>24</v>
      </c>
      <c r="L1121" t="s">
        <v>3050</v>
      </c>
      <c r="M1121">
        <v>367</v>
      </c>
      <c r="N1121">
        <v>1</v>
      </c>
      <c r="O1121" t="s">
        <v>3052</v>
      </c>
      <c r="P1121" t="s">
        <v>3895</v>
      </c>
      <c r="Q1121">
        <v>0.4803</v>
      </c>
    </row>
    <row r="1122" spans="1:17" x14ac:dyDescent="0.35">
      <c r="A1122" t="s">
        <v>1120</v>
      </c>
      <c r="B1122" t="s">
        <v>2607</v>
      </c>
      <c r="C1122">
        <v>63</v>
      </c>
      <c r="E1122" t="s">
        <v>3003</v>
      </c>
      <c r="G1122">
        <v>8</v>
      </c>
      <c r="H1122">
        <v>2092584</v>
      </c>
      <c r="I1122">
        <v>630032</v>
      </c>
      <c r="J1122">
        <v>24.35</v>
      </c>
      <c r="K1122">
        <v>48</v>
      </c>
      <c r="L1122" t="s">
        <v>3046</v>
      </c>
      <c r="M1122">
        <v>427</v>
      </c>
      <c r="N1122">
        <v>2</v>
      </c>
      <c r="O1122" t="s">
        <v>3057</v>
      </c>
      <c r="P1122" t="s">
        <v>3896</v>
      </c>
      <c r="Q1122">
        <v>0.30109999999999998</v>
      </c>
    </row>
    <row r="1123" spans="1:17" x14ac:dyDescent="0.35">
      <c r="A1123" t="s">
        <v>1121</v>
      </c>
      <c r="B1123" t="s">
        <v>2608</v>
      </c>
      <c r="C1123">
        <v>26</v>
      </c>
      <c r="D1123" t="s">
        <v>2992</v>
      </c>
      <c r="E1123" t="s">
        <v>3005</v>
      </c>
      <c r="F1123" t="s">
        <v>3018</v>
      </c>
      <c r="G1123">
        <v>19</v>
      </c>
      <c r="H1123">
        <v>1886533</v>
      </c>
      <c r="I1123">
        <v>503007</v>
      </c>
      <c r="J1123">
        <v>18.260000000000002</v>
      </c>
      <c r="K1123">
        <v>48</v>
      </c>
      <c r="L1123" t="s">
        <v>3050</v>
      </c>
      <c r="M1123">
        <v>775</v>
      </c>
      <c r="N1123">
        <v>2</v>
      </c>
      <c r="O1123" t="s">
        <v>3053</v>
      </c>
      <c r="P1123" t="s">
        <v>3284</v>
      </c>
      <c r="Q1123">
        <v>0.2666</v>
      </c>
    </row>
    <row r="1124" spans="1:17" x14ac:dyDescent="0.35">
      <c r="A1124" t="s">
        <v>1122</v>
      </c>
      <c r="B1124" t="s">
        <v>2609</v>
      </c>
      <c r="C1124">
        <v>53</v>
      </c>
      <c r="D1124" t="s">
        <v>2990</v>
      </c>
      <c r="E1124" t="s">
        <v>3007</v>
      </c>
      <c r="F1124" t="s">
        <v>3021</v>
      </c>
      <c r="G1124">
        <v>7</v>
      </c>
      <c r="H1124">
        <v>1161883</v>
      </c>
      <c r="I1124">
        <v>493048</v>
      </c>
      <c r="J1124">
        <v>24.52</v>
      </c>
      <c r="K1124">
        <v>12</v>
      </c>
      <c r="L1124" t="s">
        <v>3047</v>
      </c>
      <c r="M1124">
        <v>642</v>
      </c>
      <c r="N1124">
        <v>1</v>
      </c>
      <c r="O1124" t="s">
        <v>3053</v>
      </c>
      <c r="P1124" t="s">
        <v>3785</v>
      </c>
      <c r="Q1124">
        <v>0.4244</v>
      </c>
    </row>
    <row r="1125" spans="1:17" x14ac:dyDescent="0.35">
      <c r="A1125" t="s">
        <v>1123</v>
      </c>
      <c r="B1125" t="s">
        <v>2610</v>
      </c>
      <c r="C1125">
        <v>24</v>
      </c>
      <c r="D1125" t="s">
        <v>2992</v>
      </c>
      <c r="E1125" t="s">
        <v>3002</v>
      </c>
      <c r="F1125" t="s">
        <v>3019</v>
      </c>
      <c r="G1125">
        <v>16</v>
      </c>
      <c r="H1125">
        <v>1891646</v>
      </c>
      <c r="I1125">
        <v>373827</v>
      </c>
      <c r="J1125">
        <v>19.7</v>
      </c>
      <c r="K1125">
        <v>24</v>
      </c>
      <c r="L1125" t="s">
        <v>3048</v>
      </c>
      <c r="M1125">
        <v>391</v>
      </c>
      <c r="N1125">
        <v>5</v>
      </c>
      <c r="O1125" t="s">
        <v>3052</v>
      </c>
      <c r="P1125" t="s">
        <v>3897</v>
      </c>
      <c r="Q1125">
        <v>0.1976</v>
      </c>
    </row>
    <row r="1126" spans="1:17" x14ac:dyDescent="0.35">
      <c r="A1126" t="s">
        <v>1124</v>
      </c>
      <c r="B1126" t="s">
        <v>2611</v>
      </c>
      <c r="C1126">
        <v>49</v>
      </c>
      <c r="D1126" t="s">
        <v>2990</v>
      </c>
      <c r="E1126" t="s">
        <v>3006</v>
      </c>
      <c r="F1126" t="s">
        <v>3018</v>
      </c>
      <c r="G1126">
        <v>20</v>
      </c>
      <c r="H1126">
        <v>789996</v>
      </c>
      <c r="I1126">
        <v>336480</v>
      </c>
      <c r="J1126">
        <v>12.25</v>
      </c>
      <c r="K1126">
        <v>24</v>
      </c>
      <c r="L1126" t="s">
        <v>3048</v>
      </c>
      <c r="M1126">
        <v>507</v>
      </c>
      <c r="N1126">
        <v>0</v>
      </c>
      <c r="O1126" t="s">
        <v>3056</v>
      </c>
      <c r="P1126" t="s">
        <v>3331</v>
      </c>
      <c r="Q1126">
        <v>0.4259</v>
      </c>
    </row>
    <row r="1127" spans="1:17" x14ac:dyDescent="0.35">
      <c r="A1127" t="s">
        <v>1125</v>
      </c>
      <c r="B1127" t="s">
        <v>2612</v>
      </c>
      <c r="C1127">
        <v>35</v>
      </c>
      <c r="D1127" t="s">
        <v>2990</v>
      </c>
      <c r="E1127" t="s">
        <v>3004</v>
      </c>
      <c r="F1127" t="s">
        <v>3021</v>
      </c>
      <c r="G1127">
        <v>20</v>
      </c>
      <c r="H1127">
        <v>893226</v>
      </c>
      <c r="I1127">
        <v>690798</v>
      </c>
      <c r="J1127">
        <v>23.69</v>
      </c>
      <c r="K1127">
        <v>12</v>
      </c>
      <c r="L1127" t="s">
        <v>3048</v>
      </c>
      <c r="M1127">
        <v>354</v>
      </c>
      <c r="N1127">
        <v>6</v>
      </c>
      <c r="O1127" t="s">
        <v>3056</v>
      </c>
      <c r="P1127" t="s">
        <v>3898</v>
      </c>
      <c r="Q1127">
        <v>0.77339999999999998</v>
      </c>
    </row>
    <row r="1128" spans="1:17" x14ac:dyDescent="0.35">
      <c r="A1128" t="s">
        <v>1126</v>
      </c>
      <c r="B1128" t="s">
        <v>2613</v>
      </c>
      <c r="C1128">
        <v>33</v>
      </c>
      <c r="D1128" t="s">
        <v>2992</v>
      </c>
      <c r="E1128" t="s">
        <v>2998</v>
      </c>
      <c r="F1128" t="s">
        <v>3020</v>
      </c>
      <c r="G1128">
        <v>18</v>
      </c>
      <c r="H1128">
        <v>2255406</v>
      </c>
      <c r="I1128">
        <v>348785</v>
      </c>
      <c r="J1128" t="s">
        <v>3038</v>
      </c>
      <c r="K1128">
        <v>24</v>
      </c>
      <c r="L1128" t="s">
        <v>3049</v>
      </c>
      <c r="M1128">
        <v>671</v>
      </c>
      <c r="N1128">
        <v>0</v>
      </c>
      <c r="O1128" t="s">
        <v>3053</v>
      </c>
      <c r="P1128" t="s">
        <v>3450</v>
      </c>
      <c r="Q1128">
        <v>0.15459999999999999</v>
      </c>
    </row>
    <row r="1129" spans="1:17" x14ac:dyDescent="0.35">
      <c r="A1129" t="s">
        <v>1127</v>
      </c>
      <c r="B1129" t="s">
        <v>2614</v>
      </c>
      <c r="C1129">
        <v>51</v>
      </c>
      <c r="D1129" t="s">
        <v>2990</v>
      </c>
      <c r="E1129" t="s">
        <v>3005</v>
      </c>
      <c r="F1129" t="s">
        <v>3021</v>
      </c>
      <c r="G1129">
        <v>14</v>
      </c>
      <c r="H1129">
        <v>2325472</v>
      </c>
      <c r="I1129">
        <v>421415</v>
      </c>
      <c r="J1129">
        <v>11.2</v>
      </c>
      <c r="K1129">
        <v>12</v>
      </c>
      <c r="L1129" t="s">
        <v>3051</v>
      </c>
      <c r="M1129">
        <v>618</v>
      </c>
      <c r="N1129">
        <v>1</v>
      </c>
      <c r="O1129" t="s">
        <v>3052</v>
      </c>
      <c r="P1129" t="s">
        <v>3899</v>
      </c>
      <c r="Q1129">
        <v>0.1812</v>
      </c>
    </row>
    <row r="1130" spans="1:17" x14ac:dyDescent="0.35">
      <c r="A1130" t="s">
        <v>1128</v>
      </c>
      <c r="B1130" t="s">
        <v>2615</v>
      </c>
      <c r="C1130">
        <v>59</v>
      </c>
      <c r="D1130" t="s">
        <v>2990</v>
      </c>
      <c r="E1130" t="s">
        <v>3004</v>
      </c>
      <c r="F1130" t="s">
        <v>3019</v>
      </c>
      <c r="G1130">
        <v>16</v>
      </c>
      <c r="H1130">
        <v>674178</v>
      </c>
      <c r="I1130">
        <v>797475</v>
      </c>
      <c r="J1130">
        <v>20.2</v>
      </c>
      <c r="K1130">
        <v>24</v>
      </c>
      <c r="L1130" t="s">
        <v>3048</v>
      </c>
      <c r="M1130">
        <v>811</v>
      </c>
      <c r="N1130">
        <v>0</v>
      </c>
      <c r="O1130" t="s">
        <v>3057</v>
      </c>
      <c r="P1130" t="s">
        <v>3671</v>
      </c>
      <c r="Q1130">
        <v>1.1829000000000001</v>
      </c>
    </row>
    <row r="1131" spans="1:17" x14ac:dyDescent="0.35">
      <c r="A1131" t="s">
        <v>1129</v>
      </c>
      <c r="B1131" t="s">
        <v>2616</v>
      </c>
      <c r="C1131">
        <v>52</v>
      </c>
      <c r="D1131" t="s">
        <v>2990</v>
      </c>
      <c r="E1131" t="s">
        <v>3005</v>
      </c>
      <c r="F1131" t="s">
        <v>3021</v>
      </c>
      <c r="G1131">
        <v>16</v>
      </c>
      <c r="H1131">
        <v>460852</v>
      </c>
      <c r="I1131">
        <v>290784</v>
      </c>
      <c r="J1131">
        <v>21.83</v>
      </c>
      <c r="K1131">
        <v>60</v>
      </c>
      <c r="L1131" t="s">
        <v>3051</v>
      </c>
      <c r="M1131">
        <v>488</v>
      </c>
      <c r="N1131">
        <v>1</v>
      </c>
      <c r="O1131" t="s">
        <v>3056</v>
      </c>
      <c r="P1131" t="s">
        <v>3900</v>
      </c>
      <c r="Q1131">
        <v>0.63100000000000001</v>
      </c>
    </row>
    <row r="1132" spans="1:17" x14ac:dyDescent="0.35">
      <c r="A1132" t="s">
        <v>1130</v>
      </c>
      <c r="B1132" t="s">
        <v>2617</v>
      </c>
      <c r="C1132">
        <v>52</v>
      </c>
      <c r="D1132" t="s">
        <v>2992</v>
      </c>
      <c r="E1132" t="s">
        <v>2999</v>
      </c>
      <c r="F1132" t="s">
        <v>3019</v>
      </c>
      <c r="G1132">
        <v>10</v>
      </c>
      <c r="H1132">
        <v>1123187</v>
      </c>
      <c r="I1132">
        <v>431124</v>
      </c>
      <c r="J1132">
        <v>10.07</v>
      </c>
      <c r="K1132">
        <v>12</v>
      </c>
      <c r="L1132" t="s">
        <v>3048</v>
      </c>
      <c r="M1132">
        <v>322</v>
      </c>
      <c r="N1132">
        <v>2</v>
      </c>
      <c r="O1132" t="s">
        <v>3055</v>
      </c>
      <c r="P1132" t="s">
        <v>3901</v>
      </c>
      <c r="Q1132">
        <v>0.38379999999999997</v>
      </c>
    </row>
    <row r="1133" spans="1:17" x14ac:dyDescent="0.35">
      <c r="A1133" t="s">
        <v>1131</v>
      </c>
      <c r="B1133" t="s">
        <v>2618</v>
      </c>
      <c r="C1133">
        <v>45</v>
      </c>
      <c r="D1133" t="s">
        <v>2990</v>
      </c>
      <c r="E1133" t="s">
        <v>3000</v>
      </c>
      <c r="F1133" t="s">
        <v>3020</v>
      </c>
      <c r="G1133">
        <v>8</v>
      </c>
      <c r="H1133">
        <v>763098</v>
      </c>
      <c r="I1133">
        <v>121158</v>
      </c>
      <c r="J1133">
        <v>13.13</v>
      </c>
      <c r="K1133">
        <v>48</v>
      </c>
      <c r="L1133" t="s">
        <v>3051</v>
      </c>
      <c r="M1133">
        <v>503</v>
      </c>
      <c r="N1133">
        <v>2</v>
      </c>
      <c r="O1133" t="s">
        <v>3056</v>
      </c>
      <c r="P1133" t="s">
        <v>3517</v>
      </c>
      <c r="Q1133">
        <v>0.1588</v>
      </c>
    </row>
    <row r="1134" spans="1:17" x14ac:dyDescent="0.35">
      <c r="A1134" t="s">
        <v>1132</v>
      </c>
      <c r="B1134" t="s">
        <v>2619</v>
      </c>
      <c r="C1134">
        <v>37</v>
      </c>
      <c r="D1134" t="s">
        <v>2992</v>
      </c>
      <c r="E1134" t="s">
        <v>3006</v>
      </c>
      <c r="F1134" t="s">
        <v>3020</v>
      </c>
      <c r="G1134">
        <v>10</v>
      </c>
      <c r="H1134">
        <v>1289639</v>
      </c>
      <c r="I1134">
        <v>150356</v>
      </c>
      <c r="J1134">
        <v>24.29</v>
      </c>
      <c r="K1134">
        <v>12</v>
      </c>
      <c r="N1134">
        <v>5</v>
      </c>
      <c r="O1134" t="s">
        <v>3056</v>
      </c>
      <c r="P1134" t="s">
        <v>3803</v>
      </c>
      <c r="Q1134">
        <v>0.1166</v>
      </c>
    </row>
    <row r="1135" spans="1:17" x14ac:dyDescent="0.35">
      <c r="A1135" t="s">
        <v>1133</v>
      </c>
      <c r="B1135" t="s">
        <v>2620</v>
      </c>
      <c r="C1135">
        <v>29</v>
      </c>
      <c r="D1135" t="s">
        <v>2992</v>
      </c>
      <c r="E1135" t="s">
        <v>3005</v>
      </c>
      <c r="F1135" t="s">
        <v>3021</v>
      </c>
      <c r="G1135">
        <v>11</v>
      </c>
      <c r="H1135">
        <v>2113460</v>
      </c>
      <c r="I1135">
        <v>225776</v>
      </c>
      <c r="J1135">
        <v>14.47</v>
      </c>
      <c r="K1135">
        <v>12</v>
      </c>
      <c r="L1135" t="s">
        <v>3050</v>
      </c>
      <c r="M1135">
        <v>616</v>
      </c>
      <c r="N1135">
        <v>6</v>
      </c>
      <c r="O1135" t="s">
        <v>3052</v>
      </c>
      <c r="P1135" t="s">
        <v>3603</v>
      </c>
      <c r="Q1135">
        <v>0.10680000000000001</v>
      </c>
    </row>
    <row r="1136" spans="1:17" x14ac:dyDescent="0.35">
      <c r="A1136" t="s">
        <v>1134</v>
      </c>
      <c r="B1136" t="s">
        <v>2621</v>
      </c>
      <c r="C1136">
        <v>55</v>
      </c>
      <c r="D1136" t="s">
        <v>2990</v>
      </c>
      <c r="E1136" t="s">
        <v>3005</v>
      </c>
      <c r="F1136" t="s">
        <v>3018</v>
      </c>
      <c r="G1136">
        <v>23</v>
      </c>
      <c r="H1136">
        <v>1232207</v>
      </c>
      <c r="I1136">
        <v>730672</v>
      </c>
      <c r="J1136">
        <v>14.91</v>
      </c>
      <c r="K1136">
        <v>24</v>
      </c>
      <c r="L1136" t="s">
        <v>3046</v>
      </c>
      <c r="M1136">
        <v>504</v>
      </c>
      <c r="N1136">
        <v>2</v>
      </c>
      <c r="O1136" t="s">
        <v>3055</v>
      </c>
      <c r="P1136" t="s">
        <v>3319</v>
      </c>
      <c r="Q1136">
        <v>0.59299999999999997</v>
      </c>
    </row>
    <row r="1137" spans="1:17" x14ac:dyDescent="0.35">
      <c r="A1137" t="s">
        <v>1135</v>
      </c>
      <c r="B1137" t="s">
        <v>2622</v>
      </c>
      <c r="C1137">
        <v>61</v>
      </c>
      <c r="D1137" t="s">
        <v>2992</v>
      </c>
      <c r="E1137" t="s">
        <v>2999</v>
      </c>
      <c r="F1137" t="s">
        <v>3018</v>
      </c>
      <c r="G1137">
        <v>6</v>
      </c>
      <c r="H1137">
        <v>1021531</v>
      </c>
      <c r="I1137">
        <v>685938</v>
      </c>
      <c r="J1137">
        <v>19.71</v>
      </c>
      <c r="K1137">
        <v>12</v>
      </c>
      <c r="L1137" t="s">
        <v>3047</v>
      </c>
      <c r="M1137">
        <v>744</v>
      </c>
      <c r="N1137">
        <v>1</v>
      </c>
      <c r="O1137" t="s">
        <v>3053</v>
      </c>
      <c r="P1137" t="s">
        <v>3902</v>
      </c>
      <c r="Q1137">
        <v>0.67149999999999999</v>
      </c>
    </row>
    <row r="1138" spans="1:17" x14ac:dyDescent="0.35">
      <c r="A1138" t="s">
        <v>1136</v>
      </c>
      <c r="B1138" t="s">
        <v>2623</v>
      </c>
      <c r="C1138">
        <v>29</v>
      </c>
      <c r="D1138" t="s">
        <v>2990</v>
      </c>
      <c r="E1138" t="s">
        <v>3005</v>
      </c>
      <c r="F1138" t="s">
        <v>3019</v>
      </c>
      <c r="G1138">
        <v>25</v>
      </c>
      <c r="H1138">
        <v>733343</v>
      </c>
      <c r="I1138">
        <v>491797</v>
      </c>
      <c r="J1138">
        <v>11.08</v>
      </c>
      <c r="K1138">
        <v>48</v>
      </c>
      <c r="M1138">
        <v>608</v>
      </c>
      <c r="N1138">
        <v>5</v>
      </c>
      <c r="O1138" t="s">
        <v>3056</v>
      </c>
      <c r="P1138" t="s">
        <v>3888</v>
      </c>
      <c r="Q1138">
        <v>0.67059999999999997</v>
      </c>
    </row>
    <row r="1139" spans="1:17" x14ac:dyDescent="0.35">
      <c r="A1139" t="s">
        <v>1137</v>
      </c>
      <c r="B1139" t="s">
        <v>2624</v>
      </c>
      <c r="C1139">
        <v>49</v>
      </c>
      <c r="D1139" t="s">
        <v>2992</v>
      </c>
      <c r="E1139" t="s">
        <v>2999</v>
      </c>
      <c r="F1139" t="s">
        <v>3019</v>
      </c>
      <c r="G1139">
        <v>1</v>
      </c>
      <c r="H1139">
        <v>1464382</v>
      </c>
      <c r="I1139">
        <v>579351</v>
      </c>
      <c r="J1139">
        <v>25.59</v>
      </c>
      <c r="K1139">
        <v>12</v>
      </c>
      <c r="L1139" t="s">
        <v>3047</v>
      </c>
      <c r="M1139">
        <v>809</v>
      </c>
      <c r="N1139">
        <v>7</v>
      </c>
      <c r="O1139" t="s">
        <v>3057</v>
      </c>
      <c r="P1139" t="s">
        <v>3127</v>
      </c>
      <c r="Q1139">
        <v>0.39560000000000001</v>
      </c>
    </row>
    <row r="1140" spans="1:17" x14ac:dyDescent="0.35">
      <c r="A1140" t="s">
        <v>1138</v>
      </c>
      <c r="B1140" t="s">
        <v>2625</v>
      </c>
      <c r="C1140">
        <v>57</v>
      </c>
      <c r="D1140" t="s">
        <v>2990</v>
      </c>
      <c r="E1140" t="s">
        <v>2998</v>
      </c>
      <c r="G1140">
        <v>28</v>
      </c>
      <c r="H1140">
        <v>1167471</v>
      </c>
      <c r="I1140">
        <v>773494</v>
      </c>
      <c r="J1140" t="s">
        <v>3039</v>
      </c>
      <c r="K1140">
        <v>48</v>
      </c>
      <c r="L1140" t="s">
        <v>3047</v>
      </c>
      <c r="M1140">
        <v>675</v>
      </c>
      <c r="N1140">
        <v>3</v>
      </c>
      <c r="O1140" t="s">
        <v>3054</v>
      </c>
      <c r="P1140" t="s">
        <v>3903</v>
      </c>
      <c r="Q1140">
        <v>0.66249999999999998</v>
      </c>
    </row>
    <row r="1141" spans="1:17" x14ac:dyDescent="0.35">
      <c r="A1141" t="s">
        <v>1139</v>
      </c>
      <c r="B1141" t="s">
        <v>2626</v>
      </c>
      <c r="C1141">
        <v>23</v>
      </c>
      <c r="D1141" t="s">
        <v>2992</v>
      </c>
      <c r="E1141" t="s">
        <v>2998</v>
      </c>
      <c r="F1141" t="s">
        <v>3019</v>
      </c>
      <c r="G1141">
        <v>27</v>
      </c>
      <c r="H1141">
        <v>2020418</v>
      </c>
      <c r="I1141">
        <v>356986</v>
      </c>
      <c r="J1141">
        <v>18.239999999999998</v>
      </c>
      <c r="K1141">
        <v>24</v>
      </c>
      <c r="L1141" t="s">
        <v>3051</v>
      </c>
      <c r="M1141">
        <v>483</v>
      </c>
      <c r="N1141">
        <v>1</v>
      </c>
      <c r="O1141" t="s">
        <v>3053</v>
      </c>
      <c r="P1141" t="s">
        <v>3271</v>
      </c>
      <c r="Q1141">
        <v>0.1767</v>
      </c>
    </row>
    <row r="1142" spans="1:17" x14ac:dyDescent="0.35">
      <c r="A1142" t="s">
        <v>1140</v>
      </c>
      <c r="B1142" t="s">
        <v>2627</v>
      </c>
      <c r="C1142">
        <v>22</v>
      </c>
      <c r="D1142" t="s">
        <v>2990</v>
      </c>
      <c r="E1142" t="s">
        <v>3005</v>
      </c>
      <c r="F1142" t="s">
        <v>3021</v>
      </c>
      <c r="G1142">
        <v>26</v>
      </c>
      <c r="H1142">
        <v>1881243</v>
      </c>
      <c r="I1142">
        <v>223834</v>
      </c>
      <c r="J1142">
        <v>25.69</v>
      </c>
      <c r="K1142">
        <v>36</v>
      </c>
      <c r="L1142" t="s">
        <v>3050</v>
      </c>
      <c r="M1142">
        <v>405</v>
      </c>
      <c r="N1142">
        <v>5</v>
      </c>
      <c r="O1142" t="s">
        <v>3052</v>
      </c>
      <c r="P1142" t="s">
        <v>3904</v>
      </c>
      <c r="Q1142">
        <v>0.11899999999999999</v>
      </c>
    </row>
    <row r="1143" spans="1:17" x14ac:dyDescent="0.35">
      <c r="A1143" t="s">
        <v>1141</v>
      </c>
      <c r="B1143" t="s">
        <v>2628</v>
      </c>
      <c r="C1143">
        <v>27</v>
      </c>
      <c r="D1143" t="s">
        <v>2992</v>
      </c>
      <c r="E1143" t="s">
        <v>3004</v>
      </c>
      <c r="F1143" t="s">
        <v>3019</v>
      </c>
      <c r="G1143">
        <v>24</v>
      </c>
      <c r="H1143">
        <v>459713</v>
      </c>
      <c r="I1143">
        <v>787674</v>
      </c>
      <c r="J1143">
        <v>23.66</v>
      </c>
      <c r="K1143">
        <v>12</v>
      </c>
      <c r="L1143" t="s">
        <v>3051</v>
      </c>
      <c r="M1143">
        <v>389</v>
      </c>
      <c r="N1143">
        <v>1</v>
      </c>
      <c r="O1143" t="s">
        <v>3056</v>
      </c>
      <c r="P1143" t="s">
        <v>3905</v>
      </c>
      <c r="Q1143">
        <v>1.7134</v>
      </c>
    </row>
    <row r="1144" spans="1:17" x14ac:dyDescent="0.35">
      <c r="A1144" t="s">
        <v>1142</v>
      </c>
      <c r="B1144" t="s">
        <v>2629</v>
      </c>
      <c r="C1144">
        <v>33</v>
      </c>
      <c r="D1144" t="s">
        <v>2992</v>
      </c>
      <c r="E1144" t="s">
        <v>3002</v>
      </c>
      <c r="G1144">
        <v>17</v>
      </c>
      <c r="H1144">
        <v>2280343</v>
      </c>
      <c r="I1144">
        <v>534265</v>
      </c>
      <c r="J1144">
        <v>19.05</v>
      </c>
      <c r="K1144">
        <v>12</v>
      </c>
      <c r="L1144" t="s">
        <v>3048</v>
      </c>
      <c r="M1144">
        <v>393</v>
      </c>
      <c r="N1144">
        <v>0</v>
      </c>
      <c r="O1144" t="s">
        <v>3057</v>
      </c>
      <c r="P1144" t="s">
        <v>3906</v>
      </c>
      <c r="Q1144">
        <v>0.23430000000000001</v>
      </c>
    </row>
    <row r="1145" spans="1:17" x14ac:dyDescent="0.35">
      <c r="A1145" t="s">
        <v>1143</v>
      </c>
      <c r="B1145" t="s">
        <v>2630</v>
      </c>
      <c r="C1145">
        <v>53</v>
      </c>
      <c r="D1145" t="s">
        <v>2990</v>
      </c>
      <c r="E1145" t="s">
        <v>3002</v>
      </c>
      <c r="F1145" t="s">
        <v>3020</v>
      </c>
      <c r="G1145">
        <v>5</v>
      </c>
      <c r="H1145">
        <v>980101</v>
      </c>
      <c r="I1145">
        <v>770186</v>
      </c>
      <c r="J1145">
        <v>20.46</v>
      </c>
      <c r="K1145">
        <v>12</v>
      </c>
      <c r="L1145" t="s">
        <v>3049</v>
      </c>
      <c r="M1145">
        <v>588</v>
      </c>
      <c r="N1145">
        <v>7</v>
      </c>
      <c r="O1145" t="s">
        <v>3057</v>
      </c>
      <c r="P1145" t="s">
        <v>3907</v>
      </c>
      <c r="Q1145">
        <v>0.78580000000000005</v>
      </c>
    </row>
    <row r="1146" spans="1:17" x14ac:dyDescent="0.35">
      <c r="A1146" t="s">
        <v>1144</v>
      </c>
      <c r="B1146" t="s">
        <v>2631</v>
      </c>
      <c r="C1146">
        <v>52</v>
      </c>
      <c r="D1146" t="s">
        <v>2992</v>
      </c>
      <c r="E1146" t="s">
        <v>3006</v>
      </c>
      <c r="F1146" t="s">
        <v>3020</v>
      </c>
      <c r="G1146">
        <v>13</v>
      </c>
      <c r="H1146">
        <v>468859</v>
      </c>
      <c r="I1146">
        <v>151184</v>
      </c>
      <c r="J1146">
        <v>14.63</v>
      </c>
      <c r="K1146">
        <v>60</v>
      </c>
      <c r="L1146" t="s">
        <v>3049</v>
      </c>
      <c r="M1146">
        <v>720</v>
      </c>
      <c r="N1146">
        <v>3</v>
      </c>
      <c r="O1146" t="s">
        <v>3057</v>
      </c>
      <c r="P1146" t="s">
        <v>3908</v>
      </c>
      <c r="Q1146">
        <v>0.32250000000000001</v>
      </c>
    </row>
    <row r="1147" spans="1:17" x14ac:dyDescent="0.35">
      <c r="A1147" t="s">
        <v>1145</v>
      </c>
      <c r="B1147" t="s">
        <v>2632</v>
      </c>
      <c r="C1147">
        <v>25</v>
      </c>
      <c r="D1147" t="s">
        <v>2992</v>
      </c>
      <c r="E1147" t="s">
        <v>3006</v>
      </c>
      <c r="F1147" t="s">
        <v>3019</v>
      </c>
      <c r="G1147">
        <v>24</v>
      </c>
      <c r="H1147">
        <v>1893136</v>
      </c>
      <c r="I1147">
        <v>295011</v>
      </c>
      <c r="J1147">
        <v>13.44</v>
      </c>
      <c r="K1147">
        <v>36</v>
      </c>
      <c r="L1147" t="s">
        <v>3048</v>
      </c>
      <c r="M1147">
        <v>460</v>
      </c>
      <c r="N1147">
        <v>7</v>
      </c>
      <c r="O1147" t="s">
        <v>3052</v>
      </c>
      <c r="P1147" t="s">
        <v>3909</v>
      </c>
      <c r="Q1147">
        <v>0.15579999999999999</v>
      </c>
    </row>
    <row r="1148" spans="1:17" x14ac:dyDescent="0.35">
      <c r="A1148" t="s">
        <v>1146</v>
      </c>
      <c r="B1148" t="s">
        <v>2633</v>
      </c>
      <c r="C1148">
        <v>24</v>
      </c>
      <c r="D1148" t="s">
        <v>2992</v>
      </c>
      <c r="E1148" t="s">
        <v>2999</v>
      </c>
      <c r="F1148" t="s">
        <v>3021</v>
      </c>
      <c r="G1148">
        <v>11</v>
      </c>
      <c r="H1148">
        <v>1021965</v>
      </c>
      <c r="I1148">
        <v>332660</v>
      </c>
      <c r="J1148">
        <v>18.11</v>
      </c>
      <c r="K1148">
        <v>24</v>
      </c>
      <c r="L1148" t="s">
        <v>3051</v>
      </c>
      <c r="M1148">
        <v>628</v>
      </c>
      <c r="N1148">
        <v>0</v>
      </c>
      <c r="O1148" t="s">
        <v>3054</v>
      </c>
      <c r="P1148" t="s">
        <v>3910</v>
      </c>
      <c r="Q1148">
        <v>0.32550000000000001</v>
      </c>
    </row>
    <row r="1149" spans="1:17" x14ac:dyDescent="0.35">
      <c r="A1149" t="s">
        <v>1147</v>
      </c>
      <c r="B1149" t="s">
        <v>2634</v>
      </c>
      <c r="C1149">
        <v>56</v>
      </c>
      <c r="D1149" t="s">
        <v>2992</v>
      </c>
      <c r="E1149" t="s">
        <v>3001</v>
      </c>
      <c r="F1149" t="s">
        <v>3018</v>
      </c>
      <c r="G1149">
        <v>2</v>
      </c>
      <c r="H1149">
        <v>1532790</v>
      </c>
      <c r="I1149">
        <v>294535</v>
      </c>
      <c r="J1149">
        <v>11.8</v>
      </c>
      <c r="K1149">
        <v>24</v>
      </c>
      <c r="L1149" t="s">
        <v>3048</v>
      </c>
      <c r="M1149">
        <v>637</v>
      </c>
      <c r="N1149">
        <v>4</v>
      </c>
      <c r="O1149" t="s">
        <v>3055</v>
      </c>
      <c r="P1149" t="s">
        <v>3911</v>
      </c>
      <c r="Q1149">
        <v>0.19220000000000001</v>
      </c>
    </row>
    <row r="1150" spans="1:17" x14ac:dyDescent="0.35">
      <c r="A1150" t="s">
        <v>1148</v>
      </c>
      <c r="B1150" t="s">
        <v>2635</v>
      </c>
      <c r="C1150">
        <v>25</v>
      </c>
      <c r="D1150" t="s">
        <v>2990</v>
      </c>
      <c r="E1150" t="s">
        <v>3004</v>
      </c>
      <c r="F1150" t="s">
        <v>3020</v>
      </c>
      <c r="G1150">
        <v>3</v>
      </c>
      <c r="H1150">
        <v>442093</v>
      </c>
      <c r="I1150">
        <v>598641</v>
      </c>
      <c r="J1150">
        <v>8.24</v>
      </c>
      <c r="K1150">
        <v>48</v>
      </c>
      <c r="M1150">
        <v>587</v>
      </c>
      <c r="N1150">
        <v>2</v>
      </c>
      <c r="O1150" t="s">
        <v>3053</v>
      </c>
      <c r="P1150" t="s">
        <v>3611</v>
      </c>
      <c r="Q1150">
        <v>1.3541000000000001</v>
      </c>
    </row>
    <row r="1151" spans="1:17" x14ac:dyDescent="0.35">
      <c r="A1151" t="s">
        <v>1149</v>
      </c>
      <c r="B1151" t="s">
        <v>2636</v>
      </c>
      <c r="C1151">
        <v>46</v>
      </c>
      <c r="D1151" t="s">
        <v>2990</v>
      </c>
      <c r="E1151" t="s">
        <v>3004</v>
      </c>
      <c r="F1151" t="s">
        <v>3020</v>
      </c>
      <c r="G1151">
        <v>11</v>
      </c>
      <c r="H1151">
        <v>1566689</v>
      </c>
      <c r="I1151">
        <v>513960</v>
      </c>
      <c r="J1151">
        <v>8.73</v>
      </c>
      <c r="K1151">
        <v>12</v>
      </c>
      <c r="L1151" t="s">
        <v>3047</v>
      </c>
      <c r="M1151">
        <v>592</v>
      </c>
      <c r="N1151">
        <v>2</v>
      </c>
      <c r="O1151" t="s">
        <v>3055</v>
      </c>
      <c r="P1151" t="s">
        <v>3837</v>
      </c>
      <c r="Q1151">
        <v>0.3281</v>
      </c>
    </row>
    <row r="1152" spans="1:17" x14ac:dyDescent="0.35">
      <c r="A1152" t="s">
        <v>1150</v>
      </c>
      <c r="B1152" t="s">
        <v>2637</v>
      </c>
      <c r="C1152">
        <v>39</v>
      </c>
      <c r="D1152" t="s">
        <v>2990</v>
      </c>
      <c r="E1152" t="s">
        <v>2998</v>
      </c>
      <c r="F1152" t="s">
        <v>3019</v>
      </c>
      <c r="G1152">
        <v>6</v>
      </c>
      <c r="H1152">
        <v>691603</v>
      </c>
      <c r="I1152">
        <v>34995</v>
      </c>
      <c r="J1152">
        <v>14.84</v>
      </c>
      <c r="K1152">
        <v>48</v>
      </c>
      <c r="L1152" t="s">
        <v>3048</v>
      </c>
      <c r="N1152">
        <v>4</v>
      </c>
      <c r="O1152" t="s">
        <v>3056</v>
      </c>
      <c r="P1152" t="s">
        <v>3128</v>
      </c>
      <c r="Q1152">
        <v>5.0599999999999999E-2</v>
      </c>
    </row>
    <row r="1153" spans="1:17" x14ac:dyDescent="0.35">
      <c r="A1153" t="s">
        <v>1151</v>
      </c>
      <c r="B1153" t="s">
        <v>2638</v>
      </c>
      <c r="C1153">
        <v>64</v>
      </c>
      <c r="D1153" t="s">
        <v>2990</v>
      </c>
      <c r="E1153" t="s">
        <v>3004</v>
      </c>
      <c r="F1153" t="s">
        <v>3020</v>
      </c>
      <c r="G1153">
        <v>13</v>
      </c>
      <c r="H1153">
        <v>412732</v>
      </c>
      <c r="I1153">
        <v>655310</v>
      </c>
      <c r="J1153">
        <v>8.3800000000000008</v>
      </c>
      <c r="K1153">
        <v>36</v>
      </c>
      <c r="L1153" t="s">
        <v>3051</v>
      </c>
      <c r="M1153">
        <v>532</v>
      </c>
      <c r="N1153">
        <v>4</v>
      </c>
      <c r="O1153" t="s">
        <v>3055</v>
      </c>
      <c r="P1153" t="s">
        <v>3912</v>
      </c>
      <c r="Q1153">
        <v>1.5876999999999999</v>
      </c>
    </row>
    <row r="1154" spans="1:17" x14ac:dyDescent="0.35">
      <c r="A1154" t="s">
        <v>1152</v>
      </c>
      <c r="B1154" t="s">
        <v>2639</v>
      </c>
      <c r="C1154">
        <v>38</v>
      </c>
      <c r="D1154" t="s">
        <v>2992</v>
      </c>
      <c r="E1154" t="s">
        <v>3001</v>
      </c>
      <c r="F1154" t="s">
        <v>3019</v>
      </c>
      <c r="G1154">
        <v>0</v>
      </c>
      <c r="H1154">
        <v>925182</v>
      </c>
      <c r="I1154">
        <v>446674</v>
      </c>
      <c r="J1154">
        <v>18.940000000000001</v>
      </c>
      <c r="K1154">
        <v>48</v>
      </c>
      <c r="L1154" t="s">
        <v>3051</v>
      </c>
      <c r="M1154">
        <v>588</v>
      </c>
      <c r="N1154">
        <v>1</v>
      </c>
      <c r="O1154" t="s">
        <v>3056</v>
      </c>
      <c r="P1154" t="s">
        <v>3387</v>
      </c>
      <c r="Q1154">
        <v>0.48280000000000001</v>
      </c>
    </row>
    <row r="1155" spans="1:17" x14ac:dyDescent="0.35">
      <c r="A1155" t="s">
        <v>1153</v>
      </c>
      <c r="B1155" t="s">
        <v>2640</v>
      </c>
      <c r="C1155">
        <v>56</v>
      </c>
      <c r="D1155" t="s">
        <v>2990</v>
      </c>
      <c r="E1155" t="s">
        <v>2998</v>
      </c>
      <c r="F1155" t="s">
        <v>3020</v>
      </c>
      <c r="G1155">
        <v>1</v>
      </c>
      <c r="H1155">
        <v>818387</v>
      </c>
      <c r="I1155">
        <v>355299</v>
      </c>
      <c r="J1155">
        <v>22.01</v>
      </c>
      <c r="K1155">
        <v>48</v>
      </c>
      <c r="L1155" t="s">
        <v>3047</v>
      </c>
      <c r="M1155">
        <v>819</v>
      </c>
      <c r="N1155">
        <v>6</v>
      </c>
      <c r="O1155" t="s">
        <v>3057</v>
      </c>
      <c r="P1155" t="s">
        <v>3537</v>
      </c>
      <c r="Q1155">
        <v>0.43409999999999999</v>
      </c>
    </row>
    <row r="1156" spans="1:17" x14ac:dyDescent="0.35">
      <c r="A1156" t="s">
        <v>1154</v>
      </c>
      <c r="B1156" t="s">
        <v>2641</v>
      </c>
      <c r="C1156">
        <v>34</v>
      </c>
      <c r="D1156" t="s">
        <v>2990</v>
      </c>
      <c r="E1156" t="s">
        <v>2999</v>
      </c>
      <c r="F1156" t="s">
        <v>3020</v>
      </c>
      <c r="G1156">
        <v>27</v>
      </c>
      <c r="H1156">
        <v>1147561</v>
      </c>
      <c r="I1156">
        <v>144116</v>
      </c>
      <c r="J1156">
        <v>18.43</v>
      </c>
      <c r="K1156">
        <v>12</v>
      </c>
      <c r="L1156" t="s">
        <v>3050</v>
      </c>
      <c r="M1156">
        <v>521</v>
      </c>
      <c r="N1156">
        <v>2</v>
      </c>
      <c r="O1156" t="s">
        <v>3053</v>
      </c>
      <c r="P1156" t="s">
        <v>3913</v>
      </c>
      <c r="Q1156">
        <v>0.12559999999999999</v>
      </c>
    </row>
    <row r="1157" spans="1:17" x14ac:dyDescent="0.35">
      <c r="A1157" t="s">
        <v>1155</v>
      </c>
      <c r="B1157" t="s">
        <v>2642</v>
      </c>
      <c r="C1157">
        <v>59</v>
      </c>
      <c r="D1157" t="s">
        <v>2990</v>
      </c>
      <c r="E1157" t="s">
        <v>3007</v>
      </c>
      <c r="F1157" t="s">
        <v>3019</v>
      </c>
      <c r="G1157">
        <v>6</v>
      </c>
      <c r="H1157">
        <v>1424380</v>
      </c>
      <c r="I1157">
        <v>146310</v>
      </c>
      <c r="J1157">
        <v>12.22</v>
      </c>
      <c r="K1157">
        <v>24</v>
      </c>
      <c r="L1157" t="s">
        <v>3047</v>
      </c>
      <c r="N1157">
        <v>2</v>
      </c>
      <c r="O1157" t="s">
        <v>3054</v>
      </c>
      <c r="P1157" t="s">
        <v>3407</v>
      </c>
      <c r="Q1157">
        <v>0.1027</v>
      </c>
    </row>
    <row r="1158" spans="1:17" x14ac:dyDescent="0.35">
      <c r="A1158" t="s">
        <v>1156</v>
      </c>
      <c r="B1158" t="s">
        <v>2643</v>
      </c>
      <c r="C1158">
        <v>55</v>
      </c>
      <c r="D1158" t="s">
        <v>2992</v>
      </c>
      <c r="E1158" t="s">
        <v>3003</v>
      </c>
      <c r="F1158" t="s">
        <v>3021</v>
      </c>
      <c r="G1158">
        <v>5</v>
      </c>
      <c r="H1158">
        <v>968443</v>
      </c>
      <c r="I1158">
        <v>563692</v>
      </c>
      <c r="J1158">
        <v>19.95</v>
      </c>
      <c r="K1158">
        <v>60</v>
      </c>
      <c r="L1158" t="s">
        <v>3049</v>
      </c>
      <c r="M1158">
        <v>747</v>
      </c>
      <c r="N1158">
        <v>1</v>
      </c>
      <c r="O1158" t="s">
        <v>3052</v>
      </c>
      <c r="P1158" t="s">
        <v>3462</v>
      </c>
      <c r="Q1158">
        <v>0.58209999999999995</v>
      </c>
    </row>
    <row r="1159" spans="1:17" x14ac:dyDescent="0.35">
      <c r="A1159" t="s">
        <v>1157</v>
      </c>
      <c r="B1159" t="s">
        <v>2644</v>
      </c>
      <c r="C1159">
        <v>56</v>
      </c>
      <c r="D1159" t="s">
        <v>2992</v>
      </c>
      <c r="E1159" t="s">
        <v>3003</v>
      </c>
      <c r="F1159" t="s">
        <v>3021</v>
      </c>
      <c r="G1159">
        <v>5</v>
      </c>
      <c r="H1159">
        <v>370237</v>
      </c>
      <c r="I1159">
        <v>555352</v>
      </c>
      <c r="J1159">
        <v>10.11</v>
      </c>
      <c r="K1159">
        <v>60</v>
      </c>
      <c r="L1159" t="s">
        <v>3049</v>
      </c>
      <c r="M1159">
        <v>538</v>
      </c>
      <c r="N1159">
        <v>1</v>
      </c>
      <c r="O1159" t="s">
        <v>3056</v>
      </c>
      <c r="P1159" t="s">
        <v>3914</v>
      </c>
      <c r="Q1159">
        <v>1.5</v>
      </c>
    </row>
    <row r="1160" spans="1:17" x14ac:dyDescent="0.35">
      <c r="A1160" t="s">
        <v>1158</v>
      </c>
      <c r="B1160" t="s">
        <v>2645</v>
      </c>
      <c r="C1160">
        <v>60</v>
      </c>
      <c r="D1160" t="s">
        <v>2990</v>
      </c>
      <c r="E1160" t="s">
        <v>3006</v>
      </c>
      <c r="F1160" t="s">
        <v>3021</v>
      </c>
      <c r="G1160">
        <v>22</v>
      </c>
      <c r="H1160">
        <v>1273609</v>
      </c>
      <c r="I1160">
        <v>480115</v>
      </c>
      <c r="J1160">
        <v>16.88</v>
      </c>
      <c r="K1160">
        <v>60</v>
      </c>
      <c r="L1160" t="s">
        <v>3047</v>
      </c>
      <c r="M1160">
        <v>353</v>
      </c>
      <c r="N1160">
        <v>0</v>
      </c>
      <c r="O1160" t="s">
        <v>3055</v>
      </c>
      <c r="P1160" t="s">
        <v>3348</v>
      </c>
      <c r="Q1160">
        <v>0.377</v>
      </c>
    </row>
    <row r="1161" spans="1:17" x14ac:dyDescent="0.35">
      <c r="A1161" t="s">
        <v>1159</v>
      </c>
      <c r="B1161" t="s">
        <v>2646</v>
      </c>
      <c r="C1161">
        <v>27</v>
      </c>
      <c r="E1161" t="s">
        <v>3006</v>
      </c>
      <c r="F1161" t="s">
        <v>3018</v>
      </c>
      <c r="G1161">
        <v>27</v>
      </c>
      <c r="H1161">
        <v>2223037</v>
      </c>
      <c r="I1161">
        <v>82021</v>
      </c>
      <c r="J1161">
        <v>11.54</v>
      </c>
      <c r="K1161">
        <v>36</v>
      </c>
      <c r="L1161" t="s">
        <v>3046</v>
      </c>
      <c r="M1161">
        <v>431</v>
      </c>
      <c r="N1161">
        <v>0</v>
      </c>
      <c r="O1161" t="s">
        <v>3055</v>
      </c>
      <c r="P1161" t="s">
        <v>3915</v>
      </c>
      <c r="Q1161">
        <v>3.6900000000000002E-2</v>
      </c>
    </row>
    <row r="1162" spans="1:17" x14ac:dyDescent="0.35">
      <c r="A1162" t="s">
        <v>1160</v>
      </c>
      <c r="B1162" t="s">
        <v>2647</v>
      </c>
      <c r="C1162">
        <v>37</v>
      </c>
      <c r="D1162" t="s">
        <v>2992</v>
      </c>
      <c r="E1162" t="s">
        <v>3007</v>
      </c>
      <c r="F1162" t="s">
        <v>3020</v>
      </c>
      <c r="G1162">
        <v>29</v>
      </c>
      <c r="H1162">
        <v>404605</v>
      </c>
      <c r="I1162">
        <v>558314</v>
      </c>
      <c r="J1162">
        <v>21.92</v>
      </c>
      <c r="K1162">
        <v>60</v>
      </c>
      <c r="L1162" t="s">
        <v>3051</v>
      </c>
      <c r="M1162">
        <v>626</v>
      </c>
      <c r="N1162">
        <v>5</v>
      </c>
      <c r="O1162" t="s">
        <v>3052</v>
      </c>
      <c r="P1162" t="s">
        <v>3449</v>
      </c>
      <c r="Q1162">
        <v>1.3798999999999999</v>
      </c>
    </row>
    <row r="1163" spans="1:17" x14ac:dyDescent="0.35">
      <c r="A1163" t="s">
        <v>1161</v>
      </c>
      <c r="B1163" t="s">
        <v>2648</v>
      </c>
      <c r="C1163">
        <v>57</v>
      </c>
      <c r="D1163" t="s">
        <v>2990</v>
      </c>
      <c r="E1163" t="s">
        <v>3005</v>
      </c>
      <c r="F1163" t="s">
        <v>3020</v>
      </c>
      <c r="G1163">
        <v>5</v>
      </c>
      <c r="H1163">
        <v>-625377</v>
      </c>
      <c r="I1163">
        <v>709870</v>
      </c>
      <c r="J1163">
        <v>16.8</v>
      </c>
      <c r="K1163">
        <v>60</v>
      </c>
      <c r="L1163" t="s">
        <v>3050</v>
      </c>
      <c r="M1163">
        <v>554</v>
      </c>
      <c r="N1163">
        <v>4</v>
      </c>
      <c r="O1163" t="s">
        <v>3056</v>
      </c>
      <c r="P1163" t="s">
        <v>3916</v>
      </c>
      <c r="Q1163">
        <v>1.1351</v>
      </c>
    </row>
    <row r="1164" spans="1:17" x14ac:dyDescent="0.35">
      <c r="A1164" t="s">
        <v>1162</v>
      </c>
      <c r="B1164" t="s">
        <v>2649</v>
      </c>
      <c r="C1164">
        <v>34</v>
      </c>
      <c r="D1164" t="s">
        <v>2990</v>
      </c>
      <c r="E1164" t="s">
        <v>3000</v>
      </c>
      <c r="F1164" t="s">
        <v>3019</v>
      </c>
      <c r="G1164">
        <v>7</v>
      </c>
      <c r="H1164">
        <v>1416530</v>
      </c>
      <c r="I1164">
        <v>51085</v>
      </c>
      <c r="J1164">
        <v>22.3</v>
      </c>
      <c r="K1164">
        <v>60</v>
      </c>
      <c r="L1164" t="s">
        <v>3050</v>
      </c>
      <c r="M1164">
        <v>844</v>
      </c>
      <c r="N1164">
        <v>5</v>
      </c>
      <c r="O1164" t="s">
        <v>3056</v>
      </c>
      <c r="P1164" t="s">
        <v>3126</v>
      </c>
      <c r="Q1164">
        <v>3.61E-2</v>
      </c>
    </row>
    <row r="1165" spans="1:17" x14ac:dyDescent="0.35">
      <c r="A1165" t="s">
        <v>1163</v>
      </c>
      <c r="B1165" t="s">
        <v>2650</v>
      </c>
      <c r="C1165">
        <v>45</v>
      </c>
      <c r="D1165" t="s">
        <v>2992</v>
      </c>
      <c r="E1165" t="s">
        <v>2998</v>
      </c>
      <c r="F1165" t="s">
        <v>3018</v>
      </c>
      <c r="G1165">
        <v>22</v>
      </c>
      <c r="H1165">
        <v>585804</v>
      </c>
      <c r="I1165">
        <v>722922</v>
      </c>
      <c r="J1165">
        <v>11.36</v>
      </c>
      <c r="K1165">
        <v>48</v>
      </c>
      <c r="L1165" t="s">
        <v>3050</v>
      </c>
      <c r="M1165">
        <v>596</v>
      </c>
      <c r="N1165">
        <v>7</v>
      </c>
      <c r="O1165" t="s">
        <v>3055</v>
      </c>
      <c r="P1165" t="s">
        <v>3917</v>
      </c>
      <c r="Q1165">
        <v>1.2341</v>
      </c>
    </row>
    <row r="1166" spans="1:17" x14ac:dyDescent="0.35">
      <c r="A1166" t="s">
        <v>1164</v>
      </c>
      <c r="B1166" t="s">
        <v>2651</v>
      </c>
      <c r="C1166">
        <v>38</v>
      </c>
      <c r="D1166" t="s">
        <v>2990</v>
      </c>
      <c r="E1166" t="s">
        <v>3006</v>
      </c>
      <c r="F1166" t="s">
        <v>3018</v>
      </c>
      <c r="G1166">
        <v>25</v>
      </c>
      <c r="H1166">
        <v>1863541</v>
      </c>
      <c r="I1166">
        <v>75745</v>
      </c>
      <c r="J1166">
        <v>14.14</v>
      </c>
      <c r="K1166">
        <v>48</v>
      </c>
      <c r="L1166" t="s">
        <v>3050</v>
      </c>
      <c r="M1166">
        <v>676</v>
      </c>
      <c r="N1166">
        <v>2</v>
      </c>
      <c r="O1166" t="s">
        <v>3056</v>
      </c>
      <c r="P1166" t="s">
        <v>3918</v>
      </c>
      <c r="Q1166">
        <v>4.0599999999999997E-2</v>
      </c>
    </row>
    <row r="1167" spans="1:17" x14ac:dyDescent="0.35">
      <c r="A1167" t="s">
        <v>1165</v>
      </c>
      <c r="B1167" t="s">
        <v>2652</v>
      </c>
      <c r="C1167">
        <v>40</v>
      </c>
      <c r="D1167" t="s">
        <v>2992</v>
      </c>
      <c r="E1167" t="s">
        <v>2998</v>
      </c>
      <c r="F1167" t="s">
        <v>3021</v>
      </c>
      <c r="G1167">
        <v>9</v>
      </c>
      <c r="H1167">
        <v>1397060</v>
      </c>
      <c r="I1167">
        <v>546492</v>
      </c>
      <c r="J1167">
        <v>12.18</v>
      </c>
      <c r="K1167">
        <v>60</v>
      </c>
      <c r="M1167">
        <v>619</v>
      </c>
      <c r="N1167">
        <v>6</v>
      </c>
      <c r="O1167" t="s">
        <v>3053</v>
      </c>
      <c r="P1167" t="s">
        <v>3315</v>
      </c>
      <c r="Q1167">
        <v>0.39119999999999999</v>
      </c>
    </row>
    <row r="1168" spans="1:17" x14ac:dyDescent="0.35">
      <c r="A1168" t="s">
        <v>1166</v>
      </c>
      <c r="B1168" t="s">
        <v>2653</v>
      </c>
      <c r="C1168">
        <v>43</v>
      </c>
      <c r="D1168" t="s">
        <v>2990</v>
      </c>
      <c r="E1168" t="s">
        <v>3005</v>
      </c>
      <c r="F1168" t="s">
        <v>3021</v>
      </c>
      <c r="G1168">
        <v>28</v>
      </c>
      <c r="H1168">
        <v>1794737</v>
      </c>
      <c r="I1168">
        <v>443966</v>
      </c>
      <c r="J1168">
        <v>11.66</v>
      </c>
      <c r="K1168">
        <v>60</v>
      </c>
      <c r="L1168" t="s">
        <v>3048</v>
      </c>
      <c r="M1168">
        <v>426</v>
      </c>
      <c r="N1168">
        <v>6</v>
      </c>
      <c r="O1168" t="s">
        <v>3052</v>
      </c>
      <c r="P1168" t="s">
        <v>3488</v>
      </c>
      <c r="Q1168">
        <v>0.24740000000000001</v>
      </c>
    </row>
    <row r="1169" spans="1:17" x14ac:dyDescent="0.35">
      <c r="A1169" t="s">
        <v>1167</v>
      </c>
      <c r="B1169" t="s">
        <v>2036</v>
      </c>
      <c r="C1169">
        <v>54</v>
      </c>
      <c r="D1169" t="s">
        <v>2992</v>
      </c>
      <c r="E1169" t="s">
        <v>3004</v>
      </c>
      <c r="F1169" t="s">
        <v>3019</v>
      </c>
      <c r="G1169">
        <v>17</v>
      </c>
      <c r="H1169">
        <v>1732226</v>
      </c>
      <c r="I1169">
        <v>696999</v>
      </c>
      <c r="J1169">
        <v>23.7</v>
      </c>
      <c r="K1169">
        <v>12</v>
      </c>
      <c r="L1169" t="s">
        <v>3046</v>
      </c>
      <c r="M1169">
        <v>529</v>
      </c>
      <c r="N1169">
        <v>6</v>
      </c>
      <c r="O1169" t="s">
        <v>3053</v>
      </c>
      <c r="P1169" t="s">
        <v>3919</v>
      </c>
      <c r="Q1169">
        <v>0.40239999999999998</v>
      </c>
    </row>
    <row r="1170" spans="1:17" x14ac:dyDescent="0.35">
      <c r="A1170" t="s">
        <v>1168</v>
      </c>
      <c r="B1170" t="s">
        <v>2654</v>
      </c>
      <c r="C1170">
        <v>23</v>
      </c>
      <c r="D1170" t="s">
        <v>2990</v>
      </c>
      <c r="E1170" t="s">
        <v>3001</v>
      </c>
      <c r="F1170" t="s">
        <v>3020</v>
      </c>
      <c r="G1170">
        <v>2</v>
      </c>
      <c r="H1170">
        <v>748302</v>
      </c>
      <c r="I1170">
        <v>136545</v>
      </c>
      <c r="J1170">
        <v>25.62</v>
      </c>
      <c r="K1170">
        <v>60</v>
      </c>
      <c r="L1170" t="s">
        <v>3051</v>
      </c>
      <c r="M1170">
        <v>811</v>
      </c>
      <c r="N1170">
        <v>7</v>
      </c>
      <c r="O1170" t="s">
        <v>3054</v>
      </c>
      <c r="P1170" t="s">
        <v>3178</v>
      </c>
      <c r="Q1170">
        <v>0.1825</v>
      </c>
    </row>
    <row r="1171" spans="1:17" x14ac:dyDescent="0.35">
      <c r="A1171" t="s">
        <v>1169</v>
      </c>
      <c r="B1171" t="s">
        <v>2655</v>
      </c>
      <c r="C1171">
        <v>53</v>
      </c>
      <c r="D1171" t="s">
        <v>2990</v>
      </c>
      <c r="E1171" t="s">
        <v>3001</v>
      </c>
      <c r="F1171" t="s">
        <v>3019</v>
      </c>
      <c r="G1171">
        <v>12</v>
      </c>
      <c r="H1171">
        <v>1214586</v>
      </c>
      <c r="I1171">
        <v>195607</v>
      </c>
      <c r="J1171">
        <v>10.45</v>
      </c>
      <c r="K1171">
        <v>24</v>
      </c>
      <c r="L1171" t="s">
        <v>3048</v>
      </c>
      <c r="N1171">
        <v>3</v>
      </c>
      <c r="O1171" t="s">
        <v>3057</v>
      </c>
      <c r="P1171" t="s">
        <v>3920</v>
      </c>
      <c r="Q1171">
        <v>0.161</v>
      </c>
    </row>
    <row r="1172" spans="1:17" x14ac:dyDescent="0.35">
      <c r="A1172" t="s">
        <v>1170</v>
      </c>
      <c r="B1172" t="s">
        <v>2656</v>
      </c>
      <c r="C1172">
        <v>30</v>
      </c>
      <c r="D1172" t="s">
        <v>2990</v>
      </c>
      <c r="E1172" t="s">
        <v>2998</v>
      </c>
      <c r="F1172" t="s">
        <v>3019</v>
      </c>
      <c r="G1172">
        <v>25</v>
      </c>
      <c r="I1172">
        <v>504146</v>
      </c>
      <c r="J1172">
        <v>16.760000000000002</v>
      </c>
      <c r="K1172">
        <v>36</v>
      </c>
      <c r="L1172" t="s">
        <v>3051</v>
      </c>
      <c r="M1172">
        <v>352</v>
      </c>
      <c r="N1172">
        <v>4</v>
      </c>
      <c r="O1172" t="s">
        <v>3057</v>
      </c>
      <c r="P1172" t="s">
        <v>3374</v>
      </c>
      <c r="Q1172">
        <v>0.2366</v>
      </c>
    </row>
    <row r="1173" spans="1:17" x14ac:dyDescent="0.35">
      <c r="A1173" t="s">
        <v>1171</v>
      </c>
      <c r="B1173" t="s">
        <v>2657</v>
      </c>
      <c r="C1173">
        <v>45</v>
      </c>
      <c r="D1173" t="s">
        <v>2992</v>
      </c>
      <c r="E1173" t="s">
        <v>2998</v>
      </c>
      <c r="F1173" t="s">
        <v>3018</v>
      </c>
      <c r="G1173">
        <v>29</v>
      </c>
      <c r="H1173">
        <v>574423</v>
      </c>
      <c r="I1173">
        <v>226903</v>
      </c>
      <c r="J1173">
        <v>17.47</v>
      </c>
      <c r="K1173">
        <v>36</v>
      </c>
      <c r="L1173" t="s">
        <v>3048</v>
      </c>
      <c r="M1173">
        <v>844</v>
      </c>
      <c r="N1173">
        <v>2</v>
      </c>
      <c r="O1173" t="s">
        <v>3052</v>
      </c>
      <c r="P1173" t="s">
        <v>3921</v>
      </c>
      <c r="Q1173">
        <v>0.39500000000000002</v>
      </c>
    </row>
    <row r="1174" spans="1:17" x14ac:dyDescent="0.35">
      <c r="A1174" t="s">
        <v>1172</v>
      </c>
      <c r="B1174" t="s">
        <v>2658</v>
      </c>
      <c r="C1174">
        <v>49</v>
      </c>
      <c r="D1174" t="s">
        <v>2992</v>
      </c>
      <c r="E1174" t="s">
        <v>3004</v>
      </c>
      <c r="F1174" t="s">
        <v>3018</v>
      </c>
      <c r="G1174">
        <v>17</v>
      </c>
      <c r="H1174">
        <v>1201469</v>
      </c>
      <c r="I1174">
        <v>645210</v>
      </c>
      <c r="J1174">
        <v>27.91</v>
      </c>
      <c r="K1174">
        <v>36</v>
      </c>
      <c r="L1174" t="s">
        <v>3046</v>
      </c>
      <c r="M1174">
        <v>373</v>
      </c>
      <c r="N1174">
        <v>3</v>
      </c>
      <c r="O1174" t="s">
        <v>3054</v>
      </c>
      <c r="P1174" t="s">
        <v>3140</v>
      </c>
      <c r="Q1174">
        <v>0.53700000000000003</v>
      </c>
    </row>
    <row r="1175" spans="1:17" x14ac:dyDescent="0.35">
      <c r="A1175" t="s">
        <v>1173</v>
      </c>
      <c r="B1175" t="s">
        <v>2659</v>
      </c>
      <c r="C1175">
        <v>50</v>
      </c>
      <c r="D1175" t="s">
        <v>2992</v>
      </c>
      <c r="E1175" t="s">
        <v>3005</v>
      </c>
      <c r="G1175">
        <v>25</v>
      </c>
      <c r="I1175">
        <v>715532</v>
      </c>
      <c r="J1175">
        <v>8.7100000000000009</v>
      </c>
      <c r="K1175">
        <v>36</v>
      </c>
      <c r="L1175" t="s">
        <v>3046</v>
      </c>
      <c r="M1175">
        <v>846</v>
      </c>
      <c r="N1175">
        <v>3</v>
      </c>
      <c r="O1175" t="s">
        <v>3054</v>
      </c>
      <c r="P1175" t="s">
        <v>3706</v>
      </c>
      <c r="Q1175">
        <v>2.7823000000000002</v>
      </c>
    </row>
    <row r="1176" spans="1:17" x14ac:dyDescent="0.35">
      <c r="A1176" t="s">
        <v>1174</v>
      </c>
      <c r="B1176" t="s">
        <v>2660</v>
      </c>
      <c r="C1176">
        <v>23</v>
      </c>
      <c r="D1176" t="s">
        <v>2992</v>
      </c>
      <c r="E1176" t="s">
        <v>3006</v>
      </c>
      <c r="F1176" t="s">
        <v>3018</v>
      </c>
      <c r="G1176">
        <v>11</v>
      </c>
      <c r="H1176">
        <v>1980072</v>
      </c>
      <c r="I1176">
        <v>437247</v>
      </c>
      <c r="J1176">
        <v>14.16</v>
      </c>
      <c r="K1176">
        <v>24</v>
      </c>
      <c r="L1176" t="s">
        <v>3047</v>
      </c>
      <c r="M1176">
        <v>761</v>
      </c>
      <c r="N1176">
        <v>4</v>
      </c>
      <c r="O1176" t="s">
        <v>3053</v>
      </c>
      <c r="P1176" t="s">
        <v>3418</v>
      </c>
      <c r="Q1176">
        <v>0.2208</v>
      </c>
    </row>
    <row r="1177" spans="1:17" x14ac:dyDescent="0.35">
      <c r="A1177" t="s">
        <v>1175</v>
      </c>
      <c r="B1177" t="s">
        <v>2661</v>
      </c>
      <c r="C1177">
        <v>61</v>
      </c>
      <c r="D1177" t="s">
        <v>2991</v>
      </c>
      <c r="E1177" t="s">
        <v>3006</v>
      </c>
      <c r="F1177" t="s">
        <v>3018</v>
      </c>
      <c r="G1177">
        <v>13</v>
      </c>
      <c r="H1177">
        <v>1030350</v>
      </c>
      <c r="I1177">
        <v>739778</v>
      </c>
      <c r="J1177">
        <v>22.98</v>
      </c>
      <c r="K1177">
        <v>36</v>
      </c>
      <c r="L1177" t="s">
        <v>3047</v>
      </c>
      <c r="M1177">
        <v>336</v>
      </c>
      <c r="N1177">
        <v>5</v>
      </c>
      <c r="O1177" t="s">
        <v>3054</v>
      </c>
      <c r="P1177" t="s">
        <v>3922</v>
      </c>
      <c r="Q1177">
        <v>0.71799999999999997</v>
      </c>
    </row>
    <row r="1178" spans="1:17" x14ac:dyDescent="0.35">
      <c r="A1178" t="s">
        <v>1088</v>
      </c>
      <c r="B1178" t="s">
        <v>2575</v>
      </c>
      <c r="C1178">
        <v>50</v>
      </c>
      <c r="D1178" t="s">
        <v>2992</v>
      </c>
      <c r="E1178" t="s">
        <v>2999</v>
      </c>
      <c r="F1178" t="s">
        <v>3019</v>
      </c>
      <c r="G1178">
        <v>11</v>
      </c>
      <c r="H1178">
        <v>1282127</v>
      </c>
      <c r="I1178">
        <v>418172</v>
      </c>
      <c r="J1178">
        <v>16.84</v>
      </c>
      <c r="K1178">
        <v>48</v>
      </c>
      <c r="L1178" t="s">
        <v>3051</v>
      </c>
      <c r="M1178">
        <v>437</v>
      </c>
      <c r="N1178">
        <v>7</v>
      </c>
      <c r="O1178" t="s">
        <v>3057</v>
      </c>
      <c r="P1178" t="s">
        <v>3666</v>
      </c>
      <c r="Q1178">
        <v>0.32619999999999999</v>
      </c>
    </row>
    <row r="1179" spans="1:17" x14ac:dyDescent="0.35">
      <c r="A1179" t="s">
        <v>1176</v>
      </c>
      <c r="B1179" t="s">
        <v>2662</v>
      </c>
      <c r="C1179">
        <v>53</v>
      </c>
      <c r="D1179" t="s">
        <v>2992</v>
      </c>
      <c r="E1179" t="s">
        <v>2999</v>
      </c>
      <c r="F1179" t="s">
        <v>3021</v>
      </c>
      <c r="G1179">
        <v>18</v>
      </c>
      <c r="H1179">
        <v>1189612</v>
      </c>
      <c r="I1179">
        <v>772462</v>
      </c>
      <c r="J1179">
        <v>12.41</v>
      </c>
      <c r="K1179">
        <v>48</v>
      </c>
      <c r="L1179" t="s">
        <v>3046</v>
      </c>
      <c r="M1179">
        <v>736</v>
      </c>
      <c r="N1179">
        <v>2</v>
      </c>
      <c r="O1179" t="s">
        <v>3055</v>
      </c>
      <c r="P1179" t="s">
        <v>3923</v>
      </c>
      <c r="Q1179">
        <v>0.64929999999999999</v>
      </c>
    </row>
    <row r="1180" spans="1:17" x14ac:dyDescent="0.35">
      <c r="A1180" t="s">
        <v>1177</v>
      </c>
      <c r="B1180" t="s">
        <v>2663</v>
      </c>
      <c r="C1180">
        <v>35</v>
      </c>
      <c r="D1180" t="s">
        <v>2992</v>
      </c>
      <c r="E1180" t="s">
        <v>3004</v>
      </c>
      <c r="F1180" t="s">
        <v>3019</v>
      </c>
      <c r="G1180">
        <v>21</v>
      </c>
      <c r="H1180">
        <v>1140612</v>
      </c>
      <c r="I1180">
        <v>409959</v>
      </c>
      <c r="J1180">
        <v>22.03</v>
      </c>
      <c r="K1180">
        <v>48</v>
      </c>
      <c r="L1180" t="s">
        <v>3050</v>
      </c>
      <c r="M1180">
        <v>715</v>
      </c>
      <c r="N1180">
        <v>3</v>
      </c>
      <c r="O1180" t="s">
        <v>3054</v>
      </c>
      <c r="P1180" t="s">
        <v>3924</v>
      </c>
      <c r="Q1180">
        <v>0.3594</v>
      </c>
    </row>
    <row r="1181" spans="1:17" x14ac:dyDescent="0.35">
      <c r="A1181" t="s">
        <v>1178</v>
      </c>
      <c r="B1181" t="s">
        <v>2664</v>
      </c>
      <c r="C1181">
        <v>32</v>
      </c>
      <c r="D1181" t="s">
        <v>2992</v>
      </c>
      <c r="E1181" t="s">
        <v>3005</v>
      </c>
      <c r="F1181" t="s">
        <v>3018</v>
      </c>
      <c r="G1181">
        <v>3</v>
      </c>
      <c r="H1181">
        <v>1046964</v>
      </c>
      <c r="I1181">
        <v>165342</v>
      </c>
      <c r="J1181">
        <v>27.58</v>
      </c>
      <c r="K1181">
        <v>48</v>
      </c>
      <c r="L1181" t="s">
        <v>3051</v>
      </c>
      <c r="M1181">
        <v>466</v>
      </c>
      <c r="N1181">
        <v>3</v>
      </c>
      <c r="O1181" t="s">
        <v>3052</v>
      </c>
      <c r="P1181" t="s">
        <v>3169</v>
      </c>
      <c r="Q1181">
        <v>0.15790000000000001</v>
      </c>
    </row>
    <row r="1182" spans="1:17" x14ac:dyDescent="0.35">
      <c r="A1182" t="s">
        <v>1179</v>
      </c>
      <c r="B1182" t="s">
        <v>2665</v>
      </c>
      <c r="C1182">
        <v>59</v>
      </c>
      <c r="D1182" t="s">
        <v>2990</v>
      </c>
      <c r="E1182" t="s">
        <v>3002</v>
      </c>
      <c r="F1182" t="s">
        <v>3018</v>
      </c>
      <c r="G1182">
        <v>7</v>
      </c>
      <c r="H1182">
        <v>2315219</v>
      </c>
      <c r="I1182">
        <v>105774</v>
      </c>
      <c r="J1182">
        <v>13.09</v>
      </c>
      <c r="K1182">
        <v>48</v>
      </c>
      <c r="L1182" t="s">
        <v>3050</v>
      </c>
      <c r="M1182">
        <v>795</v>
      </c>
      <c r="N1182">
        <v>2</v>
      </c>
      <c r="O1182" t="s">
        <v>3056</v>
      </c>
      <c r="P1182" t="s">
        <v>3924</v>
      </c>
      <c r="Q1182">
        <v>4.5699999999999998E-2</v>
      </c>
    </row>
    <row r="1183" spans="1:17" x14ac:dyDescent="0.35">
      <c r="A1183" t="s">
        <v>1180</v>
      </c>
      <c r="B1183" t="s">
        <v>2666</v>
      </c>
      <c r="C1183">
        <v>40</v>
      </c>
      <c r="D1183" t="s">
        <v>2990</v>
      </c>
      <c r="E1183" t="s">
        <v>2998</v>
      </c>
      <c r="F1183" t="s">
        <v>3021</v>
      </c>
      <c r="G1183">
        <v>12</v>
      </c>
      <c r="H1183">
        <v>1411534</v>
      </c>
      <c r="I1183">
        <v>215877</v>
      </c>
      <c r="J1183">
        <v>23.05</v>
      </c>
      <c r="K1183">
        <v>60</v>
      </c>
      <c r="L1183" t="s">
        <v>3046</v>
      </c>
      <c r="M1183">
        <v>309</v>
      </c>
      <c r="N1183">
        <v>5</v>
      </c>
      <c r="O1183" t="s">
        <v>3057</v>
      </c>
      <c r="P1183" t="s">
        <v>3925</v>
      </c>
      <c r="Q1183">
        <v>0.15290000000000001</v>
      </c>
    </row>
    <row r="1184" spans="1:17" x14ac:dyDescent="0.35">
      <c r="A1184" t="s">
        <v>1181</v>
      </c>
      <c r="B1184" t="s">
        <v>2667</v>
      </c>
      <c r="C1184">
        <v>63</v>
      </c>
      <c r="D1184" t="s">
        <v>2992</v>
      </c>
      <c r="E1184" t="s">
        <v>3001</v>
      </c>
      <c r="F1184" t="s">
        <v>3018</v>
      </c>
      <c r="G1184">
        <v>20</v>
      </c>
      <c r="I1184">
        <v>666047</v>
      </c>
      <c r="J1184">
        <v>11.69</v>
      </c>
      <c r="K1184">
        <v>36</v>
      </c>
      <c r="L1184" t="s">
        <v>3050</v>
      </c>
      <c r="M1184">
        <v>382</v>
      </c>
      <c r="N1184">
        <v>1</v>
      </c>
      <c r="O1184" t="s">
        <v>3058</v>
      </c>
      <c r="P1184" t="s">
        <v>3926</v>
      </c>
      <c r="Q1184">
        <v>0.27779999999999999</v>
      </c>
    </row>
    <row r="1185" spans="1:17" x14ac:dyDescent="0.35">
      <c r="A1185" t="s">
        <v>1182</v>
      </c>
      <c r="B1185" t="s">
        <v>2668</v>
      </c>
      <c r="C1185">
        <v>54</v>
      </c>
      <c r="D1185" t="s">
        <v>2990</v>
      </c>
      <c r="E1185" t="s">
        <v>3003</v>
      </c>
      <c r="F1185" t="s">
        <v>3020</v>
      </c>
      <c r="G1185">
        <v>10</v>
      </c>
      <c r="H1185">
        <v>1110370</v>
      </c>
      <c r="I1185">
        <v>617904</v>
      </c>
      <c r="J1185">
        <v>21.17</v>
      </c>
      <c r="K1185">
        <v>36</v>
      </c>
      <c r="L1185" t="s">
        <v>3049</v>
      </c>
      <c r="M1185">
        <v>770</v>
      </c>
      <c r="N1185">
        <v>2</v>
      </c>
      <c r="O1185" t="s">
        <v>3053</v>
      </c>
      <c r="P1185" t="s">
        <v>3927</v>
      </c>
      <c r="Q1185">
        <v>0.55649999999999999</v>
      </c>
    </row>
    <row r="1186" spans="1:17" x14ac:dyDescent="0.35">
      <c r="A1186" t="s">
        <v>1183</v>
      </c>
      <c r="B1186" t="s">
        <v>2669</v>
      </c>
      <c r="C1186">
        <v>34</v>
      </c>
      <c r="D1186" t="s">
        <v>2992</v>
      </c>
      <c r="E1186" t="s">
        <v>2998</v>
      </c>
      <c r="F1186" t="s">
        <v>3018</v>
      </c>
      <c r="G1186">
        <v>4</v>
      </c>
      <c r="H1186">
        <v>935111</v>
      </c>
      <c r="I1186">
        <v>256094</v>
      </c>
      <c r="J1186">
        <v>15.54</v>
      </c>
      <c r="K1186">
        <v>12</v>
      </c>
      <c r="L1186" t="s">
        <v>3051</v>
      </c>
      <c r="M1186">
        <v>346</v>
      </c>
      <c r="N1186">
        <v>1</v>
      </c>
      <c r="O1186" t="s">
        <v>3056</v>
      </c>
      <c r="P1186" t="s">
        <v>3410</v>
      </c>
      <c r="Q1186">
        <v>0.27389999999999998</v>
      </c>
    </row>
    <row r="1187" spans="1:17" x14ac:dyDescent="0.35">
      <c r="A1187" t="s">
        <v>1184</v>
      </c>
      <c r="B1187" t="s">
        <v>2670</v>
      </c>
      <c r="C1187">
        <v>22</v>
      </c>
      <c r="D1187" t="s">
        <v>2990</v>
      </c>
      <c r="E1187" t="s">
        <v>3002</v>
      </c>
      <c r="F1187" t="s">
        <v>3019</v>
      </c>
      <c r="G1187">
        <v>10</v>
      </c>
      <c r="H1187">
        <v>260257</v>
      </c>
      <c r="I1187">
        <v>595228</v>
      </c>
      <c r="J1187">
        <v>25.17</v>
      </c>
      <c r="K1187">
        <v>24</v>
      </c>
      <c r="L1187" t="s">
        <v>3050</v>
      </c>
      <c r="M1187">
        <v>803</v>
      </c>
      <c r="N1187">
        <v>2</v>
      </c>
      <c r="O1187" t="s">
        <v>3054</v>
      </c>
      <c r="P1187" t="s">
        <v>3928</v>
      </c>
      <c r="Q1187">
        <v>2.2871000000000001</v>
      </c>
    </row>
    <row r="1188" spans="1:17" x14ac:dyDescent="0.35">
      <c r="A1188" t="s">
        <v>1185</v>
      </c>
      <c r="B1188" t="s">
        <v>2671</v>
      </c>
      <c r="C1188">
        <v>55</v>
      </c>
      <c r="D1188" t="s">
        <v>2992</v>
      </c>
      <c r="E1188" t="s">
        <v>3005</v>
      </c>
      <c r="F1188" t="s">
        <v>3021</v>
      </c>
      <c r="G1188">
        <v>15</v>
      </c>
      <c r="H1188">
        <v>1983847</v>
      </c>
      <c r="I1188">
        <v>131715</v>
      </c>
      <c r="J1188">
        <v>9.58</v>
      </c>
      <c r="K1188">
        <v>24</v>
      </c>
      <c r="L1188" t="s">
        <v>3051</v>
      </c>
      <c r="M1188">
        <v>670</v>
      </c>
      <c r="N1188">
        <v>0</v>
      </c>
      <c r="O1188" t="s">
        <v>3056</v>
      </c>
      <c r="P1188" t="s">
        <v>3397</v>
      </c>
      <c r="Q1188">
        <v>6.6400000000000001E-2</v>
      </c>
    </row>
    <row r="1189" spans="1:17" x14ac:dyDescent="0.35">
      <c r="A1189" t="s">
        <v>1186</v>
      </c>
      <c r="B1189" t="s">
        <v>2672</v>
      </c>
      <c r="C1189">
        <v>28</v>
      </c>
      <c r="D1189" t="s">
        <v>2992</v>
      </c>
      <c r="E1189" t="s">
        <v>3004</v>
      </c>
      <c r="F1189" t="s">
        <v>3019</v>
      </c>
      <c r="G1189">
        <v>4</v>
      </c>
      <c r="I1189">
        <v>678966</v>
      </c>
      <c r="J1189">
        <v>13.76</v>
      </c>
      <c r="K1189">
        <v>12</v>
      </c>
      <c r="L1189" t="s">
        <v>3049</v>
      </c>
      <c r="M1189">
        <v>762</v>
      </c>
      <c r="N1189">
        <v>1</v>
      </c>
      <c r="O1189" t="s">
        <v>3056</v>
      </c>
      <c r="P1189" t="s">
        <v>3403</v>
      </c>
      <c r="Q1189">
        <v>0.62629999999999997</v>
      </c>
    </row>
    <row r="1190" spans="1:17" x14ac:dyDescent="0.35">
      <c r="A1190" t="s">
        <v>1187</v>
      </c>
      <c r="B1190" t="s">
        <v>2673</v>
      </c>
      <c r="C1190">
        <v>29</v>
      </c>
      <c r="D1190" t="s">
        <v>2990</v>
      </c>
      <c r="E1190" t="s">
        <v>2999</v>
      </c>
      <c r="F1190" t="s">
        <v>3021</v>
      </c>
      <c r="G1190">
        <v>14</v>
      </c>
      <c r="H1190">
        <v>1527098</v>
      </c>
      <c r="I1190">
        <v>113526</v>
      </c>
      <c r="J1190">
        <v>9.01</v>
      </c>
      <c r="K1190">
        <v>60</v>
      </c>
      <c r="L1190" t="s">
        <v>3046</v>
      </c>
      <c r="M1190">
        <v>535</v>
      </c>
      <c r="N1190">
        <v>3</v>
      </c>
      <c r="O1190" t="s">
        <v>3057</v>
      </c>
      <c r="P1190" t="s">
        <v>3257</v>
      </c>
      <c r="Q1190">
        <v>7.4300000000000005E-2</v>
      </c>
    </row>
    <row r="1191" spans="1:17" x14ac:dyDescent="0.35">
      <c r="A1191" t="s">
        <v>1188</v>
      </c>
      <c r="B1191" t="s">
        <v>2674</v>
      </c>
      <c r="C1191">
        <v>57</v>
      </c>
      <c r="D1191" t="s">
        <v>2992</v>
      </c>
      <c r="E1191" t="s">
        <v>3004</v>
      </c>
      <c r="F1191" t="s">
        <v>3020</v>
      </c>
      <c r="G1191">
        <v>10</v>
      </c>
      <c r="H1191">
        <v>2065077</v>
      </c>
      <c r="I1191">
        <v>536835</v>
      </c>
      <c r="J1191">
        <v>24.42</v>
      </c>
      <c r="K1191">
        <v>48</v>
      </c>
      <c r="L1191" t="s">
        <v>3046</v>
      </c>
      <c r="M1191">
        <v>800</v>
      </c>
      <c r="N1191">
        <v>1</v>
      </c>
      <c r="O1191" t="s">
        <v>3055</v>
      </c>
      <c r="P1191" t="s">
        <v>3929</v>
      </c>
      <c r="Q1191">
        <v>0.26</v>
      </c>
    </row>
    <row r="1192" spans="1:17" x14ac:dyDescent="0.35">
      <c r="A1192" t="s">
        <v>1189</v>
      </c>
      <c r="B1192" t="s">
        <v>2675</v>
      </c>
      <c r="C1192">
        <v>35</v>
      </c>
      <c r="D1192" t="s">
        <v>2990</v>
      </c>
      <c r="E1192" t="s">
        <v>2999</v>
      </c>
      <c r="F1192" t="s">
        <v>3020</v>
      </c>
      <c r="G1192">
        <v>22</v>
      </c>
      <c r="H1192">
        <v>1333224</v>
      </c>
      <c r="I1192">
        <v>403071</v>
      </c>
      <c r="J1192">
        <v>15.38</v>
      </c>
      <c r="K1192">
        <v>36</v>
      </c>
      <c r="L1192" t="s">
        <v>3050</v>
      </c>
      <c r="M1192">
        <v>301</v>
      </c>
      <c r="N1192">
        <v>5</v>
      </c>
      <c r="O1192" t="s">
        <v>3055</v>
      </c>
      <c r="P1192" t="s">
        <v>3378</v>
      </c>
      <c r="Q1192">
        <v>0.30230000000000001</v>
      </c>
    </row>
    <row r="1193" spans="1:17" x14ac:dyDescent="0.35">
      <c r="A1193" t="s">
        <v>1190</v>
      </c>
      <c r="B1193" t="s">
        <v>2676</v>
      </c>
      <c r="C1193">
        <v>28</v>
      </c>
      <c r="D1193" t="s">
        <v>2990</v>
      </c>
      <c r="E1193" t="s">
        <v>2998</v>
      </c>
      <c r="F1193" t="s">
        <v>3019</v>
      </c>
      <c r="G1193">
        <v>8</v>
      </c>
      <c r="H1193">
        <v>975600</v>
      </c>
      <c r="I1193">
        <v>394743</v>
      </c>
      <c r="J1193">
        <v>9.36</v>
      </c>
      <c r="K1193">
        <v>36</v>
      </c>
      <c r="L1193" t="s">
        <v>3047</v>
      </c>
      <c r="M1193">
        <v>716</v>
      </c>
      <c r="N1193">
        <v>6</v>
      </c>
      <c r="O1193" t="s">
        <v>3053</v>
      </c>
      <c r="P1193" t="s">
        <v>3930</v>
      </c>
      <c r="Q1193">
        <v>0.40460000000000002</v>
      </c>
    </row>
    <row r="1194" spans="1:17" x14ac:dyDescent="0.35">
      <c r="A1194" t="s">
        <v>1191</v>
      </c>
      <c r="B1194" t="s">
        <v>2677</v>
      </c>
      <c r="C1194">
        <v>56</v>
      </c>
      <c r="D1194" t="s">
        <v>2990</v>
      </c>
      <c r="E1194" t="s">
        <v>2998</v>
      </c>
      <c r="F1194" t="s">
        <v>3020</v>
      </c>
      <c r="G1194">
        <v>14</v>
      </c>
      <c r="H1194">
        <v>726015</v>
      </c>
      <c r="I1194">
        <v>201561</v>
      </c>
      <c r="J1194">
        <v>21.41</v>
      </c>
      <c r="K1194">
        <v>48</v>
      </c>
      <c r="L1194" t="s">
        <v>3047</v>
      </c>
      <c r="M1194">
        <v>619</v>
      </c>
      <c r="N1194">
        <v>3</v>
      </c>
      <c r="O1194" t="s">
        <v>3052</v>
      </c>
      <c r="P1194" t="s">
        <v>3931</v>
      </c>
      <c r="Q1194">
        <v>0.27760000000000001</v>
      </c>
    </row>
    <row r="1195" spans="1:17" x14ac:dyDescent="0.35">
      <c r="A1195" t="s">
        <v>1192</v>
      </c>
      <c r="B1195" t="s">
        <v>2678</v>
      </c>
      <c r="C1195">
        <v>57</v>
      </c>
      <c r="D1195" t="s">
        <v>2990</v>
      </c>
      <c r="E1195" t="s">
        <v>3007</v>
      </c>
      <c r="F1195" t="s">
        <v>3020</v>
      </c>
      <c r="G1195">
        <v>27</v>
      </c>
      <c r="H1195">
        <v>1763214</v>
      </c>
      <c r="I1195">
        <v>578988</v>
      </c>
      <c r="J1195">
        <v>10.38</v>
      </c>
      <c r="K1195">
        <v>24</v>
      </c>
      <c r="L1195" t="s">
        <v>3049</v>
      </c>
      <c r="M1195">
        <v>841</v>
      </c>
      <c r="N1195">
        <v>2</v>
      </c>
      <c r="O1195" t="s">
        <v>3055</v>
      </c>
      <c r="P1195" t="s">
        <v>3908</v>
      </c>
      <c r="Q1195">
        <v>0.32840000000000003</v>
      </c>
    </row>
    <row r="1196" spans="1:17" x14ac:dyDescent="0.35">
      <c r="A1196" t="s">
        <v>1193</v>
      </c>
      <c r="B1196" t="s">
        <v>2679</v>
      </c>
      <c r="C1196">
        <v>64</v>
      </c>
      <c r="D1196" t="s">
        <v>2992</v>
      </c>
      <c r="E1196" t="s">
        <v>3000</v>
      </c>
      <c r="F1196" t="s">
        <v>3019</v>
      </c>
      <c r="G1196">
        <v>22</v>
      </c>
      <c r="H1196">
        <v>1076816</v>
      </c>
      <c r="I1196">
        <v>364126</v>
      </c>
      <c r="J1196">
        <v>16.05</v>
      </c>
      <c r="K1196">
        <v>12</v>
      </c>
      <c r="L1196" t="s">
        <v>3047</v>
      </c>
      <c r="M1196">
        <v>683</v>
      </c>
      <c r="N1196">
        <v>4</v>
      </c>
      <c r="O1196" t="s">
        <v>3056</v>
      </c>
      <c r="P1196" t="s">
        <v>3932</v>
      </c>
      <c r="Q1196">
        <v>0.3382</v>
      </c>
    </row>
    <row r="1197" spans="1:17" x14ac:dyDescent="0.35">
      <c r="A1197" t="s">
        <v>1194</v>
      </c>
      <c r="B1197" t="s">
        <v>2601</v>
      </c>
      <c r="C1197">
        <v>42</v>
      </c>
      <c r="D1197" t="s">
        <v>2992</v>
      </c>
      <c r="E1197" t="s">
        <v>3001</v>
      </c>
      <c r="F1197" t="s">
        <v>3019</v>
      </c>
      <c r="G1197">
        <v>5</v>
      </c>
      <c r="H1197">
        <v>615071</v>
      </c>
      <c r="I1197">
        <v>790050</v>
      </c>
      <c r="J1197">
        <v>20.63</v>
      </c>
      <c r="K1197">
        <v>48</v>
      </c>
      <c r="L1197" t="s">
        <v>3049</v>
      </c>
      <c r="M1197">
        <v>730</v>
      </c>
      <c r="N1197">
        <v>4</v>
      </c>
      <c r="O1197" t="s">
        <v>3052</v>
      </c>
      <c r="P1197" t="s">
        <v>3933</v>
      </c>
      <c r="Q1197">
        <v>1.2845</v>
      </c>
    </row>
    <row r="1198" spans="1:17" x14ac:dyDescent="0.35">
      <c r="A1198" t="s">
        <v>1195</v>
      </c>
      <c r="B1198" t="s">
        <v>2680</v>
      </c>
      <c r="C1198">
        <v>38</v>
      </c>
      <c r="D1198" t="s">
        <v>2992</v>
      </c>
      <c r="E1198" t="s">
        <v>3004</v>
      </c>
      <c r="F1198" t="s">
        <v>3019</v>
      </c>
      <c r="G1198">
        <v>14</v>
      </c>
      <c r="H1198">
        <v>839738</v>
      </c>
      <c r="I1198">
        <v>402865</v>
      </c>
      <c r="J1198">
        <v>18.89</v>
      </c>
      <c r="K1198">
        <v>12</v>
      </c>
      <c r="L1198" t="s">
        <v>3050</v>
      </c>
      <c r="M1198">
        <v>366</v>
      </c>
      <c r="N1198">
        <v>4</v>
      </c>
      <c r="O1198" t="s">
        <v>3057</v>
      </c>
      <c r="P1198" t="s">
        <v>3934</v>
      </c>
      <c r="Q1198">
        <v>0.4798</v>
      </c>
    </row>
    <row r="1199" spans="1:17" x14ac:dyDescent="0.35">
      <c r="A1199" t="s">
        <v>1196</v>
      </c>
      <c r="B1199" t="s">
        <v>2681</v>
      </c>
      <c r="C1199">
        <v>41</v>
      </c>
      <c r="D1199" t="s">
        <v>2992</v>
      </c>
      <c r="E1199" t="s">
        <v>2999</v>
      </c>
      <c r="F1199" t="s">
        <v>3021</v>
      </c>
      <c r="G1199">
        <v>10</v>
      </c>
      <c r="H1199">
        <v>556794</v>
      </c>
      <c r="I1199">
        <v>491869</v>
      </c>
      <c r="J1199">
        <v>24.97</v>
      </c>
      <c r="K1199">
        <v>60</v>
      </c>
      <c r="L1199" t="s">
        <v>3050</v>
      </c>
      <c r="M1199">
        <v>686</v>
      </c>
      <c r="N1199">
        <v>7</v>
      </c>
      <c r="O1199" t="s">
        <v>3052</v>
      </c>
      <c r="P1199" t="s">
        <v>3656</v>
      </c>
      <c r="Q1199">
        <v>0.88339999999999996</v>
      </c>
    </row>
    <row r="1200" spans="1:17" x14ac:dyDescent="0.35">
      <c r="A1200" t="s">
        <v>1197</v>
      </c>
      <c r="B1200" t="s">
        <v>1654</v>
      </c>
      <c r="C1200">
        <v>42</v>
      </c>
      <c r="D1200" t="s">
        <v>2992</v>
      </c>
      <c r="E1200" t="s">
        <v>2999</v>
      </c>
      <c r="F1200" t="s">
        <v>3018</v>
      </c>
      <c r="G1200">
        <v>25</v>
      </c>
      <c r="H1200">
        <v>1060112</v>
      </c>
      <c r="I1200">
        <v>438458</v>
      </c>
      <c r="J1200">
        <v>19</v>
      </c>
      <c r="K1200">
        <v>12</v>
      </c>
      <c r="L1200" t="s">
        <v>3050</v>
      </c>
      <c r="N1200">
        <v>5</v>
      </c>
      <c r="O1200" t="s">
        <v>3054</v>
      </c>
      <c r="P1200" t="s">
        <v>3746</v>
      </c>
      <c r="Q1200">
        <v>0.41360000000000002</v>
      </c>
    </row>
    <row r="1201" spans="1:17" x14ac:dyDescent="0.35">
      <c r="A1201" t="s">
        <v>1198</v>
      </c>
      <c r="B1201" t="s">
        <v>2682</v>
      </c>
      <c r="C1201">
        <v>33</v>
      </c>
      <c r="D1201" t="s">
        <v>2992</v>
      </c>
      <c r="E1201" t="s">
        <v>3000</v>
      </c>
      <c r="F1201" t="s">
        <v>3020</v>
      </c>
      <c r="G1201">
        <v>5</v>
      </c>
      <c r="H1201">
        <v>1437100</v>
      </c>
      <c r="I1201">
        <v>179034</v>
      </c>
      <c r="J1201">
        <v>11.92</v>
      </c>
      <c r="K1201">
        <v>36</v>
      </c>
      <c r="L1201" t="s">
        <v>3050</v>
      </c>
      <c r="M1201">
        <v>453</v>
      </c>
      <c r="N1201">
        <v>3</v>
      </c>
      <c r="O1201" t="s">
        <v>3063</v>
      </c>
      <c r="P1201" t="s">
        <v>3668</v>
      </c>
      <c r="Q1201">
        <v>0.1246</v>
      </c>
    </row>
    <row r="1202" spans="1:17" x14ac:dyDescent="0.35">
      <c r="A1202" t="s">
        <v>1199</v>
      </c>
      <c r="B1202" t="s">
        <v>2683</v>
      </c>
      <c r="C1202">
        <v>58</v>
      </c>
      <c r="D1202" t="s">
        <v>2990</v>
      </c>
      <c r="E1202" t="s">
        <v>3006</v>
      </c>
      <c r="F1202" t="s">
        <v>3021</v>
      </c>
      <c r="G1202">
        <v>11</v>
      </c>
      <c r="H1202">
        <v>190651</v>
      </c>
      <c r="I1202">
        <v>542313</v>
      </c>
      <c r="J1202">
        <v>26.76</v>
      </c>
      <c r="K1202">
        <v>60</v>
      </c>
      <c r="L1202" t="s">
        <v>3051</v>
      </c>
      <c r="M1202">
        <v>796</v>
      </c>
      <c r="N1202">
        <v>6</v>
      </c>
      <c r="O1202" t="s">
        <v>3057</v>
      </c>
      <c r="P1202" t="s">
        <v>3612</v>
      </c>
      <c r="Q1202">
        <v>2.8445</v>
      </c>
    </row>
    <row r="1203" spans="1:17" x14ac:dyDescent="0.35">
      <c r="A1203" t="s">
        <v>1200</v>
      </c>
      <c r="B1203" t="s">
        <v>2684</v>
      </c>
      <c r="C1203">
        <v>44</v>
      </c>
      <c r="D1203" t="s">
        <v>2990</v>
      </c>
      <c r="E1203" t="s">
        <v>3006</v>
      </c>
      <c r="F1203" t="s">
        <v>3018</v>
      </c>
      <c r="G1203">
        <v>0</v>
      </c>
      <c r="H1203">
        <v>825194</v>
      </c>
      <c r="I1203">
        <v>464755</v>
      </c>
      <c r="J1203">
        <v>23.24</v>
      </c>
      <c r="K1203">
        <v>24</v>
      </c>
      <c r="M1203">
        <v>388</v>
      </c>
      <c r="N1203">
        <v>7</v>
      </c>
      <c r="O1203" t="s">
        <v>3056</v>
      </c>
      <c r="P1203" t="s">
        <v>3564</v>
      </c>
      <c r="Q1203">
        <v>0.56320000000000003</v>
      </c>
    </row>
    <row r="1204" spans="1:17" x14ac:dyDescent="0.35">
      <c r="A1204" t="s">
        <v>1201</v>
      </c>
      <c r="B1204" t="s">
        <v>2685</v>
      </c>
      <c r="C1204">
        <v>45</v>
      </c>
      <c r="D1204" t="s">
        <v>2990</v>
      </c>
      <c r="E1204" t="s">
        <v>3003</v>
      </c>
      <c r="F1204" t="s">
        <v>3021</v>
      </c>
      <c r="G1204">
        <v>23</v>
      </c>
      <c r="H1204">
        <v>2162243</v>
      </c>
      <c r="I1204">
        <v>455928</v>
      </c>
      <c r="J1204">
        <v>16.04</v>
      </c>
      <c r="K1204">
        <v>24</v>
      </c>
      <c r="L1204" t="s">
        <v>3051</v>
      </c>
      <c r="M1204">
        <v>565</v>
      </c>
      <c r="N1204">
        <v>4</v>
      </c>
      <c r="O1204" t="s">
        <v>3056</v>
      </c>
      <c r="P1204" t="s">
        <v>3442</v>
      </c>
      <c r="Q1204">
        <v>0.2109</v>
      </c>
    </row>
    <row r="1205" spans="1:17" x14ac:dyDescent="0.35">
      <c r="A1205" t="s">
        <v>1202</v>
      </c>
      <c r="B1205" t="s">
        <v>2686</v>
      </c>
      <c r="C1205">
        <v>27</v>
      </c>
      <c r="D1205" t="s">
        <v>2992</v>
      </c>
      <c r="E1205" t="s">
        <v>2998</v>
      </c>
      <c r="F1205" t="s">
        <v>3020</v>
      </c>
      <c r="G1205">
        <v>15</v>
      </c>
      <c r="H1205">
        <v>469102</v>
      </c>
      <c r="I1205">
        <v>158731</v>
      </c>
      <c r="J1205">
        <v>22.3</v>
      </c>
      <c r="K1205">
        <v>12</v>
      </c>
      <c r="L1205" t="s">
        <v>3050</v>
      </c>
      <c r="M1205">
        <v>334</v>
      </c>
      <c r="N1205">
        <v>2</v>
      </c>
      <c r="O1205" t="s">
        <v>3056</v>
      </c>
      <c r="P1205" t="s">
        <v>3768</v>
      </c>
      <c r="Q1205">
        <v>0.33839999999999998</v>
      </c>
    </row>
    <row r="1206" spans="1:17" x14ac:dyDescent="0.35">
      <c r="A1206" t="s">
        <v>1203</v>
      </c>
      <c r="B1206" t="s">
        <v>2687</v>
      </c>
      <c r="C1206">
        <v>64</v>
      </c>
      <c r="D1206" t="s">
        <v>2990</v>
      </c>
      <c r="E1206" t="s">
        <v>3007</v>
      </c>
      <c r="F1206" t="s">
        <v>3018</v>
      </c>
      <c r="G1206">
        <v>15</v>
      </c>
      <c r="H1206">
        <v>1379151</v>
      </c>
      <c r="I1206">
        <v>764822</v>
      </c>
      <c r="J1206">
        <v>26.6</v>
      </c>
      <c r="K1206">
        <v>60</v>
      </c>
      <c r="L1206" t="s">
        <v>3047</v>
      </c>
      <c r="M1206">
        <v>788</v>
      </c>
      <c r="N1206">
        <v>5</v>
      </c>
      <c r="O1206" t="s">
        <v>3057</v>
      </c>
      <c r="P1206" t="s">
        <v>3076</v>
      </c>
      <c r="Q1206">
        <v>0.55459999999999998</v>
      </c>
    </row>
    <row r="1207" spans="1:17" x14ac:dyDescent="0.35">
      <c r="A1207" t="s">
        <v>1204</v>
      </c>
      <c r="B1207" t="s">
        <v>2688</v>
      </c>
      <c r="C1207">
        <v>37</v>
      </c>
      <c r="D1207" t="s">
        <v>2992</v>
      </c>
      <c r="E1207" t="s">
        <v>3000</v>
      </c>
      <c r="F1207" t="s">
        <v>3020</v>
      </c>
      <c r="G1207">
        <v>11</v>
      </c>
      <c r="H1207">
        <v>1112817</v>
      </c>
      <c r="I1207">
        <v>469763</v>
      </c>
      <c r="J1207">
        <v>9.06</v>
      </c>
      <c r="K1207">
        <v>24</v>
      </c>
      <c r="L1207" t="s">
        <v>3046</v>
      </c>
      <c r="M1207">
        <v>518</v>
      </c>
      <c r="N1207">
        <v>5</v>
      </c>
      <c r="O1207" t="s">
        <v>3053</v>
      </c>
      <c r="P1207" t="s">
        <v>3201</v>
      </c>
      <c r="Q1207">
        <v>0.42209999999999998</v>
      </c>
    </row>
    <row r="1208" spans="1:17" x14ac:dyDescent="0.35">
      <c r="A1208" t="s">
        <v>1205</v>
      </c>
      <c r="B1208" t="s">
        <v>2689</v>
      </c>
      <c r="C1208">
        <v>46</v>
      </c>
      <c r="D1208" t="s">
        <v>2990</v>
      </c>
      <c r="E1208" t="s">
        <v>3000</v>
      </c>
      <c r="F1208" t="s">
        <v>3019</v>
      </c>
      <c r="G1208">
        <v>28</v>
      </c>
      <c r="H1208">
        <v>2360707</v>
      </c>
      <c r="I1208">
        <v>356246</v>
      </c>
      <c r="J1208">
        <v>18.93</v>
      </c>
      <c r="K1208">
        <v>24</v>
      </c>
      <c r="L1208" t="s">
        <v>3047</v>
      </c>
      <c r="M1208">
        <v>517</v>
      </c>
      <c r="N1208">
        <v>6</v>
      </c>
      <c r="O1208" t="s">
        <v>3056</v>
      </c>
      <c r="P1208" t="s">
        <v>3935</v>
      </c>
      <c r="Q1208">
        <v>0.15090000000000001</v>
      </c>
    </row>
    <row r="1209" spans="1:17" x14ac:dyDescent="0.35">
      <c r="A1209" t="s">
        <v>1206</v>
      </c>
      <c r="B1209" t="s">
        <v>2690</v>
      </c>
      <c r="C1209">
        <v>55</v>
      </c>
      <c r="D1209" t="s">
        <v>2992</v>
      </c>
      <c r="E1209" t="s">
        <v>2999</v>
      </c>
      <c r="F1209" t="s">
        <v>3019</v>
      </c>
      <c r="G1209">
        <v>25</v>
      </c>
      <c r="H1209">
        <v>1350439</v>
      </c>
      <c r="I1209">
        <v>217227</v>
      </c>
      <c r="J1209">
        <v>21.19</v>
      </c>
      <c r="K1209">
        <v>36</v>
      </c>
      <c r="L1209" t="s">
        <v>3049</v>
      </c>
      <c r="M1209">
        <v>378</v>
      </c>
      <c r="N1209">
        <v>1</v>
      </c>
      <c r="O1209" t="s">
        <v>3054</v>
      </c>
      <c r="P1209" t="s">
        <v>3655</v>
      </c>
      <c r="Q1209">
        <v>0.16089999999999999</v>
      </c>
    </row>
    <row r="1210" spans="1:17" x14ac:dyDescent="0.35">
      <c r="A1210" t="s">
        <v>1207</v>
      </c>
      <c r="B1210" t="s">
        <v>2691</v>
      </c>
      <c r="C1210">
        <v>42</v>
      </c>
      <c r="D1210" t="s">
        <v>2992</v>
      </c>
      <c r="E1210" t="s">
        <v>3002</v>
      </c>
      <c r="F1210" t="s">
        <v>3020</v>
      </c>
      <c r="G1210">
        <v>28</v>
      </c>
      <c r="H1210">
        <v>2129022</v>
      </c>
      <c r="I1210">
        <v>277906</v>
      </c>
      <c r="J1210">
        <v>15.21</v>
      </c>
      <c r="K1210">
        <v>24</v>
      </c>
      <c r="L1210" t="s">
        <v>3046</v>
      </c>
      <c r="M1210">
        <v>635</v>
      </c>
      <c r="N1210">
        <v>7</v>
      </c>
      <c r="O1210" t="s">
        <v>3052</v>
      </c>
      <c r="P1210" t="s">
        <v>3936</v>
      </c>
      <c r="Q1210">
        <v>0.1305</v>
      </c>
    </row>
    <row r="1211" spans="1:17" x14ac:dyDescent="0.35">
      <c r="A1211" t="s">
        <v>1208</v>
      </c>
      <c r="B1211" t="s">
        <v>2692</v>
      </c>
      <c r="C1211">
        <v>55</v>
      </c>
      <c r="D1211" t="s">
        <v>2992</v>
      </c>
      <c r="E1211" t="s">
        <v>3006</v>
      </c>
      <c r="F1211" t="s">
        <v>3019</v>
      </c>
      <c r="G1211">
        <v>16</v>
      </c>
      <c r="H1211">
        <v>528619</v>
      </c>
      <c r="I1211">
        <v>144932</v>
      </c>
      <c r="J1211">
        <v>24.55</v>
      </c>
      <c r="K1211">
        <v>60</v>
      </c>
      <c r="L1211" t="s">
        <v>3049</v>
      </c>
      <c r="M1211">
        <v>830</v>
      </c>
      <c r="N1211">
        <v>0</v>
      </c>
      <c r="O1211" t="s">
        <v>3056</v>
      </c>
      <c r="P1211" t="s">
        <v>3937</v>
      </c>
      <c r="Q1211">
        <v>0.2742</v>
      </c>
    </row>
    <row r="1212" spans="1:17" x14ac:dyDescent="0.35">
      <c r="A1212" t="s">
        <v>1209</v>
      </c>
      <c r="B1212" t="s">
        <v>2693</v>
      </c>
      <c r="C1212">
        <v>27</v>
      </c>
      <c r="D1212" t="s">
        <v>2990</v>
      </c>
      <c r="E1212" t="s">
        <v>3006</v>
      </c>
      <c r="F1212" t="s">
        <v>3018</v>
      </c>
      <c r="G1212">
        <v>10</v>
      </c>
      <c r="H1212">
        <v>306060</v>
      </c>
      <c r="I1212">
        <v>613629</v>
      </c>
      <c r="J1212">
        <v>27.35</v>
      </c>
      <c r="K1212">
        <v>60</v>
      </c>
      <c r="L1212" t="s">
        <v>3051</v>
      </c>
      <c r="M1212">
        <v>483</v>
      </c>
      <c r="N1212">
        <v>1</v>
      </c>
      <c r="O1212" t="s">
        <v>3052</v>
      </c>
      <c r="P1212" t="s">
        <v>3907</v>
      </c>
      <c r="Q1212">
        <v>2.0049000000000001</v>
      </c>
    </row>
    <row r="1213" spans="1:17" x14ac:dyDescent="0.35">
      <c r="A1213" t="s">
        <v>1210</v>
      </c>
      <c r="B1213" t="s">
        <v>2694</v>
      </c>
      <c r="C1213">
        <v>34</v>
      </c>
      <c r="D1213" t="s">
        <v>2992</v>
      </c>
      <c r="E1213" t="s">
        <v>3007</v>
      </c>
      <c r="F1213" t="s">
        <v>3020</v>
      </c>
      <c r="G1213">
        <v>3</v>
      </c>
      <c r="H1213">
        <v>478090</v>
      </c>
      <c r="I1213">
        <v>309220</v>
      </c>
      <c r="J1213">
        <v>20.6</v>
      </c>
      <c r="K1213">
        <v>36</v>
      </c>
      <c r="M1213">
        <v>492</v>
      </c>
      <c r="N1213">
        <v>2</v>
      </c>
      <c r="O1213" t="s">
        <v>3056</v>
      </c>
      <c r="P1213" t="s">
        <v>3359</v>
      </c>
      <c r="Q1213">
        <v>0.64680000000000004</v>
      </c>
    </row>
    <row r="1214" spans="1:17" x14ac:dyDescent="0.35">
      <c r="A1214" t="s">
        <v>1211</v>
      </c>
      <c r="B1214" t="s">
        <v>2695</v>
      </c>
      <c r="C1214">
        <v>58</v>
      </c>
      <c r="D1214" t="s">
        <v>2992</v>
      </c>
      <c r="E1214" t="s">
        <v>3003</v>
      </c>
      <c r="F1214" t="s">
        <v>3020</v>
      </c>
      <c r="G1214">
        <v>11</v>
      </c>
      <c r="H1214">
        <v>1516921</v>
      </c>
      <c r="I1214">
        <v>672416</v>
      </c>
      <c r="J1214">
        <v>13.23</v>
      </c>
      <c r="K1214">
        <v>60</v>
      </c>
      <c r="M1214">
        <v>457</v>
      </c>
      <c r="N1214">
        <v>4</v>
      </c>
      <c r="O1214" t="s">
        <v>3055</v>
      </c>
      <c r="P1214" t="s">
        <v>3743</v>
      </c>
      <c r="Q1214">
        <v>0.44330000000000003</v>
      </c>
    </row>
    <row r="1215" spans="1:17" x14ac:dyDescent="0.35">
      <c r="A1215" t="s">
        <v>1212</v>
      </c>
      <c r="B1215" t="s">
        <v>2696</v>
      </c>
      <c r="C1215">
        <v>57</v>
      </c>
      <c r="D1215" t="s">
        <v>2990</v>
      </c>
      <c r="E1215" t="s">
        <v>3007</v>
      </c>
      <c r="F1215" t="s">
        <v>3019</v>
      </c>
      <c r="G1215">
        <v>22</v>
      </c>
      <c r="H1215">
        <v>1635465</v>
      </c>
      <c r="I1215">
        <v>514700</v>
      </c>
      <c r="J1215">
        <v>16.55</v>
      </c>
      <c r="K1215">
        <v>60</v>
      </c>
      <c r="M1215">
        <v>715</v>
      </c>
      <c r="N1215">
        <v>0</v>
      </c>
      <c r="O1215" t="s">
        <v>3053</v>
      </c>
      <c r="P1215" t="s">
        <v>3938</v>
      </c>
      <c r="Q1215">
        <v>0.31469999999999998</v>
      </c>
    </row>
    <row r="1216" spans="1:17" x14ac:dyDescent="0.35">
      <c r="A1216" t="s">
        <v>1213</v>
      </c>
      <c r="B1216" t="s">
        <v>2697</v>
      </c>
      <c r="C1216">
        <v>56</v>
      </c>
      <c r="D1216" t="s">
        <v>2992</v>
      </c>
      <c r="E1216" t="s">
        <v>3002</v>
      </c>
      <c r="F1216" t="s">
        <v>3020</v>
      </c>
      <c r="G1216">
        <v>10</v>
      </c>
      <c r="H1216">
        <v>388944</v>
      </c>
      <c r="I1216">
        <v>198646</v>
      </c>
      <c r="J1216">
        <v>10.199999999999999</v>
      </c>
      <c r="K1216">
        <v>24</v>
      </c>
      <c r="L1216" t="s">
        <v>3050</v>
      </c>
      <c r="M1216">
        <v>412</v>
      </c>
      <c r="N1216">
        <v>1</v>
      </c>
      <c r="O1216" t="s">
        <v>3055</v>
      </c>
      <c r="P1216" t="s">
        <v>3228</v>
      </c>
      <c r="Q1216">
        <v>0.51070000000000004</v>
      </c>
    </row>
    <row r="1217" spans="1:17" x14ac:dyDescent="0.35">
      <c r="A1217" t="s">
        <v>1214</v>
      </c>
      <c r="B1217" t="s">
        <v>2698</v>
      </c>
      <c r="C1217">
        <v>37</v>
      </c>
      <c r="D1217" t="s">
        <v>2992</v>
      </c>
      <c r="E1217" t="s">
        <v>3007</v>
      </c>
      <c r="F1217" t="s">
        <v>3019</v>
      </c>
      <c r="G1217">
        <v>11</v>
      </c>
      <c r="H1217">
        <v>1758608</v>
      </c>
      <c r="I1217">
        <v>371193</v>
      </c>
      <c r="J1217">
        <v>17.78</v>
      </c>
      <c r="K1217">
        <v>24</v>
      </c>
      <c r="L1217" t="s">
        <v>3046</v>
      </c>
      <c r="M1217">
        <v>789</v>
      </c>
      <c r="N1217">
        <v>2</v>
      </c>
      <c r="O1217" t="s">
        <v>3053</v>
      </c>
      <c r="P1217" t="s">
        <v>3843</v>
      </c>
      <c r="Q1217">
        <v>0.21110000000000001</v>
      </c>
    </row>
    <row r="1218" spans="1:17" x14ac:dyDescent="0.35">
      <c r="A1218" t="s">
        <v>1215</v>
      </c>
      <c r="B1218" t="s">
        <v>2699</v>
      </c>
      <c r="C1218">
        <v>58</v>
      </c>
      <c r="D1218" t="s">
        <v>2990</v>
      </c>
      <c r="E1218" t="s">
        <v>3004</v>
      </c>
      <c r="F1218" t="s">
        <v>3021</v>
      </c>
      <c r="G1218">
        <v>0</v>
      </c>
      <c r="H1218">
        <v>1117841</v>
      </c>
      <c r="I1218">
        <v>175344</v>
      </c>
      <c r="J1218">
        <v>16.63</v>
      </c>
      <c r="K1218">
        <v>60</v>
      </c>
      <c r="L1218" t="s">
        <v>3048</v>
      </c>
      <c r="M1218">
        <v>700</v>
      </c>
      <c r="N1218">
        <v>4</v>
      </c>
      <c r="O1218" t="s">
        <v>3052</v>
      </c>
      <c r="P1218" t="s">
        <v>3939</v>
      </c>
      <c r="Q1218">
        <v>0.15690000000000001</v>
      </c>
    </row>
    <row r="1219" spans="1:17" x14ac:dyDescent="0.35">
      <c r="A1219" t="s">
        <v>1216</v>
      </c>
      <c r="B1219" t="s">
        <v>2700</v>
      </c>
      <c r="C1219">
        <v>60</v>
      </c>
      <c r="D1219" t="s">
        <v>2992</v>
      </c>
      <c r="E1219" t="s">
        <v>2998</v>
      </c>
      <c r="F1219" t="s">
        <v>3021</v>
      </c>
      <c r="G1219">
        <v>27</v>
      </c>
      <c r="H1219">
        <v>248803</v>
      </c>
      <c r="I1219">
        <v>185159</v>
      </c>
      <c r="J1219">
        <v>11.91</v>
      </c>
      <c r="K1219">
        <v>36</v>
      </c>
      <c r="L1219" t="s">
        <v>3046</v>
      </c>
      <c r="M1219">
        <v>686</v>
      </c>
      <c r="N1219">
        <v>6</v>
      </c>
      <c r="O1219" t="s">
        <v>3053</v>
      </c>
      <c r="P1219" t="s">
        <v>3163</v>
      </c>
      <c r="Q1219">
        <v>0.74419999999999997</v>
      </c>
    </row>
    <row r="1220" spans="1:17" x14ac:dyDescent="0.35">
      <c r="A1220" t="s">
        <v>1217</v>
      </c>
      <c r="B1220" t="s">
        <v>2701</v>
      </c>
      <c r="C1220">
        <v>57</v>
      </c>
      <c r="D1220" t="s">
        <v>2992</v>
      </c>
      <c r="E1220" t="s">
        <v>3003</v>
      </c>
      <c r="F1220" t="s">
        <v>3019</v>
      </c>
      <c r="G1220">
        <v>20</v>
      </c>
      <c r="H1220">
        <v>1365493</v>
      </c>
      <c r="I1220">
        <v>432736</v>
      </c>
      <c r="J1220">
        <v>22.55</v>
      </c>
      <c r="K1220">
        <v>48</v>
      </c>
      <c r="L1220" t="s">
        <v>3046</v>
      </c>
      <c r="M1220">
        <v>616</v>
      </c>
      <c r="N1220">
        <v>3</v>
      </c>
      <c r="O1220" t="s">
        <v>3052</v>
      </c>
      <c r="P1220" t="s">
        <v>3717</v>
      </c>
      <c r="Q1220">
        <v>0.31690000000000002</v>
      </c>
    </row>
    <row r="1221" spans="1:17" x14ac:dyDescent="0.35">
      <c r="A1221" t="s">
        <v>1218</v>
      </c>
      <c r="B1221" t="s">
        <v>2702</v>
      </c>
      <c r="C1221">
        <v>57</v>
      </c>
      <c r="D1221" t="s">
        <v>2990</v>
      </c>
      <c r="E1221" t="s">
        <v>3004</v>
      </c>
      <c r="F1221" t="s">
        <v>3021</v>
      </c>
      <c r="G1221">
        <v>3</v>
      </c>
      <c r="H1221">
        <v>2343859</v>
      </c>
      <c r="I1221">
        <v>43199</v>
      </c>
      <c r="J1221">
        <v>20.309999999999999</v>
      </c>
      <c r="K1221">
        <v>24</v>
      </c>
      <c r="L1221" t="s">
        <v>3047</v>
      </c>
      <c r="M1221">
        <v>735</v>
      </c>
      <c r="N1221">
        <v>4</v>
      </c>
      <c r="O1221" t="s">
        <v>3056</v>
      </c>
      <c r="P1221" t="s">
        <v>3476</v>
      </c>
      <c r="Q1221">
        <v>1.84E-2</v>
      </c>
    </row>
    <row r="1222" spans="1:17" x14ac:dyDescent="0.35">
      <c r="A1222" t="s">
        <v>1219</v>
      </c>
      <c r="B1222" t="s">
        <v>2703</v>
      </c>
      <c r="C1222">
        <v>54</v>
      </c>
      <c r="D1222" t="s">
        <v>2990</v>
      </c>
      <c r="E1222" t="s">
        <v>3004</v>
      </c>
      <c r="F1222" t="s">
        <v>3021</v>
      </c>
      <c r="G1222">
        <v>29</v>
      </c>
      <c r="H1222">
        <v>1667331</v>
      </c>
      <c r="I1222">
        <v>133550</v>
      </c>
      <c r="J1222">
        <v>19.02</v>
      </c>
      <c r="K1222">
        <v>60</v>
      </c>
      <c r="L1222" t="s">
        <v>3049</v>
      </c>
      <c r="M1222">
        <v>463</v>
      </c>
      <c r="N1222">
        <v>7</v>
      </c>
      <c r="O1222" t="s">
        <v>3052</v>
      </c>
      <c r="P1222" t="s">
        <v>3940</v>
      </c>
      <c r="Q1222">
        <v>8.0100000000000005E-2</v>
      </c>
    </row>
    <row r="1223" spans="1:17" x14ac:dyDescent="0.35">
      <c r="A1223" t="s">
        <v>1220</v>
      </c>
      <c r="B1223" t="s">
        <v>2704</v>
      </c>
      <c r="C1223">
        <v>64</v>
      </c>
      <c r="D1223" t="s">
        <v>2992</v>
      </c>
      <c r="E1223" t="s">
        <v>3001</v>
      </c>
      <c r="F1223" t="s">
        <v>3019</v>
      </c>
      <c r="G1223">
        <v>17</v>
      </c>
      <c r="H1223">
        <v>308322</v>
      </c>
      <c r="I1223">
        <v>182993</v>
      </c>
      <c r="J1223">
        <v>19.14</v>
      </c>
      <c r="K1223">
        <v>24</v>
      </c>
      <c r="L1223" t="s">
        <v>3046</v>
      </c>
      <c r="M1223">
        <v>675</v>
      </c>
      <c r="N1223">
        <v>4</v>
      </c>
      <c r="O1223" t="s">
        <v>3055</v>
      </c>
      <c r="P1223" t="s">
        <v>3941</v>
      </c>
      <c r="Q1223">
        <v>0.59350000000000003</v>
      </c>
    </row>
    <row r="1224" spans="1:17" x14ac:dyDescent="0.35">
      <c r="A1224" t="s">
        <v>1221</v>
      </c>
      <c r="B1224" t="s">
        <v>2705</v>
      </c>
      <c r="C1224">
        <v>55</v>
      </c>
      <c r="D1224" t="s">
        <v>2992</v>
      </c>
      <c r="E1224" t="s">
        <v>3005</v>
      </c>
      <c r="F1224" t="s">
        <v>3020</v>
      </c>
      <c r="G1224">
        <v>14</v>
      </c>
      <c r="H1224">
        <v>1235146</v>
      </c>
      <c r="I1224">
        <v>378710</v>
      </c>
      <c r="J1224">
        <v>16</v>
      </c>
      <c r="K1224">
        <v>48</v>
      </c>
      <c r="L1224" t="s">
        <v>3050</v>
      </c>
      <c r="M1224">
        <v>643</v>
      </c>
      <c r="N1224">
        <v>6</v>
      </c>
      <c r="O1224" t="s">
        <v>3057</v>
      </c>
      <c r="P1224" t="s">
        <v>3194</v>
      </c>
      <c r="Q1224">
        <v>0.30659999999999998</v>
      </c>
    </row>
    <row r="1225" spans="1:17" x14ac:dyDescent="0.35">
      <c r="A1225" t="s">
        <v>1222</v>
      </c>
      <c r="B1225" t="s">
        <v>2706</v>
      </c>
      <c r="C1225">
        <v>36</v>
      </c>
      <c r="D1225" t="s">
        <v>2990</v>
      </c>
      <c r="E1225" t="s">
        <v>3004</v>
      </c>
      <c r="F1225" t="s">
        <v>3019</v>
      </c>
      <c r="G1225">
        <v>4</v>
      </c>
      <c r="H1225">
        <v>1719600</v>
      </c>
      <c r="I1225">
        <v>381309</v>
      </c>
      <c r="J1225">
        <v>9.76</v>
      </c>
      <c r="K1225">
        <v>48</v>
      </c>
      <c r="L1225" t="s">
        <v>3047</v>
      </c>
      <c r="M1225">
        <v>337</v>
      </c>
      <c r="N1225">
        <v>0</v>
      </c>
      <c r="O1225" t="s">
        <v>3053</v>
      </c>
      <c r="P1225" t="s">
        <v>3942</v>
      </c>
      <c r="Q1225">
        <v>0.22170000000000001</v>
      </c>
    </row>
    <row r="1226" spans="1:17" x14ac:dyDescent="0.35">
      <c r="A1226" t="s">
        <v>1223</v>
      </c>
      <c r="B1226" t="s">
        <v>2707</v>
      </c>
      <c r="C1226">
        <v>34</v>
      </c>
      <c r="D1226" t="s">
        <v>2990</v>
      </c>
      <c r="E1226" t="s">
        <v>3014</v>
      </c>
      <c r="F1226" t="s">
        <v>3021</v>
      </c>
      <c r="G1226">
        <v>18</v>
      </c>
      <c r="H1226">
        <v>1356808</v>
      </c>
      <c r="I1226">
        <v>100811</v>
      </c>
      <c r="J1226">
        <v>15.96</v>
      </c>
      <c r="K1226">
        <v>24</v>
      </c>
      <c r="L1226" t="s">
        <v>3046</v>
      </c>
      <c r="M1226">
        <v>575</v>
      </c>
      <c r="N1226">
        <v>1</v>
      </c>
      <c r="O1226" t="s">
        <v>3054</v>
      </c>
      <c r="P1226" t="s">
        <v>3131</v>
      </c>
      <c r="Q1226">
        <v>7.4300000000000005E-2</v>
      </c>
    </row>
    <row r="1227" spans="1:17" x14ac:dyDescent="0.35">
      <c r="A1227" t="s">
        <v>1224</v>
      </c>
      <c r="B1227" t="s">
        <v>2708</v>
      </c>
      <c r="C1227">
        <v>49</v>
      </c>
      <c r="D1227" t="s">
        <v>2993</v>
      </c>
      <c r="E1227" t="s">
        <v>3006</v>
      </c>
      <c r="F1227" t="s">
        <v>3021</v>
      </c>
      <c r="G1227">
        <v>1</v>
      </c>
      <c r="H1227">
        <v>2375004</v>
      </c>
      <c r="I1227">
        <v>119977</v>
      </c>
      <c r="J1227">
        <v>22.4</v>
      </c>
      <c r="K1227">
        <v>48</v>
      </c>
      <c r="L1227" t="s">
        <v>3048</v>
      </c>
      <c r="M1227">
        <v>421</v>
      </c>
      <c r="N1227">
        <v>1</v>
      </c>
      <c r="O1227" t="s">
        <v>3056</v>
      </c>
      <c r="P1227" t="s">
        <v>3153</v>
      </c>
      <c r="Q1227">
        <v>5.0500000000000003E-2</v>
      </c>
    </row>
    <row r="1228" spans="1:17" x14ac:dyDescent="0.35">
      <c r="A1228" t="s">
        <v>1225</v>
      </c>
      <c r="B1228" t="s">
        <v>2709</v>
      </c>
      <c r="C1228">
        <v>43</v>
      </c>
      <c r="D1228" t="s">
        <v>2992</v>
      </c>
      <c r="E1228" t="s">
        <v>3010</v>
      </c>
      <c r="F1228" t="s">
        <v>3021</v>
      </c>
      <c r="G1228">
        <v>7</v>
      </c>
      <c r="H1228">
        <v>1113396</v>
      </c>
      <c r="I1228">
        <v>255595</v>
      </c>
      <c r="J1228">
        <v>19.440000000000001</v>
      </c>
      <c r="K1228">
        <v>24</v>
      </c>
      <c r="L1228" t="s">
        <v>3049</v>
      </c>
      <c r="M1228">
        <v>430</v>
      </c>
      <c r="N1228">
        <v>2</v>
      </c>
      <c r="O1228" t="s">
        <v>3053</v>
      </c>
      <c r="P1228" t="s">
        <v>3943</v>
      </c>
      <c r="Q1228">
        <v>0.2296</v>
      </c>
    </row>
    <row r="1229" spans="1:17" x14ac:dyDescent="0.35">
      <c r="A1229" t="s">
        <v>1226</v>
      </c>
      <c r="B1229" t="s">
        <v>2710</v>
      </c>
      <c r="C1229">
        <v>29</v>
      </c>
      <c r="D1229" t="s">
        <v>2992</v>
      </c>
      <c r="E1229" t="s">
        <v>3000</v>
      </c>
      <c r="F1229" t="s">
        <v>3021</v>
      </c>
      <c r="G1229">
        <v>29</v>
      </c>
      <c r="H1229">
        <v>2163691</v>
      </c>
      <c r="I1229">
        <v>516440</v>
      </c>
      <c r="J1229" t="s">
        <v>3040</v>
      </c>
      <c r="K1229">
        <v>24</v>
      </c>
      <c r="L1229" t="s">
        <v>3050</v>
      </c>
      <c r="M1229">
        <v>477</v>
      </c>
      <c r="N1229">
        <v>2</v>
      </c>
      <c r="O1229" t="s">
        <v>3056</v>
      </c>
      <c r="P1229" t="s">
        <v>3944</v>
      </c>
      <c r="Q1229">
        <v>0.2387</v>
      </c>
    </row>
    <row r="1230" spans="1:17" x14ac:dyDescent="0.35">
      <c r="A1230" t="s">
        <v>1227</v>
      </c>
      <c r="B1230" t="s">
        <v>2711</v>
      </c>
      <c r="C1230">
        <v>33</v>
      </c>
      <c r="D1230" t="s">
        <v>2992</v>
      </c>
      <c r="E1230" t="s">
        <v>3004</v>
      </c>
      <c r="F1230" t="s">
        <v>3020</v>
      </c>
      <c r="G1230">
        <v>2</v>
      </c>
      <c r="H1230">
        <v>958513</v>
      </c>
      <c r="I1230">
        <v>605236</v>
      </c>
      <c r="J1230">
        <v>16.22</v>
      </c>
      <c r="K1230">
        <v>36</v>
      </c>
      <c r="L1230" t="s">
        <v>3047</v>
      </c>
      <c r="M1230">
        <v>675</v>
      </c>
      <c r="N1230">
        <v>0</v>
      </c>
      <c r="O1230" t="s">
        <v>3055</v>
      </c>
      <c r="P1230" t="s">
        <v>3588</v>
      </c>
      <c r="Q1230">
        <v>0.63139999999999996</v>
      </c>
    </row>
    <row r="1231" spans="1:17" x14ac:dyDescent="0.35">
      <c r="A1231" t="s">
        <v>1228</v>
      </c>
      <c r="B1231" t="s">
        <v>2712</v>
      </c>
      <c r="C1231">
        <v>32</v>
      </c>
      <c r="D1231" t="s">
        <v>2990</v>
      </c>
      <c r="E1231" t="s">
        <v>2999</v>
      </c>
      <c r="F1231" t="s">
        <v>3019</v>
      </c>
      <c r="G1231">
        <v>1</v>
      </c>
      <c r="I1231">
        <v>72691</v>
      </c>
      <c r="J1231">
        <v>14</v>
      </c>
      <c r="K1231">
        <v>12</v>
      </c>
      <c r="M1231">
        <v>547</v>
      </c>
      <c r="N1231">
        <v>7</v>
      </c>
      <c r="O1231" t="s">
        <v>3054</v>
      </c>
      <c r="P1231" t="s">
        <v>3399</v>
      </c>
      <c r="Q1231">
        <v>3.5000000000000003E-2</v>
      </c>
    </row>
    <row r="1232" spans="1:17" x14ac:dyDescent="0.35">
      <c r="A1232" t="s">
        <v>1229</v>
      </c>
      <c r="B1232" t="s">
        <v>2713</v>
      </c>
      <c r="C1232">
        <v>63</v>
      </c>
      <c r="D1232" t="s">
        <v>2990</v>
      </c>
      <c r="E1232" t="s">
        <v>3007</v>
      </c>
      <c r="F1232" t="s">
        <v>3021</v>
      </c>
      <c r="G1232">
        <v>15</v>
      </c>
      <c r="H1232">
        <v>1764973</v>
      </c>
      <c r="I1232">
        <v>580219</v>
      </c>
      <c r="J1232">
        <v>16.71</v>
      </c>
      <c r="K1232">
        <v>24</v>
      </c>
      <c r="L1232" t="s">
        <v>3047</v>
      </c>
      <c r="M1232">
        <v>360</v>
      </c>
      <c r="N1232">
        <v>3</v>
      </c>
      <c r="O1232" t="s">
        <v>3054</v>
      </c>
      <c r="P1232" t="s">
        <v>3945</v>
      </c>
      <c r="Q1232">
        <v>0.32869999999999999</v>
      </c>
    </row>
    <row r="1233" spans="1:17" x14ac:dyDescent="0.35">
      <c r="A1233" t="s">
        <v>1230</v>
      </c>
      <c r="B1233" t="s">
        <v>2714</v>
      </c>
      <c r="C1233">
        <v>21</v>
      </c>
      <c r="D1233" t="s">
        <v>2992</v>
      </c>
      <c r="E1233" t="s">
        <v>3002</v>
      </c>
      <c r="F1233" t="s">
        <v>3019</v>
      </c>
      <c r="G1233">
        <v>12</v>
      </c>
      <c r="H1233">
        <v>1921373</v>
      </c>
      <c r="I1233">
        <v>345329</v>
      </c>
      <c r="J1233">
        <v>11.6</v>
      </c>
      <c r="K1233">
        <v>60</v>
      </c>
      <c r="L1233" t="s">
        <v>3048</v>
      </c>
      <c r="M1233">
        <v>396</v>
      </c>
      <c r="N1233">
        <v>4</v>
      </c>
      <c r="O1233" t="s">
        <v>3052</v>
      </c>
      <c r="P1233" t="s">
        <v>3701</v>
      </c>
      <c r="Q1233">
        <v>0.1797</v>
      </c>
    </row>
    <row r="1234" spans="1:17" x14ac:dyDescent="0.35">
      <c r="A1234" t="s">
        <v>1231</v>
      </c>
      <c r="B1234" t="s">
        <v>2715</v>
      </c>
      <c r="C1234">
        <v>40</v>
      </c>
      <c r="D1234" t="s">
        <v>2990</v>
      </c>
      <c r="E1234" t="s">
        <v>3003</v>
      </c>
      <c r="F1234" t="s">
        <v>3018</v>
      </c>
      <c r="G1234">
        <v>7</v>
      </c>
      <c r="H1234">
        <v>594994</v>
      </c>
      <c r="I1234">
        <v>363615</v>
      </c>
      <c r="J1234">
        <v>24.88</v>
      </c>
      <c r="K1234">
        <v>36</v>
      </c>
      <c r="L1234" t="s">
        <v>3049</v>
      </c>
      <c r="M1234">
        <v>640</v>
      </c>
      <c r="N1234">
        <v>1</v>
      </c>
      <c r="O1234" t="s">
        <v>3054</v>
      </c>
      <c r="P1234" t="s">
        <v>3645</v>
      </c>
      <c r="Q1234">
        <v>0.61109999999999998</v>
      </c>
    </row>
    <row r="1235" spans="1:17" x14ac:dyDescent="0.35">
      <c r="A1235" t="s">
        <v>1232</v>
      </c>
      <c r="B1235" t="s">
        <v>2716</v>
      </c>
      <c r="C1235">
        <v>58</v>
      </c>
      <c r="D1235" t="s">
        <v>2990</v>
      </c>
      <c r="E1235" t="s">
        <v>3004</v>
      </c>
      <c r="F1235" t="s">
        <v>3020</v>
      </c>
      <c r="G1235">
        <v>5</v>
      </c>
      <c r="H1235">
        <v>2233607</v>
      </c>
      <c r="I1235">
        <v>541658</v>
      </c>
      <c r="J1235">
        <v>16.850000000000001</v>
      </c>
      <c r="K1235">
        <v>24</v>
      </c>
      <c r="M1235">
        <v>545</v>
      </c>
      <c r="N1235">
        <v>3</v>
      </c>
      <c r="O1235" t="s">
        <v>3055</v>
      </c>
      <c r="P1235" t="s">
        <v>3711</v>
      </c>
      <c r="Q1235">
        <v>0.24249999999999999</v>
      </c>
    </row>
    <row r="1236" spans="1:17" x14ac:dyDescent="0.35">
      <c r="A1236" t="s">
        <v>1233</v>
      </c>
      <c r="B1236" t="s">
        <v>2717</v>
      </c>
      <c r="C1236">
        <v>54</v>
      </c>
      <c r="D1236" t="s">
        <v>2992</v>
      </c>
      <c r="E1236" t="s">
        <v>3003</v>
      </c>
      <c r="F1236" t="s">
        <v>3018</v>
      </c>
      <c r="G1236">
        <v>12</v>
      </c>
      <c r="H1236">
        <v>1238079</v>
      </c>
      <c r="I1236">
        <v>60387</v>
      </c>
      <c r="J1236">
        <v>24</v>
      </c>
      <c r="K1236">
        <v>48</v>
      </c>
      <c r="L1236" t="s">
        <v>3046</v>
      </c>
      <c r="M1236">
        <v>332</v>
      </c>
      <c r="N1236">
        <v>7</v>
      </c>
      <c r="O1236" t="s">
        <v>3053</v>
      </c>
      <c r="P1236" t="s">
        <v>3915</v>
      </c>
      <c r="Q1236">
        <v>4.8800000000000003E-2</v>
      </c>
    </row>
    <row r="1237" spans="1:17" x14ac:dyDescent="0.35">
      <c r="A1237" t="s">
        <v>1234</v>
      </c>
      <c r="B1237" t="s">
        <v>2718</v>
      </c>
      <c r="C1237">
        <v>62</v>
      </c>
      <c r="D1237" t="s">
        <v>2992</v>
      </c>
      <c r="E1237" t="s">
        <v>2998</v>
      </c>
      <c r="F1237" t="s">
        <v>3021</v>
      </c>
      <c r="G1237">
        <v>8</v>
      </c>
      <c r="H1237">
        <v>2140208</v>
      </c>
      <c r="I1237">
        <v>798799</v>
      </c>
      <c r="J1237">
        <v>16.28</v>
      </c>
      <c r="K1237">
        <v>36</v>
      </c>
      <c r="L1237" t="s">
        <v>3046</v>
      </c>
      <c r="N1237">
        <v>7</v>
      </c>
      <c r="O1237" t="s">
        <v>3056</v>
      </c>
      <c r="P1237" t="s">
        <v>3469</v>
      </c>
      <c r="Q1237">
        <v>0.37319999999999998</v>
      </c>
    </row>
    <row r="1238" spans="1:17" x14ac:dyDescent="0.35">
      <c r="A1238" t="s">
        <v>1235</v>
      </c>
      <c r="B1238" t="s">
        <v>2719</v>
      </c>
      <c r="C1238">
        <v>40</v>
      </c>
      <c r="D1238" t="s">
        <v>2992</v>
      </c>
      <c r="E1238" t="s">
        <v>3005</v>
      </c>
      <c r="F1238" t="s">
        <v>3018</v>
      </c>
      <c r="G1238">
        <v>25</v>
      </c>
      <c r="H1238">
        <v>712726</v>
      </c>
      <c r="I1238">
        <v>24994</v>
      </c>
      <c r="J1238">
        <v>22.84</v>
      </c>
      <c r="K1238">
        <v>60</v>
      </c>
      <c r="L1238" t="s">
        <v>3050</v>
      </c>
      <c r="M1238">
        <v>636</v>
      </c>
      <c r="N1238">
        <v>0</v>
      </c>
      <c r="O1238" t="s">
        <v>3056</v>
      </c>
      <c r="P1238" t="s">
        <v>3378</v>
      </c>
      <c r="Q1238">
        <v>3.5099999999999999E-2</v>
      </c>
    </row>
    <row r="1239" spans="1:17" x14ac:dyDescent="0.35">
      <c r="A1239" t="s">
        <v>1236</v>
      </c>
      <c r="B1239" t="s">
        <v>2720</v>
      </c>
      <c r="C1239">
        <v>50</v>
      </c>
      <c r="D1239" t="s">
        <v>2992</v>
      </c>
      <c r="E1239" t="s">
        <v>3003</v>
      </c>
      <c r="F1239" t="s">
        <v>3019</v>
      </c>
      <c r="G1239">
        <v>17</v>
      </c>
      <c r="H1239">
        <v>1068036</v>
      </c>
      <c r="I1239">
        <v>132935</v>
      </c>
      <c r="J1239">
        <v>15.64</v>
      </c>
      <c r="K1239">
        <v>12</v>
      </c>
      <c r="L1239" t="s">
        <v>3050</v>
      </c>
      <c r="M1239">
        <v>836</v>
      </c>
      <c r="N1239">
        <v>2</v>
      </c>
      <c r="O1239" t="s">
        <v>3056</v>
      </c>
      <c r="P1239" t="s">
        <v>3124</v>
      </c>
      <c r="Q1239">
        <v>0.1245</v>
      </c>
    </row>
    <row r="1240" spans="1:17" x14ac:dyDescent="0.35">
      <c r="A1240" t="s">
        <v>1237</v>
      </c>
      <c r="B1240" t="s">
        <v>2721</v>
      </c>
      <c r="C1240">
        <v>29</v>
      </c>
      <c r="D1240" t="s">
        <v>2992</v>
      </c>
      <c r="E1240" t="s">
        <v>3005</v>
      </c>
      <c r="F1240" t="s">
        <v>3020</v>
      </c>
      <c r="G1240">
        <v>20</v>
      </c>
      <c r="H1240">
        <v>1550073</v>
      </c>
      <c r="I1240">
        <v>662927</v>
      </c>
      <c r="J1240">
        <v>15.09</v>
      </c>
      <c r="K1240">
        <v>12</v>
      </c>
      <c r="L1240" t="s">
        <v>3046</v>
      </c>
      <c r="M1240">
        <v>717</v>
      </c>
      <c r="N1240">
        <v>6</v>
      </c>
      <c r="O1240" t="s">
        <v>3052</v>
      </c>
      <c r="P1240" t="s">
        <v>3773</v>
      </c>
      <c r="Q1240">
        <v>0.42770000000000002</v>
      </c>
    </row>
    <row r="1241" spans="1:17" x14ac:dyDescent="0.35">
      <c r="A1241" t="s">
        <v>1238</v>
      </c>
      <c r="B1241" t="s">
        <v>2722</v>
      </c>
      <c r="C1241">
        <v>53</v>
      </c>
      <c r="D1241" t="s">
        <v>2990</v>
      </c>
      <c r="E1241" t="s">
        <v>2998</v>
      </c>
      <c r="F1241" t="s">
        <v>3021</v>
      </c>
      <c r="G1241">
        <v>12</v>
      </c>
      <c r="H1241">
        <v>1389337</v>
      </c>
      <c r="I1241">
        <v>307623</v>
      </c>
      <c r="J1241">
        <v>25.39</v>
      </c>
      <c r="K1241">
        <v>48</v>
      </c>
      <c r="L1241" t="s">
        <v>3047</v>
      </c>
      <c r="M1241">
        <v>794</v>
      </c>
      <c r="N1241">
        <v>2</v>
      </c>
      <c r="O1241" t="s">
        <v>3053</v>
      </c>
      <c r="P1241" t="s">
        <v>3946</v>
      </c>
      <c r="Q1241">
        <v>0.22140000000000001</v>
      </c>
    </row>
    <row r="1242" spans="1:17" x14ac:dyDescent="0.35">
      <c r="A1242" t="s">
        <v>1239</v>
      </c>
      <c r="B1242" t="s">
        <v>2723</v>
      </c>
      <c r="C1242">
        <v>27</v>
      </c>
      <c r="D1242" t="s">
        <v>2990</v>
      </c>
      <c r="E1242" t="s">
        <v>3003</v>
      </c>
      <c r="F1242" t="s">
        <v>3020</v>
      </c>
      <c r="G1242">
        <v>15</v>
      </c>
      <c r="H1242">
        <v>655595</v>
      </c>
      <c r="I1242">
        <v>360686</v>
      </c>
      <c r="J1242">
        <v>19.91</v>
      </c>
      <c r="K1242">
        <v>24</v>
      </c>
      <c r="L1242" t="s">
        <v>3048</v>
      </c>
      <c r="M1242">
        <v>438</v>
      </c>
      <c r="N1242">
        <v>4</v>
      </c>
      <c r="O1242" t="s">
        <v>3053</v>
      </c>
      <c r="P1242" t="s">
        <v>3947</v>
      </c>
      <c r="Q1242">
        <v>0.55020000000000002</v>
      </c>
    </row>
    <row r="1243" spans="1:17" x14ac:dyDescent="0.35">
      <c r="A1243" t="s">
        <v>1240</v>
      </c>
      <c r="B1243" t="s">
        <v>2724</v>
      </c>
      <c r="C1243">
        <v>21</v>
      </c>
      <c r="D1243" t="s">
        <v>2990</v>
      </c>
      <c r="E1243" t="s">
        <v>3000</v>
      </c>
      <c r="F1243" t="s">
        <v>3020</v>
      </c>
      <c r="G1243">
        <v>3</v>
      </c>
      <c r="I1243">
        <v>446009</v>
      </c>
      <c r="J1243">
        <v>20.260000000000002</v>
      </c>
      <c r="K1243">
        <v>12</v>
      </c>
      <c r="L1243" t="s">
        <v>3050</v>
      </c>
      <c r="M1243">
        <v>740</v>
      </c>
      <c r="N1243">
        <v>6</v>
      </c>
      <c r="O1243" t="s">
        <v>3052</v>
      </c>
      <c r="P1243" t="s">
        <v>3948</v>
      </c>
      <c r="Q1243">
        <v>1.0385</v>
      </c>
    </row>
    <row r="1244" spans="1:17" x14ac:dyDescent="0.35">
      <c r="A1244" t="s">
        <v>1241</v>
      </c>
      <c r="B1244" t="s">
        <v>2725</v>
      </c>
      <c r="C1244">
        <v>22</v>
      </c>
      <c r="E1244" t="s">
        <v>3003</v>
      </c>
      <c r="F1244" t="s">
        <v>3019</v>
      </c>
      <c r="G1244">
        <v>7</v>
      </c>
      <c r="H1244">
        <v>2272101</v>
      </c>
      <c r="I1244">
        <v>298466</v>
      </c>
      <c r="J1244">
        <v>11.97</v>
      </c>
      <c r="K1244">
        <v>24</v>
      </c>
      <c r="L1244" t="s">
        <v>3050</v>
      </c>
      <c r="M1244">
        <v>779</v>
      </c>
      <c r="N1244">
        <v>3</v>
      </c>
      <c r="O1244" t="s">
        <v>3057</v>
      </c>
      <c r="P1244" t="s">
        <v>3828</v>
      </c>
      <c r="Q1244">
        <v>0.13139999999999999</v>
      </c>
    </row>
    <row r="1245" spans="1:17" x14ac:dyDescent="0.35">
      <c r="A1245" t="s">
        <v>1242</v>
      </c>
      <c r="B1245" t="s">
        <v>2726</v>
      </c>
      <c r="C1245">
        <v>46</v>
      </c>
      <c r="D1245" t="s">
        <v>2990</v>
      </c>
      <c r="E1245" t="s">
        <v>2999</v>
      </c>
      <c r="F1245" t="s">
        <v>3018</v>
      </c>
      <c r="G1245">
        <v>26</v>
      </c>
      <c r="H1245">
        <v>841616</v>
      </c>
      <c r="I1245">
        <v>716454</v>
      </c>
      <c r="J1245">
        <v>10.66</v>
      </c>
      <c r="K1245">
        <v>24</v>
      </c>
      <c r="L1245" t="s">
        <v>3050</v>
      </c>
      <c r="M1245">
        <v>679</v>
      </c>
      <c r="N1245">
        <v>6</v>
      </c>
      <c r="O1245" t="s">
        <v>3054</v>
      </c>
      <c r="P1245" t="s">
        <v>3915</v>
      </c>
      <c r="Q1245">
        <v>0.85129999999999995</v>
      </c>
    </row>
    <row r="1246" spans="1:17" x14ac:dyDescent="0.35">
      <c r="A1246" t="s">
        <v>1243</v>
      </c>
      <c r="B1246" t="s">
        <v>2727</v>
      </c>
      <c r="C1246">
        <v>55</v>
      </c>
      <c r="D1246" t="s">
        <v>2992</v>
      </c>
      <c r="E1246" t="s">
        <v>3000</v>
      </c>
      <c r="F1246" t="s">
        <v>3020</v>
      </c>
      <c r="G1246">
        <v>5</v>
      </c>
      <c r="H1246">
        <v>1652178</v>
      </c>
      <c r="I1246">
        <v>294597</v>
      </c>
      <c r="J1246">
        <v>19.190000000000001</v>
      </c>
      <c r="K1246">
        <v>48</v>
      </c>
      <c r="L1246" t="s">
        <v>3049</v>
      </c>
      <c r="M1246">
        <v>332</v>
      </c>
      <c r="N1246">
        <v>5</v>
      </c>
      <c r="O1246" t="s">
        <v>3057</v>
      </c>
      <c r="P1246" t="s">
        <v>3949</v>
      </c>
      <c r="Q1246">
        <v>0.17829999999999999</v>
      </c>
    </row>
    <row r="1247" spans="1:17" x14ac:dyDescent="0.35">
      <c r="A1247" t="s">
        <v>1244</v>
      </c>
      <c r="B1247" t="s">
        <v>2728</v>
      </c>
      <c r="C1247">
        <v>26</v>
      </c>
      <c r="D1247" t="s">
        <v>2990</v>
      </c>
      <c r="E1247" t="s">
        <v>3004</v>
      </c>
      <c r="F1247" t="s">
        <v>3021</v>
      </c>
      <c r="G1247">
        <v>7</v>
      </c>
      <c r="H1247">
        <v>2330224</v>
      </c>
      <c r="I1247">
        <v>444390</v>
      </c>
      <c r="J1247">
        <v>19.28</v>
      </c>
      <c r="K1247">
        <v>48</v>
      </c>
      <c r="L1247" t="s">
        <v>3050</v>
      </c>
      <c r="N1247">
        <v>3</v>
      </c>
      <c r="O1247" t="s">
        <v>3054</v>
      </c>
      <c r="P1247" t="s">
        <v>3446</v>
      </c>
      <c r="Q1247">
        <v>0.19070000000000001</v>
      </c>
    </row>
    <row r="1248" spans="1:17" x14ac:dyDescent="0.35">
      <c r="A1248" t="s">
        <v>1245</v>
      </c>
      <c r="B1248" t="s">
        <v>2729</v>
      </c>
      <c r="C1248">
        <v>53</v>
      </c>
      <c r="D1248" t="s">
        <v>2990</v>
      </c>
      <c r="E1248" t="s">
        <v>2999</v>
      </c>
      <c r="F1248" t="s">
        <v>3018</v>
      </c>
      <c r="G1248">
        <v>18</v>
      </c>
      <c r="H1248">
        <v>361360</v>
      </c>
      <c r="I1248">
        <v>486755</v>
      </c>
      <c r="J1248">
        <v>26.14</v>
      </c>
      <c r="K1248">
        <v>24</v>
      </c>
      <c r="L1248" t="s">
        <v>3046</v>
      </c>
      <c r="M1248">
        <v>314</v>
      </c>
      <c r="N1248">
        <v>2</v>
      </c>
      <c r="O1248" t="s">
        <v>3055</v>
      </c>
      <c r="P1248" t="s">
        <v>3950</v>
      </c>
      <c r="Q1248">
        <v>1.347</v>
      </c>
    </row>
    <row r="1249" spans="1:17" x14ac:dyDescent="0.35">
      <c r="A1249" t="s">
        <v>1246</v>
      </c>
      <c r="B1249" t="s">
        <v>2730</v>
      </c>
      <c r="C1249">
        <v>33</v>
      </c>
      <c r="D1249" t="s">
        <v>2992</v>
      </c>
      <c r="E1249" t="s">
        <v>2999</v>
      </c>
      <c r="G1249">
        <v>29</v>
      </c>
      <c r="H1249">
        <v>651082</v>
      </c>
      <c r="I1249">
        <v>413605</v>
      </c>
      <c r="J1249" t="s">
        <v>3041</v>
      </c>
      <c r="K1249">
        <v>12</v>
      </c>
      <c r="L1249" t="s">
        <v>3046</v>
      </c>
      <c r="M1249">
        <v>574</v>
      </c>
      <c r="N1249">
        <v>2</v>
      </c>
      <c r="O1249" t="s">
        <v>3056</v>
      </c>
      <c r="P1249" t="s">
        <v>3951</v>
      </c>
      <c r="Q1249">
        <v>0.63529999999999998</v>
      </c>
    </row>
    <row r="1250" spans="1:17" x14ac:dyDescent="0.35">
      <c r="A1250" t="s">
        <v>1247</v>
      </c>
      <c r="B1250" t="s">
        <v>2731</v>
      </c>
      <c r="C1250">
        <v>55</v>
      </c>
      <c r="D1250" t="s">
        <v>2992</v>
      </c>
      <c r="E1250" t="s">
        <v>3002</v>
      </c>
      <c r="F1250" t="s">
        <v>3019</v>
      </c>
      <c r="G1250">
        <v>1</v>
      </c>
      <c r="H1250">
        <v>807220</v>
      </c>
      <c r="I1250">
        <v>460880</v>
      </c>
      <c r="J1250">
        <v>18.16</v>
      </c>
      <c r="K1250">
        <v>24</v>
      </c>
      <c r="L1250" t="s">
        <v>3051</v>
      </c>
      <c r="M1250">
        <v>477</v>
      </c>
      <c r="N1250">
        <v>0</v>
      </c>
      <c r="O1250" t="s">
        <v>3052</v>
      </c>
      <c r="P1250" t="s">
        <v>3366</v>
      </c>
      <c r="Q1250">
        <v>0.57089999999999996</v>
      </c>
    </row>
    <row r="1251" spans="1:17" x14ac:dyDescent="0.35">
      <c r="A1251" t="s">
        <v>1248</v>
      </c>
      <c r="B1251" t="s">
        <v>2732</v>
      </c>
      <c r="C1251">
        <v>57</v>
      </c>
      <c r="E1251" t="s">
        <v>3001</v>
      </c>
      <c r="F1251" t="s">
        <v>3018</v>
      </c>
      <c r="G1251">
        <v>24</v>
      </c>
      <c r="H1251">
        <v>1775476</v>
      </c>
      <c r="I1251">
        <v>553459</v>
      </c>
      <c r="J1251">
        <v>26.61</v>
      </c>
      <c r="K1251">
        <v>36</v>
      </c>
      <c r="L1251" t="s">
        <v>3046</v>
      </c>
      <c r="M1251">
        <v>586</v>
      </c>
      <c r="N1251">
        <v>6</v>
      </c>
      <c r="O1251" t="s">
        <v>3056</v>
      </c>
      <c r="P1251" t="s">
        <v>3952</v>
      </c>
      <c r="Q1251">
        <v>0.31169999999999998</v>
      </c>
    </row>
    <row r="1252" spans="1:17" x14ac:dyDescent="0.35">
      <c r="A1252" t="s">
        <v>1249</v>
      </c>
      <c r="B1252" t="s">
        <v>2733</v>
      </c>
      <c r="C1252">
        <v>60</v>
      </c>
      <c r="D1252" t="s">
        <v>2992</v>
      </c>
      <c r="E1252" t="s">
        <v>3003</v>
      </c>
      <c r="F1252" t="s">
        <v>3019</v>
      </c>
      <c r="G1252">
        <v>0</v>
      </c>
      <c r="H1252">
        <v>2139310</v>
      </c>
      <c r="I1252">
        <v>309662</v>
      </c>
      <c r="J1252">
        <v>14.13</v>
      </c>
      <c r="K1252">
        <v>48</v>
      </c>
      <c r="L1252" t="s">
        <v>3046</v>
      </c>
      <c r="M1252">
        <v>395</v>
      </c>
      <c r="N1252">
        <v>2</v>
      </c>
      <c r="O1252" t="s">
        <v>3053</v>
      </c>
      <c r="P1252" t="s">
        <v>3373</v>
      </c>
      <c r="Q1252">
        <v>0.1447</v>
      </c>
    </row>
    <row r="1253" spans="1:17" x14ac:dyDescent="0.35">
      <c r="A1253" t="s">
        <v>1250</v>
      </c>
      <c r="B1253" t="s">
        <v>2734</v>
      </c>
      <c r="C1253">
        <v>37</v>
      </c>
      <c r="D1253" t="s">
        <v>2992</v>
      </c>
      <c r="E1253" t="s">
        <v>3000</v>
      </c>
      <c r="F1253" t="s">
        <v>3018</v>
      </c>
      <c r="G1253">
        <v>13</v>
      </c>
      <c r="H1253">
        <v>2093722</v>
      </c>
      <c r="I1253">
        <v>607520</v>
      </c>
      <c r="J1253">
        <v>11.08</v>
      </c>
      <c r="K1253">
        <v>48</v>
      </c>
      <c r="L1253" t="s">
        <v>3051</v>
      </c>
      <c r="M1253">
        <v>432</v>
      </c>
      <c r="N1253">
        <v>3</v>
      </c>
      <c r="O1253" t="s">
        <v>3055</v>
      </c>
      <c r="P1253" t="s">
        <v>3953</v>
      </c>
      <c r="Q1253">
        <v>0.29020000000000001</v>
      </c>
    </row>
    <row r="1254" spans="1:17" x14ac:dyDescent="0.35">
      <c r="A1254" t="s">
        <v>1251</v>
      </c>
      <c r="B1254" t="s">
        <v>2735</v>
      </c>
      <c r="C1254">
        <v>48</v>
      </c>
      <c r="D1254" t="s">
        <v>2993</v>
      </c>
      <c r="E1254" t="s">
        <v>2998</v>
      </c>
      <c r="F1254" t="s">
        <v>3018</v>
      </c>
      <c r="G1254">
        <v>26</v>
      </c>
      <c r="H1254">
        <v>1408337</v>
      </c>
      <c r="I1254">
        <v>64816</v>
      </c>
      <c r="J1254">
        <v>18.829999999999998</v>
      </c>
      <c r="K1254">
        <v>36</v>
      </c>
      <c r="L1254" t="s">
        <v>3051</v>
      </c>
      <c r="M1254">
        <v>849</v>
      </c>
      <c r="N1254">
        <v>6</v>
      </c>
      <c r="O1254" t="s">
        <v>3055</v>
      </c>
      <c r="P1254" t="s">
        <v>3954</v>
      </c>
      <c r="Q1254">
        <v>4.5999999999999999E-2</v>
      </c>
    </row>
    <row r="1255" spans="1:17" x14ac:dyDescent="0.35">
      <c r="A1255" t="s">
        <v>1252</v>
      </c>
      <c r="B1255" t="s">
        <v>2736</v>
      </c>
      <c r="C1255">
        <v>21</v>
      </c>
      <c r="D1255" t="s">
        <v>2992</v>
      </c>
      <c r="E1255" t="s">
        <v>2998</v>
      </c>
      <c r="F1255" t="s">
        <v>3021</v>
      </c>
      <c r="G1255">
        <v>3</v>
      </c>
      <c r="H1255">
        <v>583082</v>
      </c>
      <c r="I1255">
        <v>370373</v>
      </c>
      <c r="J1255">
        <v>10.49</v>
      </c>
      <c r="K1255">
        <v>12</v>
      </c>
      <c r="L1255" t="s">
        <v>3046</v>
      </c>
      <c r="M1255">
        <v>457</v>
      </c>
      <c r="N1255">
        <v>0</v>
      </c>
      <c r="O1255" t="s">
        <v>3052</v>
      </c>
      <c r="P1255" t="s">
        <v>3167</v>
      </c>
      <c r="Q1255">
        <v>0.63519999999999999</v>
      </c>
    </row>
    <row r="1256" spans="1:17" x14ac:dyDescent="0.35">
      <c r="A1256" t="s">
        <v>1253</v>
      </c>
      <c r="B1256" t="s">
        <v>2737</v>
      </c>
      <c r="C1256">
        <v>27</v>
      </c>
      <c r="D1256" t="s">
        <v>2990</v>
      </c>
      <c r="E1256" t="s">
        <v>3003</v>
      </c>
      <c r="F1256" t="s">
        <v>3020</v>
      </c>
      <c r="G1256">
        <v>1</v>
      </c>
      <c r="H1256">
        <v>1256941</v>
      </c>
      <c r="I1256">
        <v>308213</v>
      </c>
      <c r="J1256">
        <v>9.35</v>
      </c>
      <c r="K1256">
        <v>12</v>
      </c>
      <c r="L1256" t="s">
        <v>3051</v>
      </c>
      <c r="M1256">
        <v>411</v>
      </c>
      <c r="N1256">
        <v>7</v>
      </c>
      <c r="O1256" t="s">
        <v>3055</v>
      </c>
      <c r="P1256" t="s">
        <v>3955</v>
      </c>
      <c r="Q1256">
        <v>0.2452</v>
      </c>
    </row>
    <row r="1257" spans="1:17" x14ac:dyDescent="0.35">
      <c r="A1257" t="s">
        <v>1254</v>
      </c>
      <c r="B1257" t="s">
        <v>2738</v>
      </c>
      <c r="C1257">
        <v>30</v>
      </c>
      <c r="D1257" t="s">
        <v>2992</v>
      </c>
      <c r="E1257" t="s">
        <v>3005</v>
      </c>
      <c r="F1257" t="s">
        <v>3021</v>
      </c>
      <c r="G1257">
        <v>11</v>
      </c>
      <c r="H1257">
        <v>1706534</v>
      </c>
      <c r="I1257">
        <v>707490</v>
      </c>
      <c r="J1257">
        <v>25.14</v>
      </c>
      <c r="K1257">
        <v>24</v>
      </c>
      <c r="L1257" t="s">
        <v>3049</v>
      </c>
      <c r="M1257">
        <v>573</v>
      </c>
      <c r="N1257">
        <v>0</v>
      </c>
      <c r="O1257" t="s">
        <v>3057</v>
      </c>
      <c r="P1257" t="s">
        <v>3956</v>
      </c>
      <c r="Q1257">
        <v>0.41460000000000002</v>
      </c>
    </row>
    <row r="1258" spans="1:17" x14ac:dyDescent="0.35">
      <c r="A1258" t="s">
        <v>1255</v>
      </c>
      <c r="B1258" t="s">
        <v>2739</v>
      </c>
      <c r="C1258">
        <v>43</v>
      </c>
      <c r="D1258" t="s">
        <v>2990</v>
      </c>
      <c r="E1258" t="s">
        <v>3005</v>
      </c>
      <c r="F1258" t="s">
        <v>3018</v>
      </c>
      <c r="G1258">
        <v>24</v>
      </c>
      <c r="H1258">
        <v>699165</v>
      </c>
      <c r="I1258">
        <v>718802</v>
      </c>
      <c r="J1258">
        <v>17.510000000000002</v>
      </c>
      <c r="K1258">
        <v>24</v>
      </c>
      <c r="L1258" t="s">
        <v>3047</v>
      </c>
      <c r="M1258">
        <v>369</v>
      </c>
      <c r="N1258">
        <v>6</v>
      </c>
      <c r="O1258" t="s">
        <v>3055</v>
      </c>
      <c r="P1258" t="s">
        <v>3628</v>
      </c>
      <c r="Q1258">
        <v>1.0281</v>
      </c>
    </row>
    <row r="1259" spans="1:17" x14ac:dyDescent="0.35">
      <c r="A1259" t="s">
        <v>1256</v>
      </c>
      <c r="B1259" t="s">
        <v>2740</v>
      </c>
      <c r="C1259">
        <v>37</v>
      </c>
      <c r="D1259" t="s">
        <v>2990</v>
      </c>
      <c r="E1259" t="s">
        <v>2999</v>
      </c>
      <c r="F1259" t="s">
        <v>3021</v>
      </c>
      <c r="G1259">
        <v>28</v>
      </c>
      <c r="H1259">
        <v>1701466</v>
      </c>
      <c r="I1259">
        <v>435466</v>
      </c>
      <c r="J1259">
        <v>15.27</v>
      </c>
      <c r="K1259">
        <v>24</v>
      </c>
      <c r="L1259" t="s">
        <v>3048</v>
      </c>
      <c r="N1259">
        <v>5</v>
      </c>
      <c r="O1259" t="s">
        <v>3055</v>
      </c>
      <c r="P1259" t="s">
        <v>3957</v>
      </c>
      <c r="Q1259">
        <v>0.25590000000000002</v>
      </c>
    </row>
    <row r="1260" spans="1:17" x14ac:dyDescent="0.35">
      <c r="A1260" t="s">
        <v>1257</v>
      </c>
      <c r="B1260" t="s">
        <v>2741</v>
      </c>
      <c r="C1260">
        <v>43</v>
      </c>
      <c r="D1260" t="s">
        <v>2992</v>
      </c>
      <c r="E1260" t="s">
        <v>3004</v>
      </c>
      <c r="F1260" t="s">
        <v>3021</v>
      </c>
      <c r="G1260">
        <v>4</v>
      </c>
      <c r="H1260">
        <v>776387</v>
      </c>
      <c r="I1260">
        <v>731195</v>
      </c>
      <c r="J1260">
        <v>16.149999999999999</v>
      </c>
      <c r="K1260">
        <v>48</v>
      </c>
      <c r="L1260" t="s">
        <v>3051</v>
      </c>
      <c r="M1260">
        <v>626</v>
      </c>
      <c r="N1260">
        <v>0</v>
      </c>
      <c r="O1260" t="s">
        <v>3057</v>
      </c>
      <c r="P1260" t="s">
        <v>3146</v>
      </c>
      <c r="Q1260">
        <v>0.94179999999999997</v>
      </c>
    </row>
    <row r="1261" spans="1:17" x14ac:dyDescent="0.35">
      <c r="A1261" t="s">
        <v>1258</v>
      </c>
      <c r="B1261" t="s">
        <v>2742</v>
      </c>
      <c r="C1261">
        <v>59</v>
      </c>
      <c r="D1261" t="s">
        <v>2992</v>
      </c>
      <c r="E1261" t="s">
        <v>2999</v>
      </c>
      <c r="F1261" t="s">
        <v>3021</v>
      </c>
      <c r="G1261">
        <v>15</v>
      </c>
      <c r="H1261">
        <v>834037</v>
      </c>
      <c r="I1261">
        <v>299067</v>
      </c>
      <c r="J1261">
        <v>23.14</v>
      </c>
      <c r="K1261">
        <v>12</v>
      </c>
      <c r="L1261" t="s">
        <v>3046</v>
      </c>
      <c r="M1261">
        <v>319</v>
      </c>
      <c r="N1261">
        <v>2</v>
      </c>
      <c r="O1261" t="s">
        <v>3056</v>
      </c>
      <c r="P1261" t="s">
        <v>3958</v>
      </c>
      <c r="Q1261">
        <v>0.35859999999999997</v>
      </c>
    </row>
    <row r="1262" spans="1:17" x14ac:dyDescent="0.35">
      <c r="A1262" t="s">
        <v>1259</v>
      </c>
      <c r="B1262" t="s">
        <v>2743</v>
      </c>
      <c r="C1262">
        <v>21</v>
      </c>
      <c r="D1262" t="s">
        <v>2990</v>
      </c>
      <c r="E1262" t="s">
        <v>3005</v>
      </c>
      <c r="F1262" t="s">
        <v>3018</v>
      </c>
      <c r="G1262">
        <v>3</v>
      </c>
      <c r="H1262">
        <v>1793374</v>
      </c>
      <c r="I1262">
        <v>611271</v>
      </c>
      <c r="J1262">
        <v>18.649999999999999</v>
      </c>
      <c r="K1262">
        <v>12</v>
      </c>
      <c r="L1262" t="s">
        <v>3047</v>
      </c>
      <c r="M1262">
        <v>366</v>
      </c>
      <c r="N1262">
        <v>4</v>
      </c>
      <c r="O1262" t="s">
        <v>3055</v>
      </c>
      <c r="P1262" t="s">
        <v>3894</v>
      </c>
      <c r="Q1262">
        <v>0.34079999999999999</v>
      </c>
    </row>
    <row r="1263" spans="1:17" x14ac:dyDescent="0.35">
      <c r="A1263" t="s">
        <v>1260</v>
      </c>
      <c r="B1263" t="s">
        <v>2744</v>
      </c>
      <c r="C1263">
        <v>22</v>
      </c>
      <c r="D1263" t="s">
        <v>2992</v>
      </c>
      <c r="E1263" t="s">
        <v>3007</v>
      </c>
      <c r="F1263" t="s">
        <v>3019</v>
      </c>
      <c r="G1263">
        <v>17</v>
      </c>
      <c r="H1263">
        <v>933704</v>
      </c>
      <c r="I1263">
        <v>309360</v>
      </c>
      <c r="J1263">
        <v>24.05</v>
      </c>
      <c r="K1263">
        <v>48</v>
      </c>
      <c r="L1263" t="s">
        <v>3051</v>
      </c>
      <c r="M1263">
        <v>362</v>
      </c>
      <c r="N1263">
        <v>6</v>
      </c>
      <c r="O1263" t="s">
        <v>3056</v>
      </c>
      <c r="P1263" t="s">
        <v>3959</v>
      </c>
      <c r="Q1263">
        <v>0.33129999999999998</v>
      </c>
    </row>
    <row r="1264" spans="1:17" x14ac:dyDescent="0.35">
      <c r="A1264" t="s">
        <v>1261</v>
      </c>
      <c r="B1264" t="s">
        <v>2745</v>
      </c>
      <c r="C1264">
        <v>22</v>
      </c>
      <c r="D1264" t="s">
        <v>2992</v>
      </c>
      <c r="E1264" t="s">
        <v>3011</v>
      </c>
      <c r="F1264" t="s">
        <v>3021</v>
      </c>
      <c r="G1264">
        <v>0</v>
      </c>
      <c r="H1264">
        <v>1323647</v>
      </c>
      <c r="I1264">
        <v>515654</v>
      </c>
      <c r="J1264">
        <v>11.64</v>
      </c>
      <c r="K1264">
        <v>48</v>
      </c>
      <c r="L1264" t="s">
        <v>3049</v>
      </c>
      <c r="M1264">
        <v>667</v>
      </c>
      <c r="N1264">
        <v>3</v>
      </c>
      <c r="O1264" t="s">
        <v>3057</v>
      </c>
      <c r="P1264" t="s">
        <v>3673</v>
      </c>
      <c r="Q1264">
        <v>0.3896</v>
      </c>
    </row>
    <row r="1265" spans="1:17" x14ac:dyDescent="0.35">
      <c r="A1265" t="s">
        <v>1262</v>
      </c>
      <c r="B1265" t="s">
        <v>2746</v>
      </c>
      <c r="C1265">
        <v>36</v>
      </c>
      <c r="D1265" t="s">
        <v>2992</v>
      </c>
      <c r="E1265" t="s">
        <v>3002</v>
      </c>
      <c r="F1265" t="s">
        <v>3018</v>
      </c>
      <c r="G1265">
        <v>4</v>
      </c>
      <c r="H1265">
        <v>2241774</v>
      </c>
      <c r="I1265">
        <v>283625</v>
      </c>
      <c r="J1265">
        <v>13.05</v>
      </c>
      <c r="K1265">
        <v>60</v>
      </c>
      <c r="L1265" t="s">
        <v>3048</v>
      </c>
      <c r="M1265">
        <v>644</v>
      </c>
      <c r="N1265">
        <v>1</v>
      </c>
      <c r="O1265" t="s">
        <v>3055</v>
      </c>
      <c r="P1265" t="s">
        <v>3960</v>
      </c>
      <c r="Q1265">
        <v>0.1265</v>
      </c>
    </row>
    <row r="1266" spans="1:17" x14ac:dyDescent="0.35">
      <c r="A1266" t="s">
        <v>395</v>
      </c>
      <c r="B1266" t="s">
        <v>1885</v>
      </c>
      <c r="C1266">
        <v>59</v>
      </c>
      <c r="D1266" t="s">
        <v>2992</v>
      </c>
      <c r="E1266" t="s">
        <v>3001</v>
      </c>
      <c r="F1266" t="s">
        <v>3021</v>
      </c>
      <c r="G1266">
        <v>8</v>
      </c>
      <c r="H1266">
        <v>516585</v>
      </c>
      <c r="I1266">
        <v>452995</v>
      </c>
      <c r="J1266">
        <v>17.86</v>
      </c>
      <c r="K1266">
        <v>24</v>
      </c>
      <c r="L1266" t="s">
        <v>3046</v>
      </c>
      <c r="M1266">
        <v>462</v>
      </c>
      <c r="N1266">
        <v>4</v>
      </c>
      <c r="O1266" t="s">
        <v>3056</v>
      </c>
      <c r="P1266" t="s">
        <v>3961</v>
      </c>
      <c r="Q1266">
        <v>0.87690000000000001</v>
      </c>
    </row>
    <row r="1267" spans="1:17" x14ac:dyDescent="0.35">
      <c r="A1267" t="s">
        <v>1263</v>
      </c>
      <c r="B1267" t="s">
        <v>2747</v>
      </c>
      <c r="C1267">
        <v>24</v>
      </c>
      <c r="D1267" t="s">
        <v>2990</v>
      </c>
      <c r="E1267" t="s">
        <v>2999</v>
      </c>
      <c r="F1267" t="s">
        <v>3020</v>
      </c>
      <c r="G1267">
        <v>12</v>
      </c>
      <c r="H1267">
        <v>1863505</v>
      </c>
      <c r="I1267">
        <v>706915</v>
      </c>
      <c r="J1267">
        <v>8.8000000000000007</v>
      </c>
      <c r="K1267">
        <v>36</v>
      </c>
      <c r="L1267" t="s">
        <v>3046</v>
      </c>
      <c r="M1267">
        <v>833</v>
      </c>
      <c r="N1267">
        <v>0</v>
      </c>
      <c r="O1267" t="s">
        <v>3054</v>
      </c>
      <c r="P1267" t="s">
        <v>3962</v>
      </c>
      <c r="Q1267">
        <v>0.37930000000000003</v>
      </c>
    </row>
    <row r="1268" spans="1:17" x14ac:dyDescent="0.35">
      <c r="A1268" t="s">
        <v>1264</v>
      </c>
      <c r="B1268" t="s">
        <v>2748</v>
      </c>
      <c r="C1268">
        <v>32</v>
      </c>
      <c r="D1268" t="s">
        <v>2990</v>
      </c>
      <c r="E1268" t="s">
        <v>3003</v>
      </c>
      <c r="G1268">
        <v>9</v>
      </c>
      <c r="H1268">
        <v>1615177</v>
      </c>
      <c r="I1268">
        <v>732509</v>
      </c>
      <c r="J1268">
        <v>22.94</v>
      </c>
      <c r="K1268">
        <v>24</v>
      </c>
      <c r="L1268" t="s">
        <v>3051</v>
      </c>
      <c r="M1268">
        <v>680</v>
      </c>
      <c r="N1268">
        <v>7</v>
      </c>
      <c r="O1268" t="s">
        <v>3054</v>
      </c>
      <c r="P1268" t="s">
        <v>3963</v>
      </c>
      <c r="Q1268">
        <v>0.45350000000000001</v>
      </c>
    </row>
    <row r="1269" spans="1:17" x14ac:dyDescent="0.35">
      <c r="A1269" t="s">
        <v>1265</v>
      </c>
      <c r="B1269" t="s">
        <v>2749</v>
      </c>
      <c r="C1269">
        <v>27</v>
      </c>
      <c r="D1269" t="s">
        <v>2992</v>
      </c>
      <c r="E1269" t="s">
        <v>3000</v>
      </c>
      <c r="F1269" t="s">
        <v>3020</v>
      </c>
      <c r="G1269">
        <v>5</v>
      </c>
      <c r="H1269">
        <v>582980</v>
      </c>
      <c r="I1269">
        <v>136841</v>
      </c>
      <c r="J1269">
        <v>13.54</v>
      </c>
      <c r="K1269">
        <v>60</v>
      </c>
      <c r="L1269" t="s">
        <v>3049</v>
      </c>
      <c r="N1269">
        <v>4</v>
      </c>
      <c r="O1269" t="s">
        <v>3057</v>
      </c>
      <c r="P1269" t="s">
        <v>3388</v>
      </c>
      <c r="Q1269">
        <v>0.23469999999999999</v>
      </c>
    </row>
    <row r="1270" spans="1:17" x14ac:dyDescent="0.35">
      <c r="A1270" t="s">
        <v>1266</v>
      </c>
      <c r="B1270" t="s">
        <v>2750</v>
      </c>
      <c r="C1270">
        <v>44</v>
      </c>
      <c r="D1270" t="s">
        <v>2990</v>
      </c>
      <c r="E1270" t="s">
        <v>3002</v>
      </c>
      <c r="F1270" t="s">
        <v>3020</v>
      </c>
      <c r="G1270">
        <v>4</v>
      </c>
      <c r="H1270">
        <v>407286</v>
      </c>
      <c r="I1270">
        <v>402736</v>
      </c>
      <c r="J1270">
        <v>15.75</v>
      </c>
      <c r="K1270">
        <v>60</v>
      </c>
      <c r="L1270" t="s">
        <v>3047</v>
      </c>
      <c r="N1270">
        <v>5</v>
      </c>
      <c r="O1270" t="s">
        <v>3056</v>
      </c>
      <c r="P1270" t="s">
        <v>3964</v>
      </c>
      <c r="Q1270">
        <v>0.98880000000000001</v>
      </c>
    </row>
    <row r="1271" spans="1:17" x14ac:dyDescent="0.35">
      <c r="A1271" t="s">
        <v>1267</v>
      </c>
      <c r="B1271" t="s">
        <v>2751</v>
      </c>
      <c r="C1271">
        <v>64</v>
      </c>
      <c r="D1271" t="s">
        <v>2990</v>
      </c>
      <c r="E1271" t="s">
        <v>3000</v>
      </c>
      <c r="F1271" t="s">
        <v>3021</v>
      </c>
      <c r="G1271">
        <v>24</v>
      </c>
      <c r="H1271">
        <v>947524</v>
      </c>
      <c r="I1271">
        <v>268724</v>
      </c>
      <c r="J1271">
        <v>21.82</v>
      </c>
      <c r="K1271">
        <v>12</v>
      </c>
      <c r="L1271" t="s">
        <v>3048</v>
      </c>
      <c r="M1271">
        <v>399</v>
      </c>
      <c r="N1271">
        <v>0</v>
      </c>
      <c r="O1271" t="s">
        <v>3053</v>
      </c>
      <c r="P1271" t="s">
        <v>3854</v>
      </c>
      <c r="Q1271">
        <v>0.28360000000000002</v>
      </c>
    </row>
    <row r="1272" spans="1:17" x14ac:dyDescent="0.35">
      <c r="A1272" t="s">
        <v>1268</v>
      </c>
      <c r="B1272" t="s">
        <v>2752</v>
      </c>
      <c r="C1272">
        <v>46</v>
      </c>
      <c r="D1272" t="s">
        <v>2992</v>
      </c>
      <c r="E1272" t="s">
        <v>3002</v>
      </c>
      <c r="F1272" t="s">
        <v>3020</v>
      </c>
      <c r="G1272">
        <v>11</v>
      </c>
      <c r="H1272">
        <v>1338423</v>
      </c>
      <c r="I1272">
        <v>231509</v>
      </c>
      <c r="J1272">
        <v>8.9</v>
      </c>
      <c r="K1272">
        <v>36</v>
      </c>
      <c r="L1272" t="s">
        <v>3047</v>
      </c>
      <c r="M1272">
        <v>501</v>
      </c>
      <c r="N1272">
        <v>6</v>
      </c>
      <c r="O1272" t="s">
        <v>3055</v>
      </c>
      <c r="P1272" t="s">
        <v>3965</v>
      </c>
      <c r="Q1272">
        <v>0.17299999999999999</v>
      </c>
    </row>
    <row r="1273" spans="1:17" x14ac:dyDescent="0.35">
      <c r="A1273" t="s">
        <v>1269</v>
      </c>
      <c r="B1273" t="s">
        <v>2753</v>
      </c>
      <c r="C1273">
        <v>47</v>
      </c>
      <c r="D1273" t="s">
        <v>2990</v>
      </c>
      <c r="E1273" t="s">
        <v>3005</v>
      </c>
      <c r="F1273" t="s">
        <v>3018</v>
      </c>
      <c r="G1273">
        <v>20</v>
      </c>
      <c r="H1273">
        <v>1423131</v>
      </c>
      <c r="I1273">
        <v>757954</v>
      </c>
      <c r="J1273">
        <v>16.68</v>
      </c>
      <c r="K1273">
        <v>36</v>
      </c>
      <c r="L1273" t="s">
        <v>3051</v>
      </c>
      <c r="M1273">
        <v>481</v>
      </c>
      <c r="N1273">
        <v>6</v>
      </c>
      <c r="O1273" t="s">
        <v>3055</v>
      </c>
      <c r="P1273" t="s">
        <v>3222</v>
      </c>
      <c r="Q1273">
        <v>0.53259999999999996</v>
      </c>
    </row>
    <row r="1274" spans="1:17" x14ac:dyDescent="0.35">
      <c r="A1274" t="s">
        <v>1270</v>
      </c>
      <c r="B1274" t="s">
        <v>2754</v>
      </c>
      <c r="C1274">
        <v>56</v>
      </c>
      <c r="D1274" t="s">
        <v>2992</v>
      </c>
      <c r="E1274" t="s">
        <v>3002</v>
      </c>
      <c r="F1274" t="s">
        <v>3018</v>
      </c>
      <c r="G1274">
        <v>22</v>
      </c>
      <c r="H1274">
        <v>1110491</v>
      </c>
      <c r="I1274">
        <v>484028</v>
      </c>
      <c r="J1274">
        <v>11.41</v>
      </c>
      <c r="K1274">
        <v>60</v>
      </c>
      <c r="L1274" t="s">
        <v>3048</v>
      </c>
      <c r="M1274">
        <v>601</v>
      </c>
      <c r="N1274">
        <v>4</v>
      </c>
      <c r="O1274" t="s">
        <v>3055</v>
      </c>
      <c r="P1274" t="s">
        <v>3966</v>
      </c>
      <c r="Q1274">
        <v>0.43590000000000001</v>
      </c>
    </row>
    <row r="1275" spans="1:17" x14ac:dyDescent="0.35">
      <c r="A1275" t="s">
        <v>1271</v>
      </c>
      <c r="B1275" t="s">
        <v>2755</v>
      </c>
      <c r="C1275">
        <v>50</v>
      </c>
      <c r="D1275" t="s">
        <v>2990</v>
      </c>
      <c r="E1275" t="s">
        <v>3006</v>
      </c>
      <c r="F1275" t="s">
        <v>3020</v>
      </c>
      <c r="G1275">
        <v>11</v>
      </c>
      <c r="H1275">
        <v>2266213</v>
      </c>
      <c r="I1275">
        <v>465376</v>
      </c>
      <c r="J1275">
        <v>24.11</v>
      </c>
      <c r="K1275">
        <v>48</v>
      </c>
      <c r="L1275" t="s">
        <v>3048</v>
      </c>
      <c r="M1275">
        <v>383</v>
      </c>
      <c r="N1275">
        <v>6</v>
      </c>
      <c r="O1275" t="s">
        <v>3052</v>
      </c>
      <c r="P1275" t="s">
        <v>3967</v>
      </c>
      <c r="Q1275">
        <v>0.2054</v>
      </c>
    </row>
    <row r="1276" spans="1:17" x14ac:dyDescent="0.35">
      <c r="A1276" t="s">
        <v>1272</v>
      </c>
      <c r="B1276" t="s">
        <v>2756</v>
      </c>
      <c r="C1276">
        <v>58</v>
      </c>
      <c r="D1276" t="s">
        <v>2990</v>
      </c>
      <c r="E1276" t="s">
        <v>3002</v>
      </c>
      <c r="F1276" t="s">
        <v>3021</v>
      </c>
      <c r="G1276">
        <v>0</v>
      </c>
      <c r="H1276">
        <v>1656402</v>
      </c>
      <c r="I1276">
        <v>759538</v>
      </c>
      <c r="J1276">
        <v>9.3800000000000008</v>
      </c>
      <c r="K1276">
        <v>36</v>
      </c>
      <c r="L1276" t="s">
        <v>3049</v>
      </c>
      <c r="M1276">
        <v>716</v>
      </c>
      <c r="N1276">
        <v>0</v>
      </c>
      <c r="O1276" t="s">
        <v>3053</v>
      </c>
      <c r="P1276" t="s">
        <v>3639</v>
      </c>
      <c r="Q1276">
        <v>0.45850000000000002</v>
      </c>
    </row>
    <row r="1277" spans="1:17" x14ac:dyDescent="0.35">
      <c r="A1277" t="s">
        <v>1273</v>
      </c>
      <c r="B1277" t="s">
        <v>2757</v>
      </c>
      <c r="C1277">
        <v>30</v>
      </c>
      <c r="D1277" t="s">
        <v>2992</v>
      </c>
      <c r="E1277" t="s">
        <v>3000</v>
      </c>
      <c r="F1277" t="s">
        <v>3020</v>
      </c>
      <c r="G1277">
        <v>26</v>
      </c>
      <c r="H1277">
        <v>1900856</v>
      </c>
      <c r="I1277">
        <v>90305</v>
      </c>
      <c r="J1277">
        <v>8.51</v>
      </c>
      <c r="K1277">
        <v>36</v>
      </c>
      <c r="L1277" t="s">
        <v>3048</v>
      </c>
      <c r="M1277">
        <v>438</v>
      </c>
      <c r="N1277">
        <v>6</v>
      </c>
      <c r="O1277" t="s">
        <v>3056</v>
      </c>
      <c r="P1277" t="s">
        <v>3687</v>
      </c>
      <c r="Q1277">
        <v>4.7500000000000001E-2</v>
      </c>
    </row>
    <row r="1278" spans="1:17" x14ac:dyDescent="0.35">
      <c r="A1278" t="s">
        <v>1274</v>
      </c>
      <c r="B1278" t="s">
        <v>2758</v>
      </c>
      <c r="C1278">
        <v>58</v>
      </c>
      <c r="D1278" t="s">
        <v>2992</v>
      </c>
      <c r="E1278" t="s">
        <v>3006</v>
      </c>
      <c r="F1278" t="s">
        <v>3020</v>
      </c>
      <c r="G1278">
        <v>12</v>
      </c>
      <c r="H1278">
        <v>594600</v>
      </c>
      <c r="I1278">
        <v>373076</v>
      </c>
      <c r="J1278">
        <v>17.72</v>
      </c>
      <c r="K1278">
        <v>60</v>
      </c>
      <c r="M1278">
        <v>312</v>
      </c>
      <c r="N1278">
        <v>7</v>
      </c>
      <c r="O1278" t="s">
        <v>3053</v>
      </c>
      <c r="P1278" t="s">
        <v>3968</v>
      </c>
      <c r="Q1278">
        <v>0.62739999999999996</v>
      </c>
    </row>
    <row r="1279" spans="1:17" x14ac:dyDescent="0.35">
      <c r="A1279" t="s">
        <v>1275</v>
      </c>
      <c r="B1279" t="s">
        <v>2759</v>
      </c>
      <c r="C1279">
        <v>28</v>
      </c>
      <c r="D1279" t="s">
        <v>2992</v>
      </c>
      <c r="E1279" t="s">
        <v>3003</v>
      </c>
      <c r="F1279" t="s">
        <v>3019</v>
      </c>
      <c r="G1279">
        <v>28</v>
      </c>
      <c r="H1279">
        <v>624191</v>
      </c>
      <c r="I1279">
        <v>387570</v>
      </c>
      <c r="J1279">
        <v>14.9</v>
      </c>
      <c r="K1279">
        <v>60</v>
      </c>
      <c r="L1279" t="s">
        <v>3047</v>
      </c>
      <c r="M1279">
        <v>591</v>
      </c>
      <c r="N1279">
        <v>7</v>
      </c>
      <c r="O1279" t="s">
        <v>3053</v>
      </c>
      <c r="P1279" t="s">
        <v>3319</v>
      </c>
      <c r="Q1279">
        <v>0.62090000000000001</v>
      </c>
    </row>
    <row r="1280" spans="1:17" x14ac:dyDescent="0.35">
      <c r="A1280" t="s">
        <v>1276</v>
      </c>
      <c r="B1280" t="s">
        <v>2760</v>
      </c>
      <c r="C1280">
        <v>44</v>
      </c>
      <c r="D1280" t="s">
        <v>2990</v>
      </c>
      <c r="E1280" t="s">
        <v>3007</v>
      </c>
      <c r="F1280" t="s">
        <v>3021</v>
      </c>
      <c r="G1280">
        <v>14</v>
      </c>
      <c r="H1280">
        <v>1247609</v>
      </c>
      <c r="I1280">
        <v>420826</v>
      </c>
      <c r="J1280">
        <v>22.57</v>
      </c>
      <c r="K1280">
        <v>24</v>
      </c>
      <c r="L1280" t="s">
        <v>3050</v>
      </c>
      <c r="M1280">
        <v>742</v>
      </c>
      <c r="N1280">
        <v>7</v>
      </c>
      <c r="O1280" t="s">
        <v>3057</v>
      </c>
      <c r="P1280" t="s">
        <v>3969</v>
      </c>
      <c r="Q1280">
        <v>0.33729999999999999</v>
      </c>
    </row>
    <row r="1281" spans="1:17" x14ac:dyDescent="0.35">
      <c r="A1281" t="s">
        <v>1277</v>
      </c>
      <c r="B1281" t="s">
        <v>2761</v>
      </c>
      <c r="C1281">
        <v>39</v>
      </c>
      <c r="D1281" t="s">
        <v>2990</v>
      </c>
      <c r="E1281" t="s">
        <v>2999</v>
      </c>
      <c r="F1281" t="s">
        <v>3019</v>
      </c>
      <c r="G1281">
        <v>25</v>
      </c>
      <c r="H1281">
        <v>1344795</v>
      </c>
      <c r="I1281">
        <v>474151</v>
      </c>
      <c r="J1281">
        <v>14.98</v>
      </c>
      <c r="K1281">
        <v>48</v>
      </c>
      <c r="L1281" t="s">
        <v>3051</v>
      </c>
      <c r="M1281">
        <v>785</v>
      </c>
      <c r="N1281">
        <v>7</v>
      </c>
      <c r="O1281" t="s">
        <v>3053</v>
      </c>
      <c r="P1281" t="s">
        <v>3839</v>
      </c>
      <c r="Q1281">
        <v>0.35260000000000002</v>
      </c>
    </row>
    <row r="1282" spans="1:17" x14ac:dyDescent="0.35">
      <c r="A1282" t="s">
        <v>1278</v>
      </c>
      <c r="B1282" t="s">
        <v>2762</v>
      </c>
      <c r="C1282">
        <v>54</v>
      </c>
      <c r="D1282" t="s">
        <v>2992</v>
      </c>
      <c r="E1282" t="s">
        <v>3003</v>
      </c>
      <c r="F1282" t="s">
        <v>3019</v>
      </c>
      <c r="G1282">
        <v>23</v>
      </c>
      <c r="H1282">
        <v>2080341</v>
      </c>
      <c r="I1282">
        <v>342959</v>
      </c>
      <c r="J1282">
        <v>15.54</v>
      </c>
      <c r="K1282">
        <v>12</v>
      </c>
      <c r="L1282" t="s">
        <v>3047</v>
      </c>
      <c r="M1282">
        <v>366</v>
      </c>
      <c r="N1282">
        <v>5</v>
      </c>
      <c r="O1282" t="s">
        <v>3054</v>
      </c>
      <c r="P1282" t="s">
        <v>3970</v>
      </c>
      <c r="Q1282">
        <v>0.16489999999999999</v>
      </c>
    </row>
    <row r="1283" spans="1:17" x14ac:dyDescent="0.35">
      <c r="A1283" t="s">
        <v>1279</v>
      </c>
      <c r="B1283" t="s">
        <v>2763</v>
      </c>
      <c r="C1283">
        <v>53</v>
      </c>
      <c r="D1283" t="s">
        <v>2992</v>
      </c>
      <c r="E1283" t="s">
        <v>2999</v>
      </c>
      <c r="F1283" t="s">
        <v>3021</v>
      </c>
      <c r="G1283">
        <v>9</v>
      </c>
      <c r="H1283">
        <v>951148</v>
      </c>
      <c r="I1283">
        <v>702416</v>
      </c>
      <c r="J1283">
        <v>16.579999999999998</v>
      </c>
      <c r="K1283">
        <v>36</v>
      </c>
      <c r="L1283" t="s">
        <v>3049</v>
      </c>
      <c r="M1283">
        <v>510</v>
      </c>
      <c r="N1283">
        <v>3</v>
      </c>
      <c r="O1283" t="s">
        <v>3055</v>
      </c>
      <c r="P1283" t="s">
        <v>3916</v>
      </c>
      <c r="Q1283">
        <v>0.73850000000000005</v>
      </c>
    </row>
    <row r="1284" spans="1:17" x14ac:dyDescent="0.35">
      <c r="A1284" t="s">
        <v>1280</v>
      </c>
      <c r="B1284" t="s">
        <v>2764</v>
      </c>
      <c r="C1284">
        <v>26</v>
      </c>
      <c r="D1284" t="s">
        <v>2990</v>
      </c>
      <c r="E1284" t="s">
        <v>3000</v>
      </c>
      <c r="F1284" t="s">
        <v>3018</v>
      </c>
      <c r="G1284">
        <v>8</v>
      </c>
      <c r="H1284">
        <v>1547223</v>
      </c>
      <c r="I1284">
        <v>321014</v>
      </c>
      <c r="J1284">
        <v>26.94</v>
      </c>
      <c r="K1284">
        <v>24</v>
      </c>
      <c r="L1284" t="s">
        <v>3049</v>
      </c>
      <c r="M1284">
        <v>819</v>
      </c>
      <c r="N1284">
        <v>6</v>
      </c>
      <c r="O1284" t="s">
        <v>3055</v>
      </c>
      <c r="P1284" t="s">
        <v>3241</v>
      </c>
      <c r="Q1284">
        <v>0.20749999999999999</v>
      </c>
    </row>
    <row r="1285" spans="1:17" x14ac:dyDescent="0.35">
      <c r="A1285" t="s">
        <v>1281</v>
      </c>
      <c r="B1285" t="s">
        <v>2765</v>
      </c>
      <c r="C1285">
        <v>43</v>
      </c>
      <c r="D1285" t="s">
        <v>2992</v>
      </c>
      <c r="E1285" t="s">
        <v>2998</v>
      </c>
      <c r="F1285" t="s">
        <v>3021</v>
      </c>
      <c r="G1285">
        <v>18</v>
      </c>
      <c r="H1285">
        <v>1049807</v>
      </c>
      <c r="I1285">
        <v>124927</v>
      </c>
      <c r="J1285">
        <v>23.39</v>
      </c>
      <c r="K1285">
        <v>60</v>
      </c>
      <c r="L1285" t="s">
        <v>3047</v>
      </c>
      <c r="M1285">
        <v>322</v>
      </c>
      <c r="N1285">
        <v>1</v>
      </c>
      <c r="O1285" t="s">
        <v>3056</v>
      </c>
      <c r="P1285" t="s">
        <v>3458</v>
      </c>
      <c r="Q1285">
        <v>0.11899999999999999</v>
      </c>
    </row>
    <row r="1286" spans="1:17" x14ac:dyDescent="0.35">
      <c r="A1286" t="s">
        <v>1282</v>
      </c>
      <c r="B1286" t="s">
        <v>2766</v>
      </c>
      <c r="C1286">
        <v>29</v>
      </c>
      <c r="D1286" t="s">
        <v>2992</v>
      </c>
      <c r="E1286" t="s">
        <v>3001</v>
      </c>
      <c r="F1286" t="s">
        <v>3019</v>
      </c>
      <c r="G1286">
        <v>20</v>
      </c>
      <c r="H1286">
        <v>573574</v>
      </c>
      <c r="I1286">
        <v>544006</v>
      </c>
      <c r="J1286">
        <v>17.5</v>
      </c>
      <c r="K1286">
        <v>12</v>
      </c>
      <c r="L1286" t="s">
        <v>3047</v>
      </c>
      <c r="M1286">
        <v>619</v>
      </c>
      <c r="N1286">
        <v>2</v>
      </c>
      <c r="O1286" t="s">
        <v>3055</v>
      </c>
      <c r="P1286" t="s">
        <v>3523</v>
      </c>
      <c r="Q1286">
        <v>0.94840000000000002</v>
      </c>
    </row>
    <row r="1287" spans="1:17" x14ac:dyDescent="0.35">
      <c r="A1287" t="s">
        <v>1283</v>
      </c>
      <c r="B1287" t="s">
        <v>2767</v>
      </c>
      <c r="C1287">
        <v>55</v>
      </c>
      <c r="D1287" t="s">
        <v>2992</v>
      </c>
      <c r="E1287" t="s">
        <v>3007</v>
      </c>
      <c r="F1287" t="s">
        <v>3020</v>
      </c>
      <c r="G1287">
        <v>7</v>
      </c>
      <c r="H1287">
        <v>1682337</v>
      </c>
      <c r="I1287">
        <v>287986</v>
      </c>
      <c r="J1287">
        <v>8.6</v>
      </c>
      <c r="K1287">
        <v>24</v>
      </c>
      <c r="L1287" t="s">
        <v>3049</v>
      </c>
      <c r="M1287">
        <v>644</v>
      </c>
      <c r="N1287">
        <v>5</v>
      </c>
      <c r="O1287" t="s">
        <v>3053</v>
      </c>
      <c r="P1287" t="s">
        <v>3971</v>
      </c>
      <c r="Q1287">
        <v>0.17119999999999999</v>
      </c>
    </row>
    <row r="1288" spans="1:17" x14ac:dyDescent="0.35">
      <c r="A1288" t="s">
        <v>1069</v>
      </c>
      <c r="B1288" t="s">
        <v>1849</v>
      </c>
      <c r="C1288">
        <v>46</v>
      </c>
      <c r="D1288" t="s">
        <v>2990</v>
      </c>
      <c r="E1288" t="s">
        <v>3005</v>
      </c>
      <c r="F1288" t="s">
        <v>3018</v>
      </c>
      <c r="G1288">
        <v>7</v>
      </c>
      <c r="I1288">
        <v>596201</v>
      </c>
      <c r="J1288" t="s">
        <v>3037</v>
      </c>
      <c r="K1288">
        <v>48</v>
      </c>
      <c r="L1288" t="s">
        <v>3047</v>
      </c>
      <c r="M1288">
        <v>352</v>
      </c>
      <c r="N1288">
        <v>2</v>
      </c>
      <c r="O1288" t="s">
        <v>3057</v>
      </c>
      <c r="P1288" t="s">
        <v>3872</v>
      </c>
      <c r="Q1288">
        <v>0.66290000000000004</v>
      </c>
    </row>
    <row r="1289" spans="1:17" x14ac:dyDescent="0.35">
      <c r="A1289" t="s">
        <v>1284</v>
      </c>
      <c r="B1289" t="s">
        <v>2768</v>
      </c>
      <c r="C1289">
        <v>25</v>
      </c>
      <c r="D1289" t="s">
        <v>2991</v>
      </c>
      <c r="E1289" t="s">
        <v>2998</v>
      </c>
      <c r="F1289" t="s">
        <v>3020</v>
      </c>
      <c r="G1289">
        <v>20</v>
      </c>
      <c r="H1289">
        <v>1598897</v>
      </c>
      <c r="I1289">
        <v>360676</v>
      </c>
      <c r="J1289">
        <v>12.81</v>
      </c>
      <c r="K1289">
        <v>48</v>
      </c>
      <c r="L1289" t="s">
        <v>3051</v>
      </c>
      <c r="M1289">
        <v>591</v>
      </c>
      <c r="N1289">
        <v>6</v>
      </c>
      <c r="O1289" t="s">
        <v>3052</v>
      </c>
      <c r="P1289" t="s">
        <v>3401</v>
      </c>
      <c r="Q1289">
        <v>0.22559999999999999</v>
      </c>
    </row>
    <row r="1290" spans="1:17" x14ac:dyDescent="0.35">
      <c r="A1290" t="s">
        <v>1285</v>
      </c>
      <c r="B1290" t="s">
        <v>2769</v>
      </c>
      <c r="C1290">
        <v>23</v>
      </c>
      <c r="D1290" t="s">
        <v>2992</v>
      </c>
      <c r="E1290" t="s">
        <v>3000</v>
      </c>
      <c r="F1290" t="s">
        <v>3018</v>
      </c>
      <c r="G1290">
        <v>26</v>
      </c>
      <c r="H1290">
        <v>1985808</v>
      </c>
      <c r="I1290">
        <v>587597</v>
      </c>
      <c r="J1290">
        <v>16.57</v>
      </c>
      <c r="K1290">
        <v>36</v>
      </c>
      <c r="L1290" t="s">
        <v>3051</v>
      </c>
      <c r="N1290">
        <v>0</v>
      </c>
      <c r="O1290" t="s">
        <v>3057</v>
      </c>
      <c r="P1290" t="s">
        <v>3972</v>
      </c>
      <c r="Q1290">
        <v>0.2959</v>
      </c>
    </row>
    <row r="1291" spans="1:17" x14ac:dyDescent="0.35">
      <c r="A1291" t="s">
        <v>1286</v>
      </c>
      <c r="B1291" t="s">
        <v>2770</v>
      </c>
      <c r="C1291">
        <v>130</v>
      </c>
      <c r="D1291" t="s">
        <v>2992</v>
      </c>
      <c r="E1291" t="s">
        <v>3000</v>
      </c>
      <c r="F1291" t="s">
        <v>3019</v>
      </c>
      <c r="G1291">
        <v>0</v>
      </c>
      <c r="H1291">
        <v>1437008</v>
      </c>
      <c r="I1291">
        <v>32360</v>
      </c>
      <c r="J1291">
        <v>15.62</v>
      </c>
      <c r="K1291">
        <v>60</v>
      </c>
      <c r="M1291">
        <v>762</v>
      </c>
      <c r="N1291">
        <v>5</v>
      </c>
      <c r="O1291" t="s">
        <v>3053</v>
      </c>
      <c r="P1291" t="s">
        <v>3973</v>
      </c>
      <c r="Q1291">
        <v>2.2499999999999999E-2</v>
      </c>
    </row>
    <row r="1292" spans="1:17" x14ac:dyDescent="0.35">
      <c r="A1292" t="s">
        <v>1287</v>
      </c>
      <c r="B1292" t="s">
        <v>2771</v>
      </c>
      <c r="C1292">
        <v>49</v>
      </c>
      <c r="D1292" t="s">
        <v>2992</v>
      </c>
      <c r="E1292" t="s">
        <v>3007</v>
      </c>
      <c r="F1292" t="s">
        <v>3018</v>
      </c>
      <c r="G1292">
        <v>10</v>
      </c>
      <c r="H1292">
        <v>2082912</v>
      </c>
      <c r="I1292">
        <v>408227</v>
      </c>
      <c r="J1292">
        <v>16.760000000000002</v>
      </c>
      <c r="K1292">
        <v>36</v>
      </c>
      <c r="L1292" t="s">
        <v>3048</v>
      </c>
      <c r="M1292">
        <v>748</v>
      </c>
      <c r="N1292">
        <v>6</v>
      </c>
      <c r="O1292" t="s">
        <v>3053</v>
      </c>
      <c r="P1292" t="s">
        <v>3509</v>
      </c>
      <c r="Q1292">
        <v>0.19600000000000001</v>
      </c>
    </row>
    <row r="1293" spans="1:17" x14ac:dyDescent="0.35">
      <c r="A1293" t="s">
        <v>1288</v>
      </c>
      <c r="B1293" t="s">
        <v>2772</v>
      </c>
      <c r="C1293">
        <v>22</v>
      </c>
      <c r="D1293" t="s">
        <v>2990</v>
      </c>
      <c r="E1293" t="s">
        <v>3007</v>
      </c>
      <c r="F1293" t="s">
        <v>3020</v>
      </c>
      <c r="G1293">
        <v>15</v>
      </c>
      <c r="H1293">
        <v>340381</v>
      </c>
      <c r="I1293">
        <v>22187</v>
      </c>
      <c r="J1293">
        <v>16.38</v>
      </c>
      <c r="K1293">
        <v>60</v>
      </c>
      <c r="L1293" t="s">
        <v>3051</v>
      </c>
      <c r="M1293">
        <v>848</v>
      </c>
      <c r="N1293">
        <v>1</v>
      </c>
      <c r="O1293" t="s">
        <v>3055</v>
      </c>
      <c r="P1293" t="s">
        <v>3974</v>
      </c>
      <c r="Q1293">
        <v>6.5199999999999994E-2</v>
      </c>
    </row>
    <row r="1294" spans="1:17" x14ac:dyDescent="0.35">
      <c r="A1294" t="s">
        <v>1289</v>
      </c>
      <c r="B1294" t="s">
        <v>2773</v>
      </c>
      <c r="C1294">
        <v>39</v>
      </c>
      <c r="D1294" t="s">
        <v>2990</v>
      </c>
      <c r="E1294" t="s">
        <v>3006</v>
      </c>
      <c r="F1294" t="s">
        <v>3019</v>
      </c>
      <c r="G1294">
        <v>9</v>
      </c>
      <c r="H1294">
        <v>1144163</v>
      </c>
      <c r="I1294">
        <v>459030</v>
      </c>
      <c r="J1294">
        <v>16.86</v>
      </c>
      <c r="K1294">
        <v>12</v>
      </c>
      <c r="L1294" t="s">
        <v>3049</v>
      </c>
      <c r="M1294">
        <v>575</v>
      </c>
      <c r="N1294">
        <v>5</v>
      </c>
      <c r="O1294" t="s">
        <v>3056</v>
      </c>
      <c r="P1294" t="s">
        <v>3092</v>
      </c>
      <c r="Q1294">
        <v>0.4012</v>
      </c>
    </row>
    <row r="1295" spans="1:17" x14ac:dyDescent="0.35">
      <c r="A1295" t="s">
        <v>1290</v>
      </c>
      <c r="B1295" t="s">
        <v>2774</v>
      </c>
      <c r="C1295">
        <v>60</v>
      </c>
      <c r="D1295" t="s">
        <v>2992</v>
      </c>
      <c r="E1295" t="s">
        <v>3004</v>
      </c>
      <c r="F1295" t="s">
        <v>3021</v>
      </c>
      <c r="G1295">
        <v>14</v>
      </c>
      <c r="H1295">
        <v>1906199</v>
      </c>
      <c r="I1295">
        <v>424015</v>
      </c>
      <c r="J1295">
        <v>22.9</v>
      </c>
      <c r="K1295">
        <v>48</v>
      </c>
      <c r="L1295" t="s">
        <v>3050</v>
      </c>
      <c r="M1295">
        <v>560</v>
      </c>
      <c r="N1295">
        <v>6</v>
      </c>
      <c r="O1295" t="s">
        <v>3057</v>
      </c>
      <c r="P1295" t="s">
        <v>3761</v>
      </c>
      <c r="Q1295">
        <v>0.22239999999999999</v>
      </c>
    </row>
    <row r="1296" spans="1:17" x14ac:dyDescent="0.35">
      <c r="A1296" t="s">
        <v>1291</v>
      </c>
      <c r="B1296" t="s">
        <v>2775</v>
      </c>
      <c r="C1296">
        <v>44</v>
      </c>
      <c r="D1296" t="s">
        <v>2992</v>
      </c>
      <c r="E1296" t="s">
        <v>3001</v>
      </c>
      <c r="F1296" t="s">
        <v>3018</v>
      </c>
      <c r="G1296">
        <v>14</v>
      </c>
      <c r="H1296">
        <v>1680134</v>
      </c>
      <c r="I1296">
        <v>438554</v>
      </c>
      <c r="J1296">
        <v>11.06</v>
      </c>
      <c r="K1296">
        <v>48</v>
      </c>
      <c r="L1296" t="s">
        <v>3048</v>
      </c>
      <c r="M1296">
        <v>332</v>
      </c>
      <c r="N1296">
        <v>5</v>
      </c>
      <c r="O1296" t="s">
        <v>3052</v>
      </c>
      <c r="P1296" t="s">
        <v>3975</v>
      </c>
      <c r="Q1296">
        <v>0.26100000000000001</v>
      </c>
    </row>
    <row r="1297" spans="1:17" x14ac:dyDescent="0.35">
      <c r="A1297" t="s">
        <v>1292</v>
      </c>
      <c r="B1297" t="s">
        <v>2776</v>
      </c>
      <c r="C1297">
        <v>24</v>
      </c>
      <c r="D1297" t="s">
        <v>2990</v>
      </c>
      <c r="E1297" t="s">
        <v>3001</v>
      </c>
      <c r="F1297" t="s">
        <v>3019</v>
      </c>
      <c r="G1297">
        <v>0</v>
      </c>
      <c r="H1297">
        <v>2016185</v>
      </c>
      <c r="I1297">
        <v>695673</v>
      </c>
      <c r="J1297">
        <v>23.05</v>
      </c>
      <c r="K1297">
        <v>60</v>
      </c>
      <c r="L1297" t="s">
        <v>3049</v>
      </c>
      <c r="M1297">
        <v>622</v>
      </c>
      <c r="N1297">
        <v>1</v>
      </c>
      <c r="O1297" t="s">
        <v>3055</v>
      </c>
      <c r="P1297" t="s">
        <v>3976</v>
      </c>
      <c r="Q1297">
        <v>0.34499999999999997</v>
      </c>
    </row>
    <row r="1298" spans="1:17" x14ac:dyDescent="0.35">
      <c r="A1298" t="s">
        <v>1293</v>
      </c>
      <c r="B1298" t="s">
        <v>2777</v>
      </c>
      <c r="C1298">
        <v>49</v>
      </c>
      <c r="D1298" t="s">
        <v>2990</v>
      </c>
      <c r="E1298" t="s">
        <v>3001</v>
      </c>
      <c r="F1298" t="s">
        <v>3018</v>
      </c>
      <c r="G1298">
        <v>18</v>
      </c>
      <c r="H1298">
        <v>880336</v>
      </c>
      <c r="I1298">
        <v>409770</v>
      </c>
      <c r="J1298">
        <v>24.52</v>
      </c>
      <c r="K1298">
        <v>36</v>
      </c>
      <c r="L1298" t="s">
        <v>3049</v>
      </c>
      <c r="M1298">
        <v>323</v>
      </c>
      <c r="N1298">
        <v>4</v>
      </c>
      <c r="O1298" t="s">
        <v>3057</v>
      </c>
      <c r="P1298" t="s">
        <v>3117</v>
      </c>
      <c r="Q1298">
        <v>0.46550000000000002</v>
      </c>
    </row>
    <row r="1299" spans="1:17" x14ac:dyDescent="0.35">
      <c r="A1299" t="s">
        <v>1294</v>
      </c>
      <c r="B1299" t="s">
        <v>2778</v>
      </c>
      <c r="C1299">
        <v>40</v>
      </c>
      <c r="D1299" t="s">
        <v>2990</v>
      </c>
      <c r="E1299" t="s">
        <v>3007</v>
      </c>
      <c r="F1299" t="s">
        <v>3021</v>
      </c>
      <c r="G1299">
        <v>14</v>
      </c>
      <c r="H1299">
        <v>2379391</v>
      </c>
      <c r="I1299">
        <v>589829</v>
      </c>
      <c r="J1299">
        <v>10.43</v>
      </c>
      <c r="K1299">
        <v>60</v>
      </c>
      <c r="L1299" t="s">
        <v>3047</v>
      </c>
      <c r="M1299">
        <v>355</v>
      </c>
      <c r="N1299">
        <v>6</v>
      </c>
      <c r="O1299" t="s">
        <v>3054</v>
      </c>
      <c r="P1299" t="s">
        <v>3297</v>
      </c>
      <c r="Q1299">
        <v>0.24790000000000001</v>
      </c>
    </row>
    <row r="1300" spans="1:17" x14ac:dyDescent="0.35">
      <c r="A1300" t="s">
        <v>1295</v>
      </c>
      <c r="B1300" t="s">
        <v>2779</v>
      </c>
      <c r="C1300">
        <v>32</v>
      </c>
      <c r="D1300" t="s">
        <v>2990</v>
      </c>
      <c r="E1300" t="s">
        <v>3004</v>
      </c>
      <c r="G1300">
        <v>27</v>
      </c>
      <c r="H1300">
        <v>2209450</v>
      </c>
      <c r="I1300">
        <v>309192</v>
      </c>
      <c r="J1300">
        <v>27.05</v>
      </c>
      <c r="K1300">
        <v>60</v>
      </c>
      <c r="L1300" t="s">
        <v>3048</v>
      </c>
      <c r="M1300">
        <v>466</v>
      </c>
      <c r="N1300">
        <v>1</v>
      </c>
      <c r="O1300" t="s">
        <v>3056</v>
      </c>
      <c r="P1300" t="s">
        <v>3277</v>
      </c>
      <c r="Q1300">
        <v>0.1399</v>
      </c>
    </row>
    <row r="1301" spans="1:17" x14ac:dyDescent="0.35">
      <c r="A1301" t="s">
        <v>1296</v>
      </c>
      <c r="B1301" t="s">
        <v>2780</v>
      </c>
      <c r="C1301">
        <v>36</v>
      </c>
      <c r="D1301" t="s">
        <v>2990</v>
      </c>
      <c r="E1301" t="s">
        <v>3007</v>
      </c>
      <c r="F1301" t="s">
        <v>3018</v>
      </c>
      <c r="G1301">
        <v>8</v>
      </c>
      <c r="H1301">
        <v>1516737</v>
      </c>
      <c r="I1301">
        <v>473830</v>
      </c>
      <c r="J1301">
        <v>9.3699999999999992</v>
      </c>
      <c r="K1301">
        <v>12</v>
      </c>
      <c r="L1301" t="s">
        <v>3049</v>
      </c>
      <c r="M1301">
        <v>746</v>
      </c>
      <c r="N1301">
        <v>3</v>
      </c>
      <c r="O1301" t="s">
        <v>3055</v>
      </c>
      <c r="P1301" t="s">
        <v>3148</v>
      </c>
      <c r="Q1301">
        <v>0.31240000000000001</v>
      </c>
    </row>
    <row r="1302" spans="1:17" x14ac:dyDescent="0.35">
      <c r="A1302" t="s">
        <v>1297</v>
      </c>
      <c r="B1302" t="s">
        <v>1777</v>
      </c>
      <c r="C1302">
        <v>60</v>
      </c>
      <c r="D1302" t="s">
        <v>2990</v>
      </c>
      <c r="E1302" t="s">
        <v>3003</v>
      </c>
      <c r="F1302" t="s">
        <v>3018</v>
      </c>
      <c r="G1302">
        <v>23</v>
      </c>
      <c r="H1302">
        <v>645757</v>
      </c>
      <c r="I1302">
        <v>643222</v>
      </c>
      <c r="J1302">
        <v>14.07</v>
      </c>
      <c r="K1302">
        <v>24</v>
      </c>
      <c r="L1302" t="s">
        <v>3047</v>
      </c>
      <c r="M1302">
        <v>348</v>
      </c>
      <c r="N1302">
        <v>2</v>
      </c>
      <c r="O1302" t="s">
        <v>3057</v>
      </c>
      <c r="P1302" t="s">
        <v>3977</v>
      </c>
      <c r="Q1302">
        <v>0.99609999999999999</v>
      </c>
    </row>
    <row r="1303" spans="1:17" x14ac:dyDescent="0.35">
      <c r="A1303" t="s">
        <v>1298</v>
      </c>
      <c r="B1303" t="s">
        <v>2781</v>
      </c>
      <c r="C1303">
        <v>49</v>
      </c>
      <c r="D1303" t="s">
        <v>2990</v>
      </c>
      <c r="E1303" t="s">
        <v>2999</v>
      </c>
      <c r="F1303" t="s">
        <v>3020</v>
      </c>
      <c r="G1303">
        <v>3</v>
      </c>
      <c r="H1303">
        <v>1146920</v>
      </c>
      <c r="I1303">
        <v>215623</v>
      </c>
      <c r="J1303">
        <v>10.210000000000001</v>
      </c>
      <c r="K1303">
        <v>12</v>
      </c>
      <c r="L1303" t="s">
        <v>3050</v>
      </c>
      <c r="M1303">
        <v>848</v>
      </c>
      <c r="N1303">
        <v>1</v>
      </c>
      <c r="O1303" t="s">
        <v>3056</v>
      </c>
      <c r="P1303" t="s">
        <v>3978</v>
      </c>
      <c r="Q1303">
        <v>0.188</v>
      </c>
    </row>
    <row r="1304" spans="1:17" x14ac:dyDescent="0.35">
      <c r="A1304" t="s">
        <v>1299</v>
      </c>
      <c r="B1304" t="s">
        <v>2782</v>
      </c>
      <c r="C1304">
        <v>59</v>
      </c>
      <c r="D1304" t="s">
        <v>2990</v>
      </c>
      <c r="E1304" t="s">
        <v>3004</v>
      </c>
      <c r="F1304" t="s">
        <v>3019</v>
      </c>
      <c r="G1304">
        <v>24</v>
      </c>
      <c r="H1304">
        <v>727993</v>
      </c>
      <c r="I1304">
        <v>373973</v>
      </c>
      <c r="J1304">
        <v>24.61</v>
      </c>
      <c r="K1304">
        <v>60</v>
      </c>
      <c r="L1304" t="s">
        <v>3048</v>
      </c>
      <c r="M1304">
        <v>569</v>
      </c>
      <c r="N1304">
        <v>2</v>
      </c>
      <c r="O1304" t="s">
        <v>3056</v>
      </c>
      <c r="P1304" t="s">
        <v>3979</v>
      </c>
      <c r="Q1304">
        <v>0.51370000000000005</v>
      </c>
    </row>
    <row r="1305" spans="1:17" x14ac:dyDescent="0.35">
      <c r="A1305" t="s">
        <v>1300</v>
      </c>
      <c r="B1305" t="s">
        <v>2783</v>
      </c>
      <c r="C1305">
        <v>63</v>
      </c>
      <c r="D1305" t="s">
        <v>2990</v>
      </c>
      <c r="E1305" t="s">
        <v>3007</v>
      </c>
      <c r="F1305" t="s">
        <v>3021</v>
      </c>
      <c r="G1305">
        <v>22</v>
      </c>
      <c r="H1305">
        <v>517913</v>
      </c>
      <c r="I1305">
        <v>417745</v>
      </c>
      <c r="J1305">
        <v>27.32</v>
      </c>
      <c r="K1305">
        <v>48</v>
      </c>
      <c r="L1305" t="s">
        <v>3050</v>
      </c>
      <c r="M1305">
        <v>341</v>
      </c>
      <c r="N1305">
        <v>0</v>
      </c>
      <c r="O1305" t="s">
        <v>3056</v>
      </c>
      <c r="P1305" t="s">
        <v>3368</v>
      </c>
      <c r="Q1305">
        <v>0.80659999999999998</v>
      </c>
    </row>
    <row r="1306" spans="1:17" x14ac:dyDescent="0.35">
      <c r="A1306" t="s">
        <v>1301</v>
      </c>
      <c r="B1306" t="s">
        <v>2784</v>
      </c>
      <c r="C1306">
        <v>42</v>
      </c>
      <c r="D1306" t="s">
        <v>2990</v>
      </c>
      <c r="E1306" t="s">
        <v>3002</v>
      </c>
      <c r="F1306" t="s">
        <v>3021</v>
      </c>
      <c r="G1306">
        <v>14</v>
      </c>
      <c r="H1306">
        <v>2381044</v>
      </c>
      <c r="I1306">
        <v>431473</v>
      </c>
      <c r="J1306">
        <v>12.49</v>
      </c>
      <c r="K1306">
        <v>48</v>
      </c>
      <c r="L1306" t="s">
        <v>3051</v>
      </c>
      <c r="M1306">
        <v>520</v>
      </c>
      <c r="N1306">
        <v>1</v>
      </c>
      <c r="O1306" t="s">
        <v>3054</v>
      </c>
      <c r="P1306" t="s">
        <v>3980</v>
      </c>
      <c r="Q1306">
        <v>0.1812</v>
      </c>
    </row>
    <row r="1307" spans="1:17" x14ac:dyDescent="0.35">
      <c r="A1307" t="s">
        <v>1302</v>
      </c>
      <c r="B1307" t="s">
        <v>2785</v>
      </c>
      <c r="C1307">
        <v>36</v>
      </c>
      <c r="D1307" t="s">
        <v>2992</v>
      </c>
      <c r="E1307" t="s">
        <v>3005</v>
      </c>
      <c r="F1307" t="s">
        <v>3018</v>
      </c>
      <c r="G1307">
        <v>10</v>
      </c>
      <c r="H1307">
        <v>2045690</v>
      </c>
      <c r="I1307">
        <v>377246</v>
      </c>
      <c r="J1307">
        <v>8</v>
      </c>
      <c r="K1307">
        <v>24</v>
      </c>
      <c r="L1307" t="s">
        <v>3050</v>
      </c>
      <c r="M1307">
        <v>432</v>
      </c>
      <c r="N1307">
        <v>5</v>
      </c>
      <c r="O1307" t="s">
        <v>3052</v>
      </c>
      <c r="P1307" t="s">
        <v>3553</v>
      </c>
      <c r="Q1307">
        <v>0.18440000000000001</v>
      </c>
    </row>
    <row r="1308" spans="1:17" x14ac:dyDescent="0.35">
      <c r="A1308" t="s">
        <v>1303</v>
      </c>
      <c r="B1308" t="s">
        <v>2786</v>
      </c>
      <c r="C1308">
        <v>25</v>
      </c>
      <c r="D1308" t="s">
        <v>2990</v>
      </c>
      <c r="E1308" t="s">
        <v>2998</v>
      </c>
      <c r="F1308" t="s">
        <v>3019</v>
      </c>
      <c r="G1308">
        <v>27</v>
      </c>
      <c r="H1308">
        <v>1549277</v>
      </c>
      <c r="I1308">
        <v>319372</v>
      </c>
      <c r="J1308">
        <v>24.39</v>
      </c>
      <c r="K1308">
        <v>24</v>
      </c>
      <c r="L1308" t="s">
        <v>3051</v>
      </c>
      <c r="M1308">
        <v>800</v>
      </c>
      <c r="N1308">
        <v>6</v>
      </c>
      <c r="O1308" t="s">
        <v>3052</v>
      </c>
      <c r="P1308" t="s">
        <v>3981</v>
      </c>
      <c r="Q1308">
        <v>0.20610000000000001</v>
      </c>
    </row>
    <row r="1309" spans="1:17" x14ac:dyDescent="0.35">
      <c r="A1309" t="s">
        <v>1304</v>
      </c>
      <c r="B1309" t="s">
        <v>2787</v>
      </c>
      <c r="C1309">
        <v>39</v>
      </c>
      <c r="D1309" t="s">
        <v>2990</v>
      </c>
      <c r="E1309" t="s">
        <v>3006</v>
      </c>
      <c r="F1309" t="s">
        <v>3021</v>
      </c>
      <c r="G1309">
        <v>11</v>
      </c>
      <c r="H1309">
        <v>2019903</v>
      </c>
      <c r="I1309">
        <v>763859</v>
      </c>
      <c r="J1309">
        <v>9.89</v>
      </c>
      <c r="K1309">
        <v>12</v>
      </c>
      <c r="L1309" t="s">
        <v>3051</v>
      </c>
      <c r="M1309">
        <v>679</v>
      </c>
      <c r="N1309">
        <v>6</v>
      </c>
      <c r="O1309" t="s">
        <v>3057</v>
      </c>
      <c r="P1309" t="s">
        <v>3486</v>
      </c>
      <c r="Q1309">
        <v>0.37819999999999998</v>
      </c>
    </row>
    <row r="1310" spans="1:17" x14ac:dyDescent="0.35">
      <c r="A1310" t="s">
        <v>1305</v>
      </c>
      <c r="B1310" t="s">
        <v>2788</v>
      </c>
      <c r="C1310">
        <v>55</v>
      </c>
      <c r="D1310" t="s">
        <v>2992</v>
      </c>
      <c r="E1310" t="s">
        <v>3004</v>
      </c>
      <c r="F1310" t="s">
        <v>3019</v>
      </c>
      <c r="G1310">
        <v>27</v>
      </c>
      <c r="H1310">
        <v>1796449</v>
      </c>
      <c r="I1310">
        <v>197241</v>
      </c>
      <c r="J1310">
        <v>19.239999999999998</v>
      </c>
      <c r="K1310">
        <v>12</v>
      </c>
      <c r="L1310" t="s">
        <v>3046</v>
      </c>
      <c r="M1310">
        <v>311</v>
      </c>
      <c r="N1310">
        <v>4</v>
      </c>
      <c r="O1310" t="s">
        <v>3057</v>
      </c>
      <c r="P1310" t="s">
        <v>3148</v>
      </c>
      <c r="Q1310">
        <v>0.10979999999999999</v>
      </c>
    </row>
    <row r="1311" spans="1:17" x14ac:dyDescent="0.35">
      <c r="A1311" t="s">
        <v>1306</v>
      </c>
      <c r="B1311" t="s">
        <v>2789</v>
      </c>
      <c r="C1311">
        <v>31</v>
      </c>
      <c r="D1311" t="s">
        <v>2990</v>
      </c>
      <c r="E1311" t="s">
        <v>3003</v>
      </c>
      <c r="F1311" t="s">
        <v>3018</v>
      </c>
      <c r="G1311">
        <v>18</v>
      </c>
      <c r="H1311">
        <v>1681352</v>
      </c>
      <c r="I1311">
        <v>797567</v>
      </c>
      <c r="J1311">
        <v>19.989999999999998</v>
      </c>
      <c r="K1311">
        <v>36</v>
      </c>
      <c r="L1311" t="s">
        <v>3047</v>
      </c>
      <c r="M1311">
        <v>570</v>
      </c>
      <c r="N1311">
        <v>6</v>
      </c>
      <c r="O1311" t="s">
        <v>3052</v>
      </c>
      <c r="P1311" t="s">
        <v>3617</v>
      </c>
      <c r="Q1311">
        <v>0.47439999999999999</v>
      </c>
    </row>
    <row r="1312" spans="1:17" x14ac:dyDescent="0.35">
      <c r="A1312" t="s">
        <v>1307</v>
      </c>
      <c r="B1312" t="s">
        <v>2790</v>
      </c>
      <c r="C1312">
        <v>28</v>
      </c>
      <c r="D1312" t="s">
        <v>2990</v>
      </c>
      <c r="E1312" t="s">
        <v>3006</v>
      </c>
      <c r="F1312" t="s">
        <v>3021</v>
      </c>
      <c r="G1312">
        <v>6</v>
      </c>
      <c r="H1312">
        <v>858841</v>
      </c>
      <c r="I1312">
        <v>525838</v>
      </c>
      <c r="J1312">
        <v>13.74</v>
      </c>
      <c r="K1312">
        <v>48</v>
      </c>
      <c r="L1312" t="s">
        <v>3049</v>
      </c>
      <c r="M1312">
        <v>510</v>
      </c>
      <c r="N1312">
        <v>7</v>
      </c>
      <c r="O1312" t="s">
        <v>3056</v>
      </c>
      <c r="P1312" t="s">
        <v>3949</v>
      </c>
      <c r="Q1312">
        <v>0.61229999999999996</v>
      </c>
    </row>
    <row r="1313" spans="1:17" x14ac:dyDescent="0.35">
      <c r="A1313" t="s">
        <v>1308</v>
      </c>
      <c r="B1313" t="s">
        <v>2791</v>
      </c>
      <c r="C1313">
        <v>43</v>
      </c>
      <c r="D1313" t="s">
        <v>2990</v>
      </c>
      <c r="E1313" t="s">
        <v>3007</v>
      </c>
      <c r="F1313" t="s">
        <v>3018</v>
      </c>
      <c r="G1313">
        <v>29</v>
      </c>
      <c r="H1313">
        <v>1123793</v>
      </c>
      <c r="I1313">
        <v>443332</v>
      </c>
      <c r="J1313">
        <v>21.17</v>
      </c>
      <c r="K1313">
        <v>24</v>
      </c>
      <c r="L1313" t="s">
        <v>3049</v>
      </c>
      <c r="M1313">
        <v>412</v>
      </c>
      <c r="N1313">
        <v>0</v>
      </c>
      <c r="O1313" t="s">
        <v>3055</v>
      </c>
      <c r="P1313" t="s">
        <v>3621</v>
      </c>
      <c r="Q1313">
        <v>0.39450000000000002</v>
      </c>
    </row>
    <row r="1314" spans="1:17" x14ac:dyDescent="0.35">
      <c r="A1314" t="s">
        <v>1309</v>
      </c>
      <c r="B1314" t="s">
        <v>2792</v>
      </c>
      <c r="C1314">
        <v>24</v>
      </c>
      <c r="D1314" t="s">
        <v>2990</v>
      </c>
      <c r="E1314" t="s">
        <v>3000</v>
      </c>
      <c r="F1314" t="s">
        <v>3018</v>
      </c>
      <c r="G1314">
        <v>11</v>
      </c>
      <c r="H1314">
        <v>991554</v>
      </c>
      <c r="I1314">
        <v>691314</v>
      </c>
      <c r="J1314">
        <v>22.7</v>
      </c>
      <c r="K1314">
        <v>48</v>
      </c>
      <c r="L1314" t="s">
        <v>3049</v>
      </c>
      <c r="M1314">
        <v>821</v>
      </c>
      <c r="N1314">
        <v>2</v>
      </c>
      <c r="O1314" t="s">
        <v>3054</v>
      </c>
      <c r="P1314" t="s">
        <v>3439</v>
      </c>
      <c r="Q1314">
        <v>0.69720000000000004</v>
      </c>
    </row>
    <row r="1315" spans="1:17" x14ac:dyDescent="0.35">
      <c r="B1315" t="s">
        <v>2793</v>
      </c>
      <c r="C1315">
        <v>30</v>
      </c>
      <c r="D1315" t="s">
        <v>2990</v>
      </c>
      <c r="E1315" t="s">
        <v>3000</v>
      </c>
      <c r="F1315" t="s">
        <v>3020</v>
      </c>
      <c r="G1315">
        <v>7</v>
      </c>
      <c r="H1315">
        <v>615477</v>
      </c>
      <c r="I1315">
        <v>660233</v>
      </c>
      <c r="J1315">
        <v>11.73</v>
      </c>
      <c r="K1315">
        <v>24</v>
      </c>
      <c r="L1315" t="s">
        <v>3050</v>
      </c>
      <c r="M1315">
        <v>567</v>
      </c>
      <c r="N1315">
        <v>4</v>
      </c>
      <c r="O1315" t="s">
        <v>3055</v>
      </c>
      <c r="P1315" t="s">
        <v>3562</v>
      </c>
      <c r="Q1315">
        <v>1.0727</v>
      </c>
    </row>
    <row r="1316" spans="1:17" x14ac:dyDescent="0.35">
      <c r="A1316" t="s">
        <v>1310</v>
      </c>
      <c r="B1316" t="s">
        <v>2794</v>
      </c>
      <c r="C1316">
        <v>39</v>
      </c>
      <c r="D1316" t="s">
        <v>2992</v>
      </c>
      <c r="E1316" t="s">
        <v>3000</v>
      </c>
      <c r="F1316" t="s">
        <v>3018</v>
      </c>
      <c r="G1316">
        <v>3</v>
      </c>
      <c r="H1316">
        <v>381260</v>
      </c>
      <c r="I1316">
        <v>508051</v>
      </c>
      <c r="J1316">
        <v>24.24</v>
      </c>
      <c r="K1316">
        <v>36</v>
      </c>
      <c r="L1316" t="s">
        <v>3047</v>
      </c>
      <c r="M1316">
        <v>785</v>
      </c>
      <c r="N1316">
        <v>0</v>
      </c>
      <c r="O1316" t="s">
        <v>3053</v>
      </c>
      <c r="P1316" t="s">
        <v>3982</v>
      </c>
      <c r="Q1316">
        <v>1.3326</v>
      </c>
    </row>
    <row r="1317" spans="1:17" x14ac:dyDescent="0.35">
      <c r="A1317" t="s">
        <v>1311</v>
      </c>
      <c r="B1317" t="s">
        <v>2795</v>
      </c>
      <c r="C1317">
        <v>29</v>
      </c>
      <c r="D1317" t="s">
        <v>2992</v>
      </c>
      <c r="E1317" t="s">
        <v>3002</v>
      </c>
      <c r="F1317" t="s">
        <v>3020</v>
      </c>
      <c r="G1317">
        <v>17</v>
      </c>
      <c r="H1317">
        <v>1992375</v>
      </c>
      <c r="I1317">
        <v>778826</v>
      </c>
      <c r="J1317">
        <v>19.079999999999998</v>
      </c>
      <c r="K1317">
        <v>60</v>
      </c>
      <c r="L1317" t="s">
        <v>3050</v>
      </c>
      <c r="M1317">
        <v>827</v>
      </c>
      <c r="N1317">
        <v>3</v>
      </c>
      <c r="O1317" t="s">
        <v>3056</v>
      </c>
      <c r="P1317" t="s">
        <v>3983</v>
      </c>
      <c r="Q1317">
        <v>0.39090000000000003</v>
      </c>
    </row>
    <row r="1318" spans="1:17" x14ac:dyDescent="0.35">
      <c r="A1318" t="s">
        <v>1312</v>
      </c>
      <c r="B1318" t="s">
        <v>2628</v>
      </c>
      <c r="C1318">
        <v>53</v>
      </c>
      <c r="D1318" t="s">
        <v>2997</v>
      </c>
      <c r="E1318" t="s">
        <v>3004</v>
      </c>
      <c r="F1318" t="s">
        <v>3020</v>
      </c>
      <c r="G1318">
        <v>8</v>
      </c>
      <c r="H1318">
        <v>1045139</v>
      </c>
      <c r="I1318">
        <v>504273</v>
      </c>
      <c r="J1318">
        <v>15.87</v>
      </c>
      <c r="K1318">
        <v>12</v>
      </c>
      <c r="L1318" t="s">
        <v>3047</v>
      </c>
      <c r="M1318">
        <v>802</v>
      </c>
      <c r="N1318">
        <v>3</v>
      </c>
      <c r="O1318" t="s">
        <v>3054</v>
      </c>
      <c r="P1318" t="s">
        <v>3848</v>
      </c>
      <c r="Q1318">
        <v>0.48249999999999998</v>
      </c>
    </row>
    <row r="1319" spans="1:17" x14ac:dyDescent="0.35">
      <c r="A1319" t="s">
        <v>1313</v>
      </c>
      <c r="B1319" t="s">
        <v>2796</v>
      </c>
      <c r="C1319">
        <v>47</v>
      </c>
      <c r="D1319" t="s">
        <v>2993</v>
      </c>
      <c r="E1319" t="s">
        <v>3000</v>
      </c>
      <c r="F1319" t="s">
        <v>3021</v>
      </c>
      <c r="G1319">
        <v>11</v>
      </c>
      <c r="H1319">
        <v>1601174</v>
      </c>
      <c r="I1319">
        <v>485525</v>
      </c>
      <c r="J1319">
        <v>21.25</v>
      </c>
      <c r="K1319">
        <v>12</v>
      </c>
      <c r="L1319" t="s">
        <v>3048</v>
      </c>
      <c r="M1319">
        <v>581</v>
      </c>
      <c r="N1319">
        <v>3</v>
      </c>
      <c r="O1319" t="s">
        <v>3057</v>
      </c>
      <c r="P1319" t="s">
        <v>3489</v>
      </c>
      <c r="Q1319">
        <v>0.30320000000000003</v>
      </c>
    </row>
    <row r="1320" spans="1:17" x14ac:dyDescent="0.35">
      <c r="A1320" t="s">
        <v>1314</v>
      </c>
      <c r="B1320" t="s">
        <v>2797</v>
      </c>
      <c r="C1320">
        <v>48</v>
      </c>
      <c r="D1320" t="s">
        <v>2992</v>
      </c>
      <c r="E1320" t="s">
        <v>3007</v>
      </c>
      <c r="F1320" t="s">
        <v>3020</v>
      </c>
      <c r="G1320">
        <v>26</v>
      </c>
      <c r="H1320">
        <v>1844034</v>
      </c>
      <c r="I1320">
        <v>670102</v>
      </c>
      <c r="J1320">
        <v>12.67</v>
      </c>
      <c r="K1320">
        <v>12</v>
      </c>
      <c r="L1320" t="s">
        <v>3047</v>
      </c>
      <c r="M1320">
        <v>822</v>
      </c>
      <c r="N1320">
        <v>0</v>
      </c>
      <c r="O1320" t="s">
        <v>3055</v>
      </c>
      <c r="P1320" t="s">
        <v>3984</v>
      </c>
      <c r="Q1320">
        <v>0.3634</v>
      </c>
    </row>
    <row r="1321" spans="1:17" x14ac:dyDescent="0.35">
      <c r="A1321" t="s">
        <v>1315</v>
      </c>
      <c r="B1321" t="s">
        <v>2798</v>
      </c>
      <c r="C1321">
        <v>31</v>
      </c>
      <c r="D1321" t="s">
        <v>2990</v>
      </c>
      <c r="E1321" t="s">
        <v>2998</v>
      </c>
      <c r="F1321" t="s">
        <v>3021</v>
      </c>
      <c r="G1321">
        <v>20</v>
      </c>
      <c r="H1321">
        <v>1604945</v>
      </c>
      <c r="I1321">
        <v>277354</v>
      </c>
      <c r="J1321">
        <v>18.63</v>
      </c>
      <c r="K1321">
        <v>36</v>
      </c>
      <c r="L1321" t="s">
        <v>3050</v>
      </c>
      <c r="M1321">
        <v>533</v>
      </c>
      <c r="N1321">
        <v>2</v>
      </c>
      <c r="O1321" t="s">
        <v>3053</v>
      </c>
      <c r="P1321" t="s">
        <v>3985</v>
      </c>
      <c r="Q1321">
        <v>0.17280000000000001</v>
      </c>
    </row>
    <row r="1322" spans="1:17" x14ac:dyDescent="0.35">
      <c r="A1322" t="s">
        <v>1316</v>
      </c>
      <c r="B1322" t="s">
        <v>2799</v>
      </c>
      <c r="C1322">
        <v>64</v>
      </c>
      <c r="D1322" t="s">
        <v>2992</v>
      </c>
      <c r="E1322" t="s">
        <v>3006</v>
      </c>
      <c r="F1322" t="s">
        <v>3020</v>
      </c>
      <c r="G1322">
        <v>28</v>
      </c>
      <c r="H1322">
        <v>1836671</v>
      </c>
      <c r="I1322">
        <v>510083</v>
      </c>
      <c r="J1322">
        <v>8.6999999999999993</v>
      </c>
      <c r="K1322">
        <v>60</v>
      </c>
      <c r="L1322" t="s">
        <v>3050</v>
      </c>
      <c r="M1322">
        <v>745</v>
      </c>
      <c r="N1322">
        <v>5</v>
      </c>
      <c r="O1322" t="s">
        <v>3057</v>
      </c>
      <c r="P1322" t="s">
        <v>3986</v>
      </c>
      <c r="Q1322">
        <v>0.2777</v>
      </c>
    </row>
    <row r="1323" spans="1:17" x14ac:dyDescent="0.35">
      <c r="A1323" t="s">
        <v>1317</v>
      </c>
      <c r="B1323" t="s">
        <v>2800</v>
      </c>
      <c r="C1323">
        <v>25</v>
      </c>
      <c r="D1323" t="s">
        <v>2990</v>
      </c>
      <c r="E1323" t="s">
        <v>3005</v>
      </c>
      <c r="F1323" t="s">
        <v>3018</v>
      </c>
      <c r="G1323">
        <v>0</v>
      </c>
      <c r="H1323">
        <v>1539231</v>
      </c>
      <c r="I1323">
        <v>725356</v>
      </c>
      <c r="J1323">
        <v>19.059999999999999</v>
      </c>
      <c r="K1323">
        <v>48</v>
      </c>
      <c r="L1323" t="s">
        <v>3050</v>
      </c>
      <c r="M1323">
        <v>346</v>
      </c>
      <c r="N1323">
        <v>2</v>
      </c>
      <c r="O1323" t="s">
        <v>3055</v>
      </c>
      <c r="P1323" t="s">
        <v>3165</v>
      </c>
      <c r="Q1323">
        <v>0.47120000000000001</v>
      </c>
    </row>
    <row r="1324" spans="1:17" x14ac:dyDescent="0.35">
      <c r="A1324" t="s">
        <v>1318</v>
      </c>
      <c r="B1324" t="s">
        <v>2801</v>
      </c>
      <c r="C1324">
        <v>64</v>
      </c>
      <c r="D1324" t="s">
        <v>2992</v>
      </c>
      <c r="E1324" t="s">
        <v>3003</v>
      </c>
      <c r="F1324" t="s">
        <v>3021</v>
      </c>
      <c r="G1324">
        <v>28</v>
      </c>
      <c r="H1324">
        <v>1783546</v>
      </c>
      <c r="I1324">
        <v>765423</v>
      </c>
      <c r="J1324">
        <v>13.38</v>
      </c>
      <c r="K1324">
        <v>60</v>
      </c>
      <c r="L1324" t="s">
        <v>3047</v>
      </c>
      <c r="M1324">
        <v>479</v>
      </c>
      <c r="N1324">
        <v>1</v>
      </c>
      <c r="O1324" t="s">
        <v>3055</v>
      </c>
      <c r="P1324" t="s">
        <v>3299</v>
      </c>
      <c r="Q1324">
        <v>0.42920000000000003</v>
      </c>
    </row>
    <row r="1325" spans="1:17" x14ac:dyDescent="0.35">
      <c r="A1325" t="s">
        <v>1319</v>
      </c>
      <c r="B1325" t="s">
        <v>2802</v>
      </c>
      <c r="C1325">
        <v>62</v>
      </c>
      <c r="D1325" t="s">
        <v>2990</v>
      </c>
      <c r="E1325" t="s">
        <v>3001</v>
      </c>
      <c r="F1325" t="s">
        <v>3021</v>
      </c>
      <c r="G1325">
        <v>6</v>
      </c>
      <c r="H1325">
        <v>2163167</v>
      </c>
      <c r="I1325">
        <v>301854</v>
      </c>
      <c r="J1325">
        <v>26.53</v>
      </c>
      <c r="K1325">
        <v>60</v>
      </c>
      <c r="L1325" t="s">
        <v>3049</v>
      </c>
      <c r="M1325">
        <v>454</v>
      </c>
      <c r="N1325">
        <v>1</v>
      </c>
      <c r="O1325" t="s">
        <v>3056</v>
      </c>
      <c r="P1325" t="s">
        <v>3840</v>
      </c>
      <c r="Q1325">
        <v>0.13950000000000001</v>
      </c>
    </row>
    <row r="1326" spans="1:17" x14ac:dyDescent="0.35">
      <c r="A1326" t="s">
        <v>1320</v>
      </c>
      <c r="B1326" t="s">
        <v>2803</v>
      </c>
      <c r="C1326">
        <v>31</v>
      </c>
      <c r="D1326" t="s">
        <v>2990</v>
      </c>
      <c r="E1326" t="s">
        <v>3004</v>
      </c>
      <c r="F1326" t="s">
        <v>3018</v>
      </c>
      <c r="G1326">
        <v>3</v>
      </c>
      <c r="H1326">
        <v>1566652</v>
      </c>
      <c r="I1326">
        <v>622644</v>
      </c>
      <c r="J1326">
        <v>23.5</v>
      </c>
      <c r="K1326">
        <v>60</v>
      </c>
      <c r="L1326" t="s">
        <v>3048</v>
      </c>
      <c r="M1326">
        <v>738</v>
      </c>
      <c r="N1326">
        <v>2</v>
      </c>
      <c r="O1326" t="s">
        <v>3052</v>
      </c>
      <c r="P1326" t="s">
        <v>3987</v>
      </c>
      <c r="Q1326">
        <v>0.39739999999999998</v>
      </c>
    </row>
    <row r="1327" spans="1:17" x14ac:dyDescent="0.35">
      <c r="A1327" t="s">
        <v>27</v>
      </c>
      <c r="B1327" t="s">
        <v>1517</v>
      </c>
      <c r="C1327">
        <v>55</v>
      </c>
      <c r="D1327" t="s">
        <v>2990</v>
      </c>
      <c r="E1327" t="s">
        <v>3003</v>
      </c>
      <c r="F1327" t="s">
        <v>3018</v>
      </c>
      <c r="G1327">
        <v>24</v>
      </c>
      <c r="H1327">
        <v>1596953</v>
      </c>
      <c r="I1327">
        <v>523323</v>
      </c>
      <c r="J1327" t="s">
        <v>3042</v>
      </c>
      <c r="K1327">
        <v>48</v>
      </c>
      <c r="M1327">
        <v>644</v>
      </c>
      <c r="N1327">
        <v>5</v>
      </c>
      <c r="O1327" t="s">
        <v>3052</v>
      </c>
      <c r="P1327" t="s">
        <v>3074</v>
      </c>
      <c r="Q1327">
        <v>0.32769999999999999</v>
      </c>
    </row>
    <row r="1328" spans="1:17" x14ac:dyDescent="0.35">
      <c r="A1328" t="s">
        <v>1321</v>
      </c>
      <c r="B1328" t="s">
        <v>2804</v>
      </c>
      <c r="C1328">
        <v>57</v>
      </c>
      <c r="D1328" t="s">
        <v>2990</v>
      </c>
      <c r="E1328" t="s">
        <v>3005</v>
      </c>
      <c r="F1328" t="s">
        <v>3020</v>
      </c>
      <c r="G1328">
        <v>15</v>
      </c>
      <c r="H1328">
        <v>1734205</v>
      </c>
      <c r="I1328">
        <v>158286</v>
      </c>
      <c r="J1328">
        <v>10.87</v>
      </c>
      <c r="K1328">
        <v>36</v>
      </c>
      <c r="L1328" t="s">
        <v>3050</v>
      </c>
      <c r="M1328">
        <v>741</v>
      </c>
      <c r="N1328">
        <v>2</v>
      </c>
      <c r="O1328" t="s">
        <v>3063</v>
      </c>
      <c r="P1328" t="s">
        <v>3988</v>
      </c>
      <c r="Q1328">
        <v>9.1300000000000006E-2</v>
      </c>
    </row>
    <row r="1329" spans="1:17" x14ac:dyDescent="0.35">
      <c r="A1329" t="s">
        <v>1322</v>
      </c>
      <c r="B1329" t="s">
        <v>2805</v>
      </c>
      <c r="C1329">
        <v>25</v>
      </c>
      <c r="D1329" t="s">
        <v>2992</v>
      </c>
      <c r="E1329" t="s">
        <v>3004</v>
      </c>
      <c r="F1329" t="s">
        <v>3021</v>
      </c>
      <c r="G1329">
        <v>6</v>
      </c>
      <c r="H1329">
        <v>815719</v>
      </c>
      <c r="I1329">
        <v>185129</v>
      </c>
      <c r="J1329">
        <v>14.06</v>
      </c>
      <c r="K1329">
        <v>12</v>
      </c>
      <c r="L1329" t="s">
        <v>3049</v>
      </c>
      <c r="M1329">
        <v>525</v>
      </c>
      <c r="N1329">
        <v>4</v>
      </c>
      <c r="O1329" t="s">
        <v>3052</v>
      </c>
      <c r="P1329" t="s">
        <v>3565</v>
      </c>
      <c r="Q1329">
        <v>0.22700000000000001</v>
      </c>
    </row>
    <row r="1330" spans="1:17" x14ac:dyDescent="0.35">
      <c r="A1330" t="s">
        <v>1323</v>
      </c>
      <c r="B1330" t="s">
        <v>2806</v>
      </c>
      <c r="C1330">
        <v>39</v>
      </c>
      <c r="D1330" t="s">
        <v>2992</v>
      </c>
      <c r="E1330" t="s">
        <v>3001</v>
      </c>
      <c r="G1330">
        <v>9</v>
      </c>
      <c r="H1330">
        <v>1340248</v>
      </c>
      <c r="I1330">
        <v>331442</v>
      </c>
      <c r="J1330">
        <v>21.5</v>
      </c>
      <c r="K1330">
        <v>36</v>
      </c>
      <c r="L1330" t="s">
        <v>3049</v>
      </c>
      <c r="M1330">
        <v>343</v>
      </c>
      <c r="N1330">
        <v>2</v>
      </c>
      <c r="O1330" t="s">
        <v>3053</v>
      </c>
      <c r="P1330" t="s">
        <v>3131</v>
      </c>
      <c r="Q1330">
        <v>0.24729999999999999</v>
      </c>
    </row>
    <row r="1331" spans="1:17" x14ac:dyDescent="0.35">
      <c r="A1331" t="s">
        <v>1324</v>
      </c>
      <c r="B1331" t="s">
        <v>2807</v>
      </c>
      <c r="C1331">
        <v>48</v>
      </c>
      <c r="D1331" t="s">
        <v>2992</v>
      </c>
      <c r="E1331" t="s">
        <v>3002</v>
      </c>
      <c r="F1331" t="s">
        <v>3020</v>
      </c>
      <c r="G1331">
        <v>15</v>
      </c>
      <c r="H1331">
        <v>1532144</v>
      </c>
      <c r="I1331">
        <v>404890</v>
      </c>
      <c r="J1331">
        <v>16.3</v>
      </c>
      <c r="K1331">
        <v>60</v>
      </c>
      <c r="L1331" t="s">
        <v>3050</v>
      </c>
      <c r="M1331">
        <v>485</v>
      </c>
      <c r="N1331">
        <v>1</v>
      </c>
      <c r="O1331" t="s">
        <v>3055</v>
      </c>
      <c r="P1331" t="s">
        <v>3560</v>
      </c>
      <c r="Q1331">
        <v>0.26429999999999998</v>
      </c>
    </row>
    <row r="1332" spans="1:17" x14ac:dyDescent="0.35">
      <c r="A1332" t="s">
        <v>1325</v>
      </c>
      <c r="B1332" t="s">
        <v>2808</v>
      </c>
      <c r="C1332">
        <v>55</v>
      </c>
      <c r="D1332" t="s">
        <v>2990</v>
      </c>
      <c r="E1332" t="s">
        <v>2999</v>
      </c>
      <c r="F1332" t="s">
        <v>3020</v>
      </c>
      <c r="G1332">
        <v>18</v>
      </c>
      <c r="H1332">
        <v>1158080</v>
      </c>
      <c r="I1332">
        <v>699892</v>
      </c>
      <c r="J1332">
        <v>9.01</v>
      </c>
      <c r="K1332">
        <v>36</v>
      </c>
      <c r="L1332" t="s">
        <v>3046</v>
      </c>
      <c r="M1332">
        <v>548</v>
      </c>
      <c r="N1332">
        <v>7</v>
      </c>
      <c r="O1332" t="s">
        <v>3053</v>
      </c>
      <c r="P1332" t="s">
        <v>3989</v>
      </c>
      <c r="Q1332">
        <v>0.60440000000000005</v>
      </c>
    </row>
    <row r="1333" spans="1:17" x14ac:dyDescent="0.35">
      <c r="A1333" t="s">
        <v>1326</v>
      </c>
      <c r="B1333" t="s">
        <v>2809</v>
      </c>
      <c r="C1333">
        <v>23</v>
      </c>
      <c r="D1333" t="s">
        <v>2990</v>
      </c>
      <c r="E1333" t="s">
        <v>3012</v>
      </c>
      <c r="F1333" t="s">
        <v>3018</v>
      </c>
      <c r="G1333">
        <v>6</v>
      </c>
      <c r="H1333">
        <v>1664738</v>
      </c>
      <c r="I1333">
        <v>178598</v>
      </c>
      <c r="J1333">
        <v>12.7</v>
      </c>
      <c r="K1333">
        <v>12</v>
      </c>
      <c r="L1333" t="s">
        <v>3047</v>
      </c>
      <c r="M1333">
        <v>306</v>
      </c>
      <c r="N1333">
        <v>0</v>
      </c>
      <c r="O1333" t="s">
        <v>3055</v>
      </c>
      <c r="P1333" t="s">
        <v>3990</v>
      </c>
      <c r="Q1333">
        <v>0.10730000000000001</v>
      </c>
    </row>
    <row r="1334" spans="1:17" x14ac:dyDescent="0.35">
      <c r="A1334" t="s">
        <v>1327</v>
      </c>
      <c r="B1334" t="s">
        <v>2810</v>
      </c>
      <c r="C1334">
        <v>28</v>
      </c>
      <c r="D1334" t="s">
        <v>2992</v>
      </c>
      <c r="E1334" t="s">
        <v>3003</v>
      </c>
      <c r="F1334" t="s">
        <v>3020</v>
      </c>
      <c r="G1334">
        <v>16</v>
      </c>
      <c r="I1334">
        <v>467415</v>
      </c>
      <c r="J1334">
        <v>24.1</v>
      </c>
      <c r="K1334">
        <v>36</v>
      </c>
      <c r="L1334" t="s">
        <v>3048</v>
      </c>
      <c r="M1334">
        <v>720</v>
      </c>
      <c r="N1334">
        <v>3</v>
      </c>
      <c r="O1334" t="s">
        <v>3054</v>
      </c>
      <c r="P1334" t="s">
        <v>3214</v>
      </c>
      <c r="Q1334">
        <v>0.20449999999999999</v>
      </c>
    </row>
    <row r="1335" spans="1:17" x14ac:dyDescent="0.35">
      <c r="A1335" t="s">
        <v>1160</v>
      </c>
      <c r="B1335" t="s">
        <v>2647</v>
      </c>
      <c r="C1335">
        <v>37</v>
      </c>
      <c r="D1335" t="s">
        <v>2992</v>
      </c>
      <c r="E1335" t="s">
        <v>3007</v>
      </c>
      <c r="F1335" t="s">
        <v>3020</v>
      </c>
      <c r="G1335">
        <v>29</v>
      </c>
      <c r="I1335">
        <v>558314</v>
      </c>
      <c r="J1335">
        <v>21.92</v>
      </c>
      <c r="K1335">
        <v>60</v>
      </c>
      <c r="L1335" t="s">
        <v>3051</v>
      </c>
      <c r="M1335">
        <v>626</v>
      </c>
      <c r="N1335">
        <v>5</v>
      </c>
      <c r="O1335" t="s">
        <v>3052</v>
      </c>
      <c r="P1335" t="s">
        <v>3449</v>
      </c>
      <c r="Q1335">
        <v>1.3798999999999999</v>
      </c>
    </row>
    <row r="1336" spans="1:17" x14ac:dyDescent="0.35">
      <c r="A1336" t="s">
        <v>1328</v>
      </c>
      <c r="B1336" t="s">
        <v>2811</v>
      </c>
      <c r="C1336">
        <v>53</v>
      </c>
      <c r="D1336" t="s">
        <v>2992</v>
      </c>
      <c r="E1336" t="s">
        <v>3007</v>
      </c>
      <c r="F1336" t="s">
        <v>3021</v>
      </c>
      <c r="G1336">
        <v>9</v>
      </c>
      <c r="H1336">
        <v>397285</v>
      </c>
      <c r="I1336">
        <v>783461</v>
      </c>
      <c r="J1336">
        <v>19.46</v>
      </c>
      <c r="K1336">
        <v>12</v>
      </c>
      <c r="L1336" t="s">
        <v>3046</v>
      </c>
      <c r="M1336">
        <v>417</v>
      </c>
      <c r="N1336">
        <v>7</v>
      </c>
      <c r="O1336" t="s">
        <v>3054</v>
      </c>
      <c r="P1336" t="s">
        <v>3991</v>
      </c>
      <c r="Q1336">
        <v>1.972</v>
      </c>
    </row>
    <row r="1337" spans="1:17" x14ac:dyDescent="0.35">
      <c r="A1337" t="s">
        <v>1329</v>
      </c>
      <c r="B1337" t="s">
        <v>2812</v>
      </c>
      <c r="C1337">
        <v>64</v>
      </c>
      <c r="D1337" t="s">
        <v>2990</v>
      </c>
      <c r="E1337" t="s">
        <v>3004</v>
      </c>
      <c r="F1337" t="s">
        <v>3019</v>
      </c>
      <c r="G1337">
        <v>29</v>
      </c>
      <c r="H1337">
        <v>2109341</v>
      </c>
      <c r="I1337">
        <v>242128</v>
      </c>
      <c r="J1337">
        <v>13.14</v>
      </c>
      <c r="K1337">
        <v>36</v>
      </c>
      <c r="L1337" t="s">
        <v>3048</v>
      </c>
      <c r="M1337">
        <v>466</v>
      </c>
      <c r="N1337">
        <v>3</v>
      </c>
      <c r="O1337" t="s">
        <v>3054</v>
      </c>
      <c r="P1337" t="s">
        <v>3207</v>
      </c>
      <c r="Q1337">
        <v>0.1148</v>
      </c>
    </row>
    <row r="1338" spans="1:17" x14ac:dyDescent="0.35">
      <c r="A1338" t="s">
        <v>1330</v>
      </c>
      <c r="B1338" t="s">
        <v>2813</v>
      </c>
      <c r="C1338">
        <v>59</v>
      </c>
      <c r="D1338" t="s">
        <v>2992</v>
      </c>
      <c r="E1338" t="s">
        <v>3007</v>
      </c>
      <c r="F1338" t="s">
        <v>3019</v>
      </c>
      <c r="G1338">
        <v>5</v>
      </c>
      <c r="H1338">
        <v>1950485</v>
      </c>
      <c r="I1338">
        <v>254864</v>
      </c>
      <c r="J1338">
        <v>12.81</v>
      </c>
      <c r="K1338">
        <v>48</v>
      </c>
      <c r="L1338" t="s">
        <v>3049</v>
      </c>
      <c r="M1338">
        <v>471</v>
      </c>
      <c r="N1338">
        <v>7</v>
      </c>
      <c r="O1338" t="s">
        <v>3054</v>
      </c>
      <c r="P1338" t="s">
        <v>3654</v>
      </c>
      <c r="Q1338">
        <v>0.13070000000000001</v>
      </c>
    </row>
    <row r="1339" spans="1:17" x14ac:dyDescent="0.35">
      <c r="A1339" t="s">
        <v>1331</v>
      </c>
      <c r="B1339" t="s">
        <v>2814</v>
      </c>
      <c r="C1339">
        <v>29</v>
      </c>
      <c r="D1339" t="s">
        <v>2992</v>
      </c>
      <c r="E1339" t="s">
        <v>2998</v>
      </c>
      <c r="F1339" t="s">
        <v>3018</v>
      </c>
      <c r="G1339">
        <v>22</v>
      </c>
      <c r="H1339">
        <v>1881667</v>
      </c>
      <c r="I1339">
        <v>291400</v>
      </c>
      <c r="J1339">
        <v>8.69</v>
      </c>
      <c r="K1339">
        <v>48</v>
      </c>
      <c r="L1339" t="s">
        <v>3050</v>
      </c>
      <c r="M1339">
        <v>999</v>
      </c>
      <c r="N1339">
        <v>5</v>
      </c>
      <c r="O1339" t="s">
        <v>3056</v>
      </c>
      <c r="P1339" t="s">
        <v>3281</v>
      </c>
      <c r="Q1339">
        <v>0.15490000000000001</v>
      </c>
    </row>
    <row r="1340" spans="1:17" x14ac:dyDescent="0.35">
      <c r="A1340" t="s">
        <v>1332</v>
      </c>
      <c r="B1340" t="s">
        <v>2815</v>
      </c>
      <c r="C1340">
        <v>21</v>
      </c>
      <c r="D1340" t="s">
        <v>2990</v>
      </c>
      <c r="E1340" t="s">
        <v>2998</v>
      </c>
      <c r="F1340" t="s">
        <v>3019</v>
      </c>
      <c r="G1340">
        <v>14</v>
      </c>
      <c r="H1340">
        <v>1596828</v>
      </c>
      <c r="I1340">
        <v>418102</v>
      </c>
      <c r="J1340">
        <v>25.23</v>
      </c>
      <c r="K1340">
        <v>60</v>
      </c>
      <c r="L1340" t="s">
        <v>3048</v>
      </c>
      <c r="M1340">
        <v>720</v>
      </c>
      <c r="N1340">
        <v>0</v>
      </c>
      <c r="O1340" t="s">
        <v>3052</v>
      </c>
      <c r="P1340" t="s">
        <v>3750</v>
      </c>
      <c r="Q1340">
        <v>0.26179999999999998</v>
      </c>
    </row>
    <row r="1341" spans="1:17" x14ac:dyDescent="0.35">
      <c r="A1341" t="s">
        <v>1333</v>
      </c>
      <c r="B1341" t="s">
        <v>2816</v>
      </c>
      <c r="C1341">
        <v>48</v>
      </c>
      <c r="D1341" t="s">
        <v>2992</v>
      </c>
      <c r="E1341" t="s">
        <v>3000</v>
      </c>
      <c r="F1341" t="s">
        <v>3020</v>
      </c>
      <c r="G1341">
        <v>24</v>
      </c>
      <c r="H1341">
        <v>1227343</v>
      </c>
      <c r="I1341">
        <v>746481</v>
      </c>
      <c r="J1341">
        <v>23.85</v>
      </c>
      <c r="K1341">
        <v>36</v>
      </c>
      <c r="L1341" t="s">
        <v>3048</v>
      </c>
      <c r="M1341">
        <v>307</v>
      </c>
      <c r="N1341">
        <v>2</v>
      </c>
      <c r="O1341" t="s">
        <v>3055</v>
      </c>
      <c r="P1341" t="s">
        <v>3992</v>
      </c>
      <c r="Q1341">
        <v>0.60819999999999996</v>
      </c>
    </row>
    <row r="1342" spans="1:17" x14ac:dyDescent="0.35">
      <c r="A1342" t="s">
        <v>1334</v>
      </c>
      <c r="B1342" t="s">
        <v>2817</v>
      </c>
      <c r="C1342">
        <v>44</v>
      </c>
      <c r="D1342" t="s">
        <v>2995</v>
      </c>
      <c r="E1342" t="s">
        <v>3001</v>
      </c>
      <c r="F1342" t="s">
        <v>3020</v>
      </c>
      <c r="G1342">
        <v>17</v>
      </c>
      <c r="H1342">
        <v>1930740</v>
      </c>
      <c r="I1342">
        <v>273091</v>
      </c>
      <c r="J1342">
        <v>23.27</v>
      </c>
      <c r="K1342">
        <v>36</v>
      </c>
      <c r="L1342" t="s">
        <v>3049</v>
      </c>
      <c r="M1342">
        <v>660</v>
      </c>
      <c r="N1342">
        <v>1</v>
      </c>
      <c r="O1342" t="s">
        <v>3054</v>
      </c>
      <c r="P1342" t="s">
        <v>3721</v>
      </c>
      <c r="Q1342">
        <v>0.1414</v>
      </c>
    </row>
    <row r="1343" spans="1:17" x14ac:dyDescent="0.35">
      <c r="A1343" t="s">
        <v>1335</v>
      </c>
      <c r="B1343" t="s">
        <v>2818</v>
      </c>
      <c r="C1343">
        <v>21</v>
      </c>
      <c r="D1343" t="s">
        <v>2992</v>
      </c>
      <c r="E1343" t="s">
        <v>3004</v>
      </c>
      <c r="F1343" t="s">
        <v>3019</v>
      </c>
      <c r="G1343">
        <v>19</v>
      </c>
      <c r="H1343">
        <v>1262660</v>
      </c>
      <c r="I1343">
        <v>506904</v>
      </c>
      <c r="J1343">
        <v>8.32</v>
      </c>
      <c r="K1343">
        <v>36</v>
      </c>
      <c r="L1343" t="s">
        <v>3046</v>
      </c>
      <c r="M1343">
        <v>390</v>
      </c>
      <c r="N1343">
        <v>3</v>
      </c>
      <c r="O1343" t="s">
        <v>3055</v>
      </c>
      <c r="P1343" t="s">
        <v>3185</v>
      </c>
      <c r="Q1343">
        <v>0.40150000000000002</v>
      </c>
    </row>
    <row r="1344" spans="1:17" x14ac:dyDescent="0.35">
      <c r="A1344" t="s">
        <v>1336</v>
      </c>
      <c r="B1344" t="s">
        <v>2819</v>
      </c>
      <c r="C1344">
        <v>55</v>
      </c>
      <c r="D1344" t="s">
        <v>2990</v>
      </c>
      <c r="E1344" t="s">
        <v>3001</v>
      </c>
      <c r="F1344" t="s">
        <v>3019</v>
      </c>
      <c r="G1344">
        <v>16</v>
      </c>
      <c r="I1344">
        <v>173939</v>
      </c>
      <c r="J1344">
        <v>19.11</v>
      </c>
      <c r="K1344">
        <v>60</v>
      </c>
      <c r="L1344" t="s">
        <v>3048</v>
      </c>
      <c r="M1344">
        <v>690</v>
      </c>
      <c r="N1344">
        <v>2</v>
      </c>
      <c r="O1344" t="s">
        <v>3055</v>
      </c>
      <c r="P1344" t="s">
        <v>3970</v>
      </c>
      <c r="Q1344">
        <v>0.35349999999999998</v>
      </c>
    </row>
    <row r="1345" spans="1:17" x14ac:dyDescent="0.35">
      <c r="A1345" t="s">
        <v>1337</v>
      </c>
      <c r="B1345" t="s">
        <v>2820</v>
      </c>
      <c r="C1345">
        <v>62</v>
      </c>
      <c r="D1345" t="s">
        <v>2990</v>
      </c>
      <c r="E1345" t="s">
        <v>3004</v>
      </c>
      <c r="F1345" t="s">
        <v>3019</v>
      </c>
      <c r="G1345">
        <v>28</v>
      </c>
      <c r="H1345">
        <v>1224257</v>
      </c>
      <c r="I1345">
        <v>236204</v>
      </c>
      <c r="J1345">
        <v>16.34</v>
      </c>
      <c r="K1345">
        <v>60</v>
      </c>
      <c r="L1345" t="s">
        <v>3051</v>
      </c>
      <c r="M1345">
        <v>451</v>
      </c>
      <c r="N1345">
        <v>6</v>
      </c>
      <c r="O1345" t="s">
        <v>3055</v>
      </c>
      <c r="P1345" t="s">
        <v>3993</v>
      </c>
      <c r="Q1345">
        <v>0.19289999999999999</v>
      </c>
    </row>
    <row r="1346" spans="1:17" x14ac:dyDescent="0.35">
      <c r="A1346" t="s">
        <v>1338</v>
      </c>
      <c r="B1346" t="s">
        <v>2821</v>
      </c>
      <c r="C1346">
        <v>61</v>
      </c>
      <c r="D1346" t="s">
        <v>2990</v>
      </c>
      <c r="E1346" t="s">
        <v>3000</v>
      </c>
      <c r="F1346" t="s">
        <v>3020</v>
      </c>
      <c r="G1346">
        <v>2</v>
      </c>
      <c r="H1346">
        <v>1139744</v>
      </c>
      <c r="I1346">
        <v>104703</v>
      </c>
      <c r="J1346">
        <v>12.41</v>
      </c>
      <c r="K1346">
        <v>60</v>
      </c>
      <c r="L1346" t="s">
        <v>3049</v>
      </c>
      <c r="M1346">
        <v>625</v>
      </c>
      <c r="N1346">
        <v>5</v>
      </c>
      <c r="O1346" t="s">
        <v>3057</v>
      </c>
      <c r="P1346" t="s">
        <v>3994</v>
      </c>
      <c r="Q1346">
        <v>9.1899999999999996E-2</v>
      </c>
    </row>
    <row r="1347" spans="1:17" x14ac:dyDescent="0.35">
      <c r="A1347" t="s">
        <v>1339</v>
      </c>
      <c r="B1347" t="s">
        <v>2822</v>
      </c>
      <c r="C1347">
        <v>51</v>
      </c>
      <c r="D1347" t="s">
        <v>2990</v>
      </c>
      <c r="E1347" t="s">
        <v>2998</v>
      </c>
      <c r="F1347" t="s">
        <v>3021</v>
      </c>
      <c r="G1347">
        <v>26</v>
      </c>
      <c r="H1347">
        <v>2341352</v>
      </c>
      <c r="I1347">
        <v>221604</v>
      </c>
      <c r="J1347">
        <v>24.29</v>
      </c>
      <c r="K1347">
        <v>12</v>
      </c>
      <c r="L1347" t="s">
        <v>3049</v>
      </c>
      <c r="M1347">
        <v>778</v>
      </c>
      <c r="N1347">
        <v>7</v>
      </c>
      <c r="O1347" t="s">
        <v>3062</v>
      </c>
      <c r="P1347" t="s">
        <v>3995</v>
      </c>
      <c r="Q1347">
        <v>9.4600000000000004E-2</v>
      </c>
    </row>
    <row r="1348" spans="1:17" x14ac:dyDescent="0.35">
      <c r="A1348" t="s">
        <v>1340</v>
      </c>
      <c r="B1348" t="s">
        <v>2823</v>
      </c>
      <c r="C1348">
        <v>50</v>
      </c>
      <c r="D1348" t="s">
        <v>2990</v>
      </c>
      <c r="E1348" t="s">
        <v>3004</v>
      </c>
      <c r="F1348" t="s">
        <v>3018</v>
      </c>
      <c r="G1348">
        <v>22</v>
      </c>
      <c r="H1348">
        <v>431924</v>
      </c>
      <c r="I1348">
        <v>187527</v>
      </c>
      <c r="J1348">
        <v>8.2799999999999994</v>
      </c>
      <c r="K1348">
        <v>48</v>
      </c>
      <c r="L1348" t="s">
        <v>3051</v>
      </c>
      <c r="M1348">
        <v>689</v>
      </c>
      <c r="N1348">
        <v>5</v>
      </c>
      <c r="O1348" t="s">
        <v>3055</v>
      </c>
      <c r="P1348" t="s">
        <v>3276</v>
      </c>
      <c r="Q1348">
        <v>0.43419999999999997</v>
      </c>
    </row>
    <row r="1349" spans="1:17" x14ac:dyDescent="0.35">
      <c r="A1349" t="s">
        <v>1341</v>
      </c>
      <c r="B1349" t="s">
        <v>2824</v>
      </c>
      <c r="C1349">
        <v>59</v>
      </c>
      <c r="D1349" t="s">
        <v>2992</v>
      </c>
      <c r="E1349" t="s">
        <v>2999</v>
      </c>
      <c r="F1349" t="s">
        <v>3020</v>
      </c>
      <c r="G1349">
        <v>23</v>
      </c>
      <c r="H1349">
        <v>698349</v>
      </c>
      <c r="I1349">
        <v>635175</v>
      </c>
      <c r="J1349">
        <v>21.24</v>
      </c>
      <c r="K1349">
        <v>12</v>
      </c>
      <c r="L1349" t="s">
        <v>3047</v>
      </c>
      <c r="M1349">
        <v>807</v>
      </c>
      <c r="N1349">
        <v>7</v>
      </c>
      <c r="O1349" t="s">
        <v>3057</v>
      </c>
      <c r="P1349" t="s">
        <v>3258</v>
      </c>
      <c r="Q1349">
        <v>0.90949999999999998</v>
      </c>
    </row>
    <row r="1350" spans="1:17" x14ac:dyDescent="0.35">
      <c r="A1350" t="s">
        <v>1342</v>
      </c>
      <c r="B1350" t="s">
        <v>2825</v>
      </c>
      <c r="C1350">
        <v>45</v>
      </c>
      <c r="D1350" t="s">
        <v>2990</v>
      </c>
      <c r="E1350" t="s">
        <v>2999</v>
      </c>
      <c r="F1350" t="s">
        <v>3020</v>
      </c>
      <c r="G1350">
        <v>3</v>
      </c>
      <c r="H1350">
        <v>2107205</v>
      </c>
      <c r="I1350">
        <v>536540</v>
      </c>
      <c r="J1350">
        <v>27.56</v>
      </c>
      <c r="K1350">
        <v>12</v>
      </c>
      <c r="L1350" t="s">
        <v>3047</v>
      </c>
      <c r="M1350">
        <v>698</v>
      </c>
      <c r="N1350">
        <v>5</v>
      </c>
      <c r="O1350" t="s">
        <v>3056</v>
      </c>
      <c r="P1350" t="s">
        <v>3385</v>
      </c>
      <c r="Q1350">
        <v>0.25459999999999999</v>
      </c>
    </row>
    <row r="1351" spans="1:17" x14ac:dyDescent="0.35">
      <c r="A1351" t="s">
        <v>1343</v>
      </c>
      <c r="B1351" t="s">
        <v>2826</v>
      </c>
      <c r="C1351">
        <v>30</v>
      </c>
      <c r="D1351" t="s">
        <v>2992</v>
      </c>
      <c r="E1351" t="s">
        <v>3005</v>
      </c>
      <c r="F1351" t="s">
        <v>3018</v>
      </c>
      <c r="G1351">
        <v>13</v>
      </c>
      <c r="H1351">
        <v>708423</v>
      </c>
      <c r="I1351">
        <v>542780</v>
      </c>
      <c r="J1351">
        <v>10.93</v>
      </c>
      <c r="K1351">
        <v>36</v>
      </c>
      <c r="L1351" t="s">
        <v>3046</v>
      </c>
      <c r="M1351">
        <v>423</v>
      </c>
      <c r="N1351">
        <v>4</v>
      </c>
      <c r="O1351" t="s">
        <v>3056</v>
      </c>
      <c r="P1351" t="s">
        <v>3996</v>
      </c>
      <c r="Q1351">
        <v>0.76619999999999999</v>
      </c>
    </row>
    <row r="1352" spans="1:17" x14ac:dyDescent="0.35">
      <c r="A1352" t="s">
        <v>1344</v>
      </c>
      <c r="B1352" t="s">
        <v>2827</v>
      </c>
      <c r="C1352">
        <v>37</v>
      </c>
      <c r="D1352" t="s">
        <v>2990</v>
      </c>
      <c r="E1352" t="s">
        <v>3002</v>
      </c>
      <c r="F1352" t="s">
        <v>3018</v>
      </c>
      <c r="G1352">
        <v>27</v>
      </c>
      <c r="H1352">
        <v>1680948</v>
      </c>
      <c r="I1352">
        <v>45525</v>
      </c>
      <c r="J1352">
        <v>14.21</v>
      </c>
      <c r="K1352">
        <v>12</v>
      </c>
      <c r="L1352" t="s">
        <v>3050</v>
      </c>
      <c r="M1352">
        <v>687</v>
      </c>
      <c r="N1352">
        <v>5</v>
      </c>
      <c r="O1352" t="s">
        <v>3054</v>
      </c>
      <c r="P1352" t="s">
        <v>3997</v>
      </c>
      <c r="Q1352">
        <v>2.7099999999999999E-2</v>
      </c>
    </row>
    <row r="1353" spans="1:17" x14ac:dyDescent="0.35">
      <c r="A1353" t="s">
        <v>1345</v>
      </c>
      <c r="B1353" t="s">
        <v>2828</v>
      </c>
      <c r="C1353">
        <v>50</v>
      </c>
      <c r="D1353" t="s">
        <v>2990</v>
      </c>
      <c r="E1353" t="s">
        <v>3004</v>
      </c>
      <c r="F1353" t="s">
        <v>3018</v>
      </c>
      <c r="G1353">
        <v>2</v>
      </c>
      <c r="H1353">
        <v>1438870</v>
      </c>
      <c r="I1353">
        <v>400172</v>
      </c>
      <c r="J1353">
        <v>10.38</v>
      </c>
      <c r="K1353">
        <v>36</v>
      </c>
      <c r="L1353" t="s">
        <v>3051</v>
      </c>
      <c r="M1353">
        <v>792</v>
      </c>
      <c r="N1353">
        <v>7</v>
      </c>
      <c r="O1353" t="s">
        <v>3056</v>
      </c>
      <c r="P1353" t="s">
        <v>3998</v>
      </c>
      <c r="Q1353">
        <v>0.27810000000000001</v>
      </c>
    </row>
    <row r="1354" spans="1:17" x14ac:dyDescent="0.35">
      <c r="A1354" t="s">
        <v>1346</v>
      </c>
      <c r="B1354" t="s">
        <v>2829</v>
      </c>
      <c r="C1354">
        <v>50</v>
      </c>
      <c r="D1354" t="s">
        <v>2992</v>
      </c>
      <c r="E1354" t="s">
        <v>3005</v>
      </c>
      <c r="F1354" t="s">
        <v>3019</v>
      </c>
      <c r="G1354">
        <v>18</v>
      </c>
      <c r="H1354">
        <v>949097</v>
      </c>
      <c r="I1354">
        <v>556644</v>
      </c>
      <c r="J1354">
        <v>10.66</v>
      </c>
      <c r="K1354">
        <v>60</v>
      </c>
      <c r="L1354" t="s">
        <v>3050</v>
      </c>
      <c r="M1354">
        <v>594</v>
      </c>
      <c r="N1354">
        <v>1</v>
      </c>
      <c r="O1354" t="s">
        <v>3054</v>
      </c>
      <c r="P1354" t="s">
        <v>3999</v>
      </c>
      <c r="Q1354">
        <v>0.58650000000000002</v>
      </c>
    </row>
    <row r="1355" spans="1:17" x14ac:dyDescent="0.35">
      <c r="A1355" t="s">
        <v>1347</v>
      </c>
      <c r="B1355" t="s">
        <v>2830</v>
      </c>
      <c r="C1355">
        <v>50</v>
      </c>
      <c r="D1355" t="s">
        <v>2992</v>
      </c>
      <c r="E1355" t="s">
        <v>3001</v>
      </c>
      <c r="F1355" t="s">
        <v>3019</v>
      </c>
      <c r="G1355">
        <v>15</v>
      </c>
      <c r="H1355">
        <v>2169968</v>
      </c>
      <c r="I1355">
        <v>312253</v>
      </c>
      <c r="J1355">
        <v>9.7200000000000006</v>
      </c>
      <c r="K1355">
        <v>12</v>
      </c>
      <c r="L1355" t="s">
        <v>3047</v>
      </c>
      <c r="M1355">
        <v>545</v>
      </c>
      <c r="N1355">
        <v>2</v>
      </c>
      <c r="O1355" t="s">
        <v>3055</v>
      </c>
      <c r="P1355" t="s">
        <v>3581</v>
      </c>
      <c r="Q1355">
        <v>0.1439</v>
      </c>
    </row>
    <row r="1356" spans="1:17" x14ac:dyDescent="0.35">
      <c r="A1356" t="s">
        <v>1348</v>
      </c>
      <c r="B1356" t="s">
        <v>2831</v>
      </c>
      <c r="C1356">
        <v>36</v>
      </c>
      <c r="D1356" t="s">
        <v>2992</v>
      </c>
      <c r="E1356" t="s">
        <v>3014</v>
      </c>
      <c r="F1356" t="s">
        <v>3018</v>
      </c>
      <c r="G1356">
        <v>17</v>
      </c>
      <c r="H1356">
        <v>870493</v>
      </c>
      <c r="I1356">
        <v>269243</v>
      </c>
      <c r="J1356">
        <v>20.239999999999998</v>
      </c>
      <c r="K1356">
        <v>12</v>
      </c>
      <c r="L1356" t="s">
        <v>3049</v>
      </c>
      <c r="M1356">
        <v>427</v>
      </c>
      <c r="N1356">
        <v>6</v>
      </c>
      <c r="O1356" t="s">
        <v>3054</v>
      </c>
      <c r="P1356" t="s">
        <v>4000</v>
      </c>
      <c r="Q1356">
        <v>0.30930000000000002</v>
      </c>
    </row>
    <row r="1357" spans="1:17" x14ac:dyDescent="0.35">
      <c r="A1357" t="s">
        <v>1349</v>
      </c>
      <c r="B1357" t="s">
        <v>2832</v>
      </c>
      <c r="C1357">
        <v>60</v>
      </c>
      <c r="D1357" t="s">
        <v>2992</v>
      </c>
      <c r="E1357" t="s">
        <v>3001</v>
      </c>
      <c r="F1357" t="s">
        <v>3018</v>
      </c>
      <c r="G1357">
        <v>8</v>
      </c>
      <c r="H1357">
        <v>1216548</v>
      </c>
      <c r="I1357">
        <v>686393</v>
      </c>
      <c r="J1357">
        <v>11.64</v>
      </c>
      <c r="K1357">
        <v>24</v>
      </c>
      <c r="L1357" t="s">
        <v>3046</v>
      </c>
      <c r="M1357">
        <v>722</v>
      </c>
      <c r="N1357">
        <v>4</v>
      </c>
      <c r="O1357" t="s">
        <v>3053</v>
      </c>
      <c r="P1357" t="s">
        <v>3372</v>
      </c>
      <c r="Q1357">
        <v>0.56420000000000003</v>
      </c>
    </row>
    <row r="1358" spans="1:17" x14ac:dyDescent="0.35">
      <c r="A1358" t="s">
        <v>1350</v>
      </c>
      <c r="B1358" t="s">
        <v>2833</v>
      </c>
      <c r="C1358">
        <v>41</v>
      </c>
      <c r="D1358" t="s">
        <v>2990</v>
      </c>
      <c r="E1358" t="s">
        <v>3011</v>
      </c>
      <c r="F1358" t="s">
        <v>3018</v>
      </c>
      <c r="G1358">
        <v>3</v>
      </c>
      <c r="H1358">
        <v>218547</v>
      </c>
      <c r="I1358">
        <v>290170</v>
      </c>
      <c r="J1358">
        <v>15.14</v>
      </c>
      <c r="K1358">
        <v>24</v>
      </c>
      <c r="L1358" t="s">
        <v>3047</v>
      </c>
      <c r="M1358">
        <v>444</v>
      </c>
      <c r="N1358">
        <v>4</v>
      </c>
      <c r="O1358" t="s">
        <v>3056</v>
      </c>
      <c r="P1358" t="s">
        <v>3829</v>
      </c>
      <c r="Q1358">
        <v>1.3277000000000001</v>
      </c>
    </row>
    <row r="1359" spans="1:17" x14ac:dyDescent="0.35">
      <c r="A1359" t="s">
        <v>1351</v>
      </c>
      <c r="B1359" t="s">
        <v>2834</v>
      </c>
      <c r="C1359">
        <v>59</v>
      </c>
      <c r="D1359" t="s">
        <v>2990</v>
      </c>
      <c r="E1359" t="s">
        <v>2998</v>
      </c>
      <c r="F1359" t="s">
        <v>3019</v>
      </c>
      <c r="G1359">
        <v>22</v>
      </c>
      <c r="H1359">
        <v>1991840</v>
      </c>
      <c r="I1359">
        <v>719158</v>
      </c>
      <c r="J1359">
        <v>13.79</v>
      </c>
      <c r="K1359">
        <v>60</v>
      </c>
      <c r="L1359" t="s">
        <v>3050</v>
      </c>
      <c r="M1359">
        <v>486</v>
      </c>
      <c r="N1359">
        <v>2</v>
      </c>
      <c r="O1359" t="s">
        <v>3056</v>
      </c>
      <c r="P1359" t="s">
        <v>4001</v>
      </c>
      <c r="Q1359">
        <v>0.36109999999999998</v>
      </c>
    </row>
    <row r="1360" spans="1:17" x14ac:dyDescent="0.35">
      <c r="A1360" t="s">
        <v>1352</v>
      </c>
      <c r="B1360" t="s">
        <v>2835</v>
      </c>
      <c r="C1360">
        <v>29</v>
      </c>
      <c r="D1360" t="s">
        <v>2992</v>
      </c>
      <c r="E1360" t="s">
        <v>3005</v>
      </c>
      <c r="F1360" t="s">
        <v>3021</v>
      </c>
      <c r="G1360">
        <v>22</v>
      </c>
      <c r="H1360">
        <v>1749123</v>
      </c>
      <c r="I1360">
        <v>720769</v>
      </c>
      <c r="J1360">
        <v>26.41</v>
      </c>
      <c r="K1360">
        <v>60</v>
      </c>
      <c r="L1360" t="s">
        <v>3047</v>
      </c>
      <c r="M1360">
        <v>845</v>
      </c>
      <c r="N1360">
        <v>0</v>
      </c>
      <c r="O1360" t="s">
        <v>3055</v>
      </c>
      <c r="P1360" t="s">
        <v>4002</v>
      </c>
      <c r="Q1360">
        <v>0.41210000000000002</v>
      </c>
    </row>
    <row r="1361" spans="1:17" x14ac:dyDescent="0.35">
      <c r="A1361" t="s">
        <v>1353</v>
      </c>
      <c r="B1361" t="s">
        <v>2836</v>
      </c>
      <c r="C1361">
        <v>42</v>
      </c>
      <c r="D1361" t="s">
        <v>2990</v>
      </c>
      <c r="E1361" t="s">
        <v>3002</v>
      </c>
      <c r="F1361" t="s">
        <v>3020</v>
      </c>
      <c r="G1361">
        <v>21</v>
      </c>
      <c r="H1361">
        <v>1992336</v>
      </c>
      <c r="I1361">
        <v>668456</v>
      </c>
      <c r="J1361">
        <v>26.41</v>
      </c>
      <c r="K1361">
        <v>48</v>
      </c>
      <c r="L1361" t="s">
        <v>3051</v>
      </c>
      <c r="M1361">
        <v>842</v>
      </c>
      <c r="N1361">
        <v>3</v>
      </c>
      <c r="O1361" t="s">
        <v>3054</v>
      </c>
      <c r="P1361" t="s">
        <v>4003</v>
      </c>
      <c r="Q1361">
        <v>0.33550000000000002</v>
      </c>
    </row>
    <row r="1362" spans="1:17" x14ac:dyDescent="0.35">
      <c r="A1362" t="s">
        <v>1354</v>
      </c>
      <c r="B1362" t="s">
        <v>2837</v>
      </c>
      <c r="C1362">
        <v>45</v>
      </c>
      <c r="D1362" t="s">
        <v>2990</v>
      </c>
      <c r="E1362" t="s">
        <v>3003</v>
      </c>
      <c r="F1362" t="s">
        <v>3020</v>
      </c>
      <c r="G1362">
        <v>15</v>
      </c>
      <c r="I1362">
        <v>657999</v>
      </c>
      <c r="J1362">
        <v>24.17</v>
      </c>
      <c r="K1362">
        <v>48</v>
      </c>
      <c r="L1362" t="s">
        <v>3046</v>
      </c>
      <c r="M1362">
        <v>722</v>
      </c>
      <c r="N1362">
        <v>7</v>
      </c>
      <c r="O1362" t="s">
        <v>3052</v>
      </c>
      <c r="P1362" t="s">
        <v>3568</v>
      </c>
      <c r="Q1362">
        <v>0.4239</v>
      </c>
    </row>
    <row r="1363" spans="1:17" x14ac:dyDescent="0.35">
      <c r="A1363" t="s">
        <v>1355</v>
      </c>
      <c r="B1363" t="s">
        <v>2838</v>
      </c>
      <c r="C1363">
        <v>58</v>
      </c>
      <c r="D1363" t="s">
        <v>2990</v>
      </c>
      <c r="E1363" t="s">
        <v>2999</v>
      </c>
      <c r="F1363" t="s">
        <v>3019</v>
      </c>
      <c r="G1363">
        <v>14</v>
      </c>
      <c r="I1363">
        <v>167309</v>
      </c>
      <c r="J1363">
        <v>23.92</v>
      </c>
      <c r="K1363">
        <v>12</v>
      </c>
      <c r="L1363" t="s">
        <v>3046</v>
      </c>
      <c r="M1363">
        <v>718</v>
      </c>
      <c r="N1363">
        <v>4</v>
      </c>
      <c r="O1363" t="s">
        <v>3057</v>
      </c>
      <c r="P1363" t="s">
        <v>3397</v>
      </c>
      <c r="Q1363">
        <v>0.87460000000000004</v>
      </c>
    </row>
    <row r="1364" spans="1:17" x14ac:dyDescent="0.35">
      <c r="A1364" t="s">
        <v>1356</v>
      </c>
      <c r="B1364" t="s">
        <v>2839</v>
      </c>
      <c r="C1364">
        <v>30</v>
      </c>
      <c r="D1364" t="s">
        <v>2992</v>
      </c>
      <c r="E1364" t="s">
        <v>2999</v>
      </c>
      <c r="F1364" t="s">
        <v>3021</v>
      </c>
      <c r="G1364">
        <v>26</v>
      </c>
      <c r="H1364">
        <v>2341088</v>
      </c>
      <c r="I1364">
        <v>310374</v>
      </c>
      <c r="J1364">
        <v>23.1</v>
      </c>
      <c r="K1364">
        <v>24</v>
      </c>
      <c r="L1364" t="s">
        <v>3048</v>
      </c>
      <c r="M1364">
        <v>839</v>
      </c>
      <c r="N1364">
        <v>1</v>
      </c>
      <c r="O1364" t="s">
        <v>3053</v>
      </c>
      <c r="P1364" t="s">
        <v>3369</v>
      </c>
      <c r="Q1364">
        <v>0.1326</v>
      </c>
    </row>
    <row r="1365" spans="1:17" x14ac:dyDescent="0.35">
      <c r="A1365" t="s">
        <v>1357</v>
      </c>
      <c r="B1365" t="s">
        <v>2840</v>
      </c>
      <c r="C1365">
        <v>52</v>
      </c>
      <c r="D1365" t="s">
        <v>2992</v>
      </c>
      <c r="E1365" t="s">
        <v>2998</v>
      </c>
      <c r="F1365" t="s">
        <v>3021</v>
      </c>
      <c r="G1365">
        <v>11</v>
      </c>
      <c r="H1365">
        <v>893936</v>
      </c>
      <c r="I1365">
        <v>502488</v>
      </c>
      <c r="J1365">
        <v>20.02</v>
      </c>
      <c r="K1365">
        <v>24</v>
      </c>
      <c r="L1365" t="s">
        <v>3050</v>
      </c>
      <c r="M1365">
        <v>586</v>
      </c>
      <c r="N1365">
        <v>2</v>
      </c>
      <c r="O1365" t="s">
        <v>3053</v>
      </c>
      <c r="P1365" t="s">
        <v>4004</v>
      </c>
      <c r="Q1365">
        <v>0.56210000000000004</v>
      </c>
    </row>
    <row r="1366" spans="1:17" x14ac:dyDescent="0.35">
      <c r="A1366" t="s">
        <v>1358</v>
      </c>
      <c r="B1366" t="s">
        <v>2841</v>
      </c>
      <c r="C1366">
        <v>28</v>
      </c>
      <c r="D1366" t="s">
        <v>2990</v>
      </c>
      <c r="E1366" t="s">
        <v>3004</v>
      </c>
      <c r="F1366" t="s">
        <v>3019</v>
      </c>
      <c r="G1366">
        <v>15</v>
      </c>
      <c r="H1366">
        <v>1549363</v>
      </c>
      <c r="I1366">
        <v>741818</v>
      </c>
      <c r="J1366">
        <v>8.14</v>
      </c>
      <c r="K1366">
        <v>48</v>
      </c>
      <c r="L1366" t="s">
        <v>3051</v>
      </c>
      <c r="N1366">
        <v>7</v>
      </c>
      <c r="O1366" t="s">
        <v>3056</v>
      </c>
      <c r="P1366" t="s">
        <v>3753</v>
      </c>
      <c r="Q1366">
        <v>0.4788</v>
      </c>
    </row>
    <row r="1367" spans="1:17" x14ac:dyDescent="0.35">
      <c r="A1367" t="s">
        <v>1359</v>
      </c>
      <c r="B1367" t="s">
        <v>2842</v>
      </c>
      <c r="C1367">
        <v>53</v>
      </c>
      <c r="D1367" t="s">
        <v>2990</v>
      </c>
      <c r="E1367" t="s">
        <v>3000</v>
      </c>
      <c r="F1367" t="s">
        <v>3020</v>
      </c>
      <c r="G1367">
        <v>1</v>
      </c>
      <c r="H1367">
        <v>1510228</v>
      </c>
      <c r="I1367">
        <v>42601</v>
      </c>
      <c r="J1367">
        <v>24.7</v>
      </c>
      <c r="K1367">
        <v>12</v>
      </c>
      <c r="L1367" t="s">
        <v>3048</v>
      </c>
      <c r="M1367">
        <v>662</v>
      </c>
      <c r="N1367">
        <v>1</v>
      </c>
      <c r="O1367" t="s">
        <v>3055</v>
      </c>
      <c r="P1367" t="s">
        <v>3096</v>
      </c>
      <c r="Q1367">
        <v>2.8199999999999999E-2</v>
      </c>
    </row>
    <row r="1368" spans="1:17" x14ac:dyDescent="0.35">
      <c r="A1368" t="s">
        <v>1360</v>
      </c>
      <c r="B1368" t="s">
        <v>2843</v>
      </c>
      <c r="C1368">
        <v>37</v>
      </c>
      <c r="D1368" t="s">
        <v>2990</v>
      </c>
      <c r="E1368" t="s">
        <v>3006</v>
      </c>
      <c r="F1368" t="s">
        <v>3018</v>
      </c>
      <c r="G1368">
        <v>10</v>
      </c>
      <c r="H1368">
        <v>1500567</v>
      </c>
      <c r="I1368">
        <v>457470</v>
      </c>
      <c r="J1368">
        <v>22.63</v>
      </c>
      <c r="K1368">
        <v>12</v>
      </c>
      <c r="L1368" t="s">
        <v>3049</v>
      </c>
      <c r="M1368">
        <v>748</v>
      </c>
      <c r="N1368">
        <v>5</v>
      </c>
      <c r="O1368" t="s">
        <v>3056</v>
      </c>
      <c r="P1368" t="s">
        <v>3627</v>
      </c>
      <c r="Q1368">
        <v>0.3049</v>
      </c>
    </row>
    <row r="1369" spans="1:17" x14ac:dyDescent="0.35">
      <c r="A1369" t="s">
        <v>1361</v>
      </c>
      <c r="B1369" t="s">
        <v>2844</v>
      </c>
      <c r="C1369">
        <v>51</v>
      </c>
      <c r="D1369" t="s">
        <v>2993</v>
      </c>
      <c r="E1369" t="s">
        <v>3001</v>
      </c>
      <c r="F1369" t="s">
        <v>3018</v>
      </c>
      <c r="G1369">
        <v>0</v>
      </c>
      <c r="H1369">
        <v>1770963</v>
      </c>
      <c r="I1369">
        <v>501215</v>
      </c>
      <c r="J1369">
        <v>10.25</v>
      </c>
      <c r="K1369">
        <v>60</v>
      </c>
      <c r="L1369" t="s">
        <v>3047</v>
      </c>
      <c r="M1369">
        <v>682</v>
      </c>
      <c r="N1369">
        <v>5</v>
      </c>
      <c r="O1369" t="s">
        <v>3056</v>
      </c>
      <c r="P1369" t="s">
        <v>3809</v>
      </c>
      <c r="Q1369">
        <v>0.28299999999999997</v>
      </c>
    </row>
    <row r="1370" spans="1:17" x14ac:dyDescent="0.35">
      <c r="A1370" t="s">
        <v>1362</v>
      </c>
      <c r="B1370" t="s">
        <v>2845</v>
      </c>
      <c r="C1370">
        <v>57</v>
      </c>
      <c r="D1370" t="s">
        <v>2990</v>
      </c>
      <c r="E1370" t="s">
        <v>3006</v>
      </c>
      <c r="F1370" t="s">
        <v>3018</v>
      </c>
      <c r="G1370">
        <v>25</v>
      </c>
      <c r="H1370">
        <v>1860403</v>
      </c>
      <c r="I1370">
        <v>699530</v>
      </c>
      <c r="J1370">
        <v>15</v>
      </c>
      <c r="K1370">
        <v>36</v>
      </c>
      <c r="L1370" t="s">
        <v>3051</v>
      </c>
      <c r="M1370">
        <v>644</v>
      </c>
      <c r="N1370">
        <v>1</v>
      </c>
      <c r="O1370" t="s">
        <v>3052</v>
      </c>
      <c r="P1370" t="s">
        <v>3276</v>
      </c>
      <c r="Q1370">
        <v>0.376</v>
      </c>
    </row>
    <row r="1371" spans="1:17" x14ac:dyDescent="0.35">
      <c r="A1371" t="s">
        <v>1363</v>
      </c>
      <c r="B1371" t="s">
        <v>2846</v>
      </c>
      <c r="C1371">
        <v>58</v>
      </c>
      <c r="D1371" t="s">
        <v>2992</v>
      </c>
      <c r="E1371" t="s">
        <v>2998</v>
      </c>
      <c r="F1371" t="s">
        <v>3021</v>
      </c>
      <c r="G1371">
        <v>20</v>
      </c>
      <c r="H1371">
        <v>929971</v>
      </c>
      <c r="I1371">
        <v>197826</v>
      </c>
      <c r="J1371">
        <v>11.98</v>
      </c>
      <c r="K1371">
        <v>60</v>
      </c>
      <c r="L1371" t="s">
        <v>3051</v>
      </c>
      <c r="M1371">
        <v>778</v>
      </c>
      <c r="N1371">
        <v>0</v>
      </c>
      <c r="O1371" t="s">
        <v>3053</v>
      </c>
      <c r="P1371" t="s">
        <v>3586</v>
      </c>
      <c r="Q1371">
        <v>0.2127</v>
      </c>
    </row>
    <row r="1372" spans="1:17" x14ac:dyDescent="0.35">
      <c r="A1372" t="s">
        <v>1364</v>
      </c>
      <c r="B1372" t="s">
        <v>2847</v>
      </c>
      <c r="C1372">
        <v>33</v>
      </c>
      <c r="D1372" t="s">
        <v>2990</v>
      </c>
      <c r="E1372" t="s">
        <v>3016</v>
      </c>
      <c r="F1372" t="s">
        <v>3020</v>
      </c>
      <c r="G1372">
        <v>6</v>
      </c>
      <c r="H1372">
        <v>1654764</v>
      </c>
      <c r="I1372">
        <v>76358</v>
      </c>
      <c r="J1372">
        <v>19.54</v>
      </c>
      <c r="K1372">
        <v>12</v>
      </c>
      <c r="L1372" t="s">
        <v>3050</v>
      </c>
      <c r="M1372">
        <v>658</v>
      </c>
      <c r="N1372">
        <v>7</v>
      </c>
      <c r="O1372" t="s">
        <v>3054</v>
      </c>
      <c r="P1372" t="s">
        <v>4005</v>
      </c>
      <c r="Q1372">
        <v>4.6100000000000002E-2</v>
      </c>
    </row>
    <row r="1373" spans="1:17" x14ac:dyDescent="0.35">
      <c r="A1373" t="s">
        <v>1365</v>
      </c>
      <c r="B1373" t="s">
        <v>2848</v>
      </c>
      <c r="C1373">
        <v>55</v>
      </c>
      <c r="D1373" t="s">
        <v>2992</v>
      </c>
      <c r="E1373" t="s">
        <v>3003</v>
      </c>
      <c r="F1373" t="s">
        <v>3021</v>
      </c>
      <c r="G1373">
        <v>21</v>
      </c>
      <c r="H1373">
        <v>2151856</v>
      </c>
      <c r="I1373">
        <v>756129</v>
      </c>
      <c r="J1373">
        <v>13.22</v>
      </c>
      <c r="K1373">
        <v>60</v>
      </c>
      <c r="L1373" t="s">
        <v>3050</v>
      </c>
      <c r="M1373">
        <v>346</v>
      </c>
      <c r="N1373">
        <v>0</v>
      </c>
      <c r="O1373" t="s">
        <v>3052</v>
      </c>
      <c r="P1373" t="s">
        <v>4006</v>
      </c>
      <c r="Q1373">
        <v>0.35139999999999999</v>
      </c>
    </row>
    <row r="1374" spans="1:17" x14ac:dyDescent="0.35">
      <c r="A1374" t="s">
        <v>1366</v>
      </c>
      <c r="B1374" t="s">
        <v>2849</v>
      </c>
      <c r="C1374">
        <v>55</v>
      </c>
      <c r="E1374" t="s">
        <v>3002</v>
      </c>
      <c r="F1374" t="s">
        <v>3020</v>
      </c>
      <c r="G1374">
        <v>14</v>
      </c>
      <c r="I1374">
        <v>489450</v>
      </c>
      <c r="J1374">
        <v>18.89</v>
      </c>
      <c r="K1374">
        <v>60</v>
      </c>
      <c r="L1374" t="s">
        <v>3050</v>
      </c>
      <c r="M1374">
        <v>584</v>
      </c>
      <c r="N1374">
        <v>4</v>
      </c>
      <c r="O1374" t="s">
        <v>3057</v>
      </c>
      <c r="P1374" t="s">
        <v>3925</v>
      </c>
      <c r="Q1374">
        <v>0.21909999999999999</v>
      </c>
    </row>
    <row r="1375" spans="1:17" x14ac:dyDescent="0.35">
      <c r="A1375" t="s">
        <v>1367</v>
      </c>
      <c r="B1375" t="s">
        <v>2850</v>
      </c>
      <c r="C1375">
        <v>21</v>
      </c>
      <c r="D1375" t="s">
        <v>2992</v>
      </c>
      <c r="E1375" t="s">
        <v>3000</v>
      </c>
      <c r="F1375" t="s">
        <v>3020</v>
      </c>
      <c r="G1375">
        <v>18</v>
      </c>
      <c r="H1375">
        <v>509638</v>
      </c>
      <c r="I1375">
        <v>412670</v>
      </c>
      <c r="J1375">
        <v>18.89</v>
      </c>
      <c r="K1375">
        <v>24</v>
      </c>
      <c r="L1375" t="s">
        <v>3047</v>
      </c>
      <c r="M1375">
        <v>712</v>
      </c>
      <c r="N1375">
        <v>4</v>
      </c>
      <c r="O1375" t="s">
        <v>3052</v>
      </c>
      <c r="P1375" t="s">
        <v>4003</v>
      </c>
      <c r="Q1375">
        <v>0.80969999999999998</v>
      </c>
    </row>
    <row r="1376" spans="1:17" x14ac:dyDescent="0.35">
      <c r="A1376" t="s">
        <v>1368</v>
      </c>
      <c r="B1376" t="s">
        <v>2851</v>
      </c>
      <c r="C1376">
        <v>24</v>
      </c>
      <c r="D1376" t="s">
        <v>2992</v>
      </c>
      <c r="E1376" t="s">
        <v>3005</v>
      </c>
      <c r="F1376" t="s">
        <v>3019</v>
      </c>
      <c r="G1376">
        <v>1</v>
      </c>
      <c r="H1376">
        <v>1729420</v>
      </c>
      <c r="I1376">
        <v>627466</v>
      </c>
      <c r="J1376">
        <v>11.58</v>
      </c>
      <c r="K1376">
        <v>36</v>
      </c>
      <c r="L1376" t="s">
        <v>3047</v>
      </c>
      <c r="M1376">
        <v>593</v>
      </c>
      <c r="N1376">
        <v>2</v>
      </c>
      <c r="O1376" t="s">
        <v>3055</v>
      </c>
      <c r="P1376" t="s">
        <v>3181</v>
      </c>
      <c r="Q1376">
        <v>0.36280000000000001</v>
      </c>
    </row>
    <row r="1377" spans="1:17" x14ac:dyDescent="0.35">
      <c r="A1377" t="s">
        <v>1369</v>
      </c>
      <c r="B1377" t="s">
        <v>2852</v>
      </c>
      <c r="C1377">
        <v>34</v>
      </c>
      <c r="D1377" t="s">
        <v>2992</v>
      </c>
      <c r="E1377" t="s">
        <v>3004</v>
      </c>
      <c r="F1377" t="s">
        <v>3020</v>
      </c>
      <c r="G1377">
        <v>10</v>
      </c>
      <c r="H1377">
        <v>305149</v>
      </c>
      <c r="I1377">
        <v>303983</v>
      </c>
      <c r="J1377">
        <v>15.84</v>
      </c>
      <c r="K1377">
        <v>60</v>
      </c>
      <c r="L1377" t="s">
        <v>3049</v>
      </c>
      <c r="M1377">
        <v>674</v>
      </c>
      <c r="N1377">
        <v>1</v>
      </c>
      <c r="O1377" t="s">
        <v>3055</v>
      </c>
      <c r="P1377" t="s">
        <v>4007</v>
      </c>
      <c r="Q1377">
        <v>0.99619999999999997</v>
      </c>
    </row>
    <row r="1378" spans="1:17" x14ac:dyDescent="0.35">
      <c r="A1378" t="s">
        <v>1370</v>
      </c>
      <c r="B1378" t="s">
        <v>2853</v>
      </c>
      <c r="C1378">
        <v>30</v>
      </c>
      <c r="D1378" t="s">
        <v>2990</v>
      </c>
      <c r="E1378" t="s">
        <v>3005</v>
      </c>
      <c r="F1378" t="s">
        <v>3018</v>
      </c>
      <c r="G1378">
        <v>29</v>
      </c>
      <c r="H1378">
        <v>755919</v>
      </c>
      <c r="I1378">
        <v>227352</v>
      </c>
      <c r="J1378">
        <v>17.66</v>
      </c>
      <c r="K1378">
        <v>24</v>
      </c>
      <c r="L1378" t="s">
        <v>3049</v>
      </c>
      <c r="M1378">
        <v>763</v>
      </c>
      <c r="N1378">
        <v>2</v>
      </c>
      <c r="O1378" t="s">
        <v>3054</v>
      </c>
      <c r="P1378" t="s">
        <v>4008</v>
      </c>
      <c r="Q1378">
        <v>0.30080000000000001</v>
      </c>
    </row>
    <row r="1379" spans="1:17" x14ac:dyDescent="0.35">
      <c r="A1379" t="s">
        <v>1371</v>
      </c>
      <c r="B1379" t="s">
        <v>2854</v>
      </c>
      <c r="C1379">
        <v>54</v>
      </c>
      <c r="D1379" t="s">
        <v>2990</v>
      </c>
      <c r="E1379" t="s">
        <v>3004</v>
      </c>
      <c r="F1379" t="s">
        <v>3021</v>
      </c>
      <c r="G1379">
        <v>12</v>
      </c>
      <c r="H1379">
        <v>1135154</v>
      </c>
      <c r="I1379">
        <v>111328</v>
      </c>
      <c r="J1379">
        <v>20.83</v>
      </c>
      <c r="K1379">
        <v>48</v>
      </c>
      <c r="L1379" t="s">
        <v>3048</v>
      </c>
      <c r="M1379">
        <v>623</v>
      </c>
      <c r="N1379">
        <v>4</v>
      </c>
      <c r="O1379" t="s">
        <v>3054</v>
      </c>
      <c r="P1379" t="s">
        <v>3104</v>
      </c>
      <c r="Q1379">
        <v>9.8100000000000007E-2</v>
      </c>
    </row>
    <row r="1380" spans="1:17" x14ac:dyDescent="0.35">
      <c r="A1380" t="s">
        <v>1372</v>
      </c>
      <c r="B1380" t="s">
        <v>2855</v>
      </c>
      <c r="C1380">
        <v>61</v>
      </c>
      <c r="D1380" t="s">
        <v>2990</v>
      </c>
      <c r="E1380" t="s">
        <v>3007</v>
      </c>
      <c r="F1380" t="s">
        <v>3021</v>
      </c>
      <c r="G1380">
        <v>4</v>
      </c>
      <c r="H1380">
        <v>225232</v>
      </c>
      <c r="I1380">
        <v>503442</v>
      </c>
      <c r="J1380">
        <v>8.98</v>
      </c>
      <c r="K1380">
        <v>36</v>
      </c>
      <c r="L1380" t="s">
        <v>3051</v>
      </c>
      <c r="M1380">
        <v>837</v>
      </c>
      <c r="N1380">
        <v>6</v>
      </c>
      <c r="O1380" t="s">
        <v>3052</v>
      </c>
      <c r="P1380" t="s">
        <v>4009</v>
      </c>
      <c r="Q1380">
        <v>2.2351999999999999</v>
      </c>
    </row>
    <row r="1381" spans="1:17" x14ac:dyDescent="0.35">
      <c r="A1381" t="s">
        <v>1373</v>
      </c>
      <c r="B1381" t="s">
        <v>2856</v>
      </c>
      <c r="C1381">
        <v>45</v>
      </c>
      <c r="D1381" t="s">
        <v>2992</v>
      </c>
      <c r="E1381" t="s">
        <v>3007</v>
      </c>
      <c r="F1381" t="s">
        <v>3021</v>
      </c>
      <c r="G1381">
        <v>6</v>
      </c>
      <c r="H1381">
        <v>1761074</v>
      </c>
      <c r="I1381">
        <v>430591</v>
      </c>
      <c r="J1381">
        <v>13.48</v>
      </c>
      <c r="K1381">
        <v>12</v>
      </c>
      <c r="L1381" t="s">
        <v>3050</v>
      </c>
      <c r="M1381">
        <v>512</v>
      </c>
      <c r="N1381">
        <v>1</v>
      </c>
      <c r="O1381" t="s">
        <v>3054</v>
      </c>
      <c r="P1381" t="s">
        <v>3614</v>
      </c>
      <c r="Q1381">
        <v>0.2445</v>
      </c>
    </row>
    <row r="1382" spans="1:17" x14ac:dyDescent="0.35">
      <c r="A1382" t="s">
        <v>1374</v>
      </c>
      <c r="B1382" t="s">
        <v>1716</v>
      </c>
      <c r="C1382">
        <v>26</v>
      </c>
      <c r="D1382" t="s">
        <v>2990</v>
      </c>
      <c r="E1382" t="s">
        <v>3002</v>
      </c>
      <c r="F1382" t="s">
        <v>3020</v>
      </c>
      <c r="G1382">
        <v>29</v>
      </c>
      <c r="H1382">
        <v>2328347</v>
      </c>
      <c r="I1382">
        <v>469076</v>
      </c>
      <c r="J1382">
        <v>13.43</v>
      </c>
      <c r="K1382">
        <v>60</v>
      </c>
      <c r="L1382" t="s">
        <v>3047</v>
      </c>
      <c r="M1382">
        <v>802</v>
      </c>
      <c r="N1382">
        <v>4</v>
      </c>
      <c r="O1382" t="s">
        <v>3057</v>
      </c>
      <c r="P1382" t="s">
        <v>3800</v>
      </c>
      <c r="Q1382">
        <v>0.20150000000000001</v>
      </c>
    </row>
    <row r="1383" spans="1:17" x14ac:dyDescent="0.35">
      <c r="A1383" t="s">
        <v>1375</v>
      </c>
      <c r="B1383" t="s">
        <v>2857</v>
      </c>
      <c r="C1383">
        <v>7</v>
      </c>
      <c r="D1383" t="s">
        <v>2990</v>
      </c>
      <c r="E1383" t="s">
        <v>3006</v>
      </c>
      <c r="F1383" t="s">
        <v>3021</v>
      </c>
      <c r="G1383">
        <v>9</v>
      </c>
      <c r="H1383">
        <v>901037</v>
      </c>
      <c r="I1383">
        <v>454219</v>
      </c>
      <c r="J1383">
        <v>14.42</v>
      </c>
      <c r="K1383">
        <v>60</v>
      </c>
      <c r="L1383" t="s">
        <v>3047</v>
      </c>
      <c r="M1383">
        <v>838</v>
      </c>
      <c r="N1383">
        <v>3</v>
      </c>
      <c r="O1383" t="s">
        <v>3054</v>
      </c>
      <c r="P1383" t="s">
        <v>3641</v>
      </c>
      <c r="Q1383">
        <v>0.50409999999999999</v>
      </c>
    </row>
    <row r="1384" spans="1:17" x14ac:dyDescent="0.35">
      <c r="A1384" t="s">
        <v>1376</v>
      </c>
      <c r="B1384" t="s">
        <v>2858</v>
      </c>
      <c r="C1384">
        <v>30</v>
      </c>
      <c r="D1384" t="s">
        <v>2990</v>
      </c>
      <c r="E1384" t="s">
        <v>3007</v>
      </c>
      <c r="F1384" t="s">
        <v>3020</v>
      </c>
      <c r="G1384">
        <v>29</v>
      </c>
      <c r="H1384">
        <v>341445</v>
      </c>
      <c r="I1384">
        <v>438829</v>
      </c>
      <c r="J1384">
        <v>20.02</v>
      </c>
      <c r="K1384">
        <v>60</v>
      </c>
      <c r="L1384" t="s">
        <v>3046</v>
      </c>
      <c r="M1384">
        <v>366</v>
      </c>
      <c r="N1384">
        <v>6</v>
      </c>
      <c r="O1384" t="s">
        <v>3054</v>
      </c>
      <c r="P1384" t="s">
        <v>3665</v>
      </c>
      <c r="Q1384">
        <v>1.2851999999999999</v>
      </c>
    </row>
    <row r="1385" spans="1:17" x14ac:dyDescent="0.35">
      <c r="A1385" t="s">
        <v>1377</v>
      </c>
      <c r="B1385" t="s">
        <v>2859</v>
      </c>
      <c r="C1385">
        <v>45</v>
      </c>
      <c r="D1385" t="s">
        <v>2990</v>
      </c>
      <c r="E1385" t="s">
        <v>3005</v>
      </c>
      <c r="F1385" t="s">
        <v>3020</v>
      </c>
      <c r="G1385">
        <v>19</v>
      </c>
      <c r="H1385">
        <v>1386123</v>
      </c>
      <c r="I1385">
        <v>75480</v>
      </c>
      <c r="J1385">
        <v>18.22</v>
      </c>
      <c r="K1385">
        <v>48</v>
      </c>
      <c r="L1385" t="s">
        <v>3046</v>
      </c>
      <c r="M1385">
        <v>525</v>
      </c>
      <c r="N1385">
        <v>1</v>
      </c>
      <c r="O1385" t="s">
        <v>3052</v>
      </c>
      <c r="P1385" t="s">
        <v>4010</v>
      </c>
      <c r="Q1385">
        <v>5.45E-2</v>
      </c>
    </row>
    <row r="1386" spans="1:17" x14ac:dyDescent="0.35">
      <c r="A1386" t="s">
        <v>1378</v>
      </c>
      <c r="B1386" t="s">
        <v>2860</v>
      </c>
      <c r="C1386">
        <v>50</v>
      </c>
      <c r="D1386" t="s">
        <v>2992</v>
      </c>
      <c r="E1386" t="s">
        <v>3007</v>
      </c>
      <c r="F1386" t="s">
        <v>3021</v>
      </c>
      <c r="G1386">
        <v>13</v>
      </c>
      <c r="H1386">
        <v>343834</v>
      </c>
      <c r="I1386">
        <v>473809</v>
      </c>
      <c r="J1386">
        <v>16.88</v>
      </c>
      <c r="K1386">
        <v>60</v>
      </c>
      <c r="L1386" t="s">
        <v>3049</v>
      </c>
      <c r="M1386">
        <v>748</v>
      </c>
      <c r="N1386">
        <v>3</v>
      </c>
      <c r="O1386" t="s">
        <v>3057</v>
      </c>
      <c r="P1386" t="s">
        <v>3783</v>
      </c>
      <c r="Q1386">
        <v>1.3779999999999999</v>
      </c>
    </row>
    <row r="1387" spans="1:17" x14ac:dyDescent="0.35">
      <c r="A1387" t="s">
        <v>1379</v>
      </c>
      <c r="B1387" t="s">
        <v>2861</v>
      </c>
      <c r="C1387">
        <v>32</v>
      </c>
      <c r="D1387" t="s">
        <v>2992</v>
      </c>
      <c r="E1387" t="s">
        <v>3001</v>
      </c>
      <c r="F1387" t="s">
        <v>3020</v>
      </c>
      <c r="G1387">
        <v>20</v>
      </c>
      <c r="H1387">
        <v>1988322</v>
      </c>
      <c r="I1387">
        <v>752763</v>
      </c>
      <c r="J1387">
        <v>19.54</v>
      </c>
      <c r="K1387">
        <v>60</v>
      </c>
      <c r="L1387" t="s">
        <v>3047</v>
      </c>
      <c r="M1387">
        <v>338</v>
      </c>
      <c r="N1387">
        <v>6</v>
      </c>
      <c r="O1387" t="s">
        <v>3052</v>
      </c>
      <c r="P1387" t="s">
        <v>3211</v>
      </c>
      <c r="Q1387">
        <v>0.37859999999999999</v>
      </c>
    </row>
    <row r="1388" spans="1:17" x14ac:dyDescent="0.35">
      <c r="A1388" t="s">
        <v>1380</v>
      </c>
      <c r="B1388" t="s">
        <v>2862</v>
      </c>
      <c r="C1388">
        <v>27</v>
      </c>
      <c r="D1388" t="s">
        <v>2990</v>
      </c>
      <c r="E1388" t="s">
        <v>3006</v>
      </c>
      <c r="F1388" t="s">
        <v>3020</v>
      </c>
      <c r="G1388">
        <v>24</v>
      </c>
      <c r="H1388">
        <v>873045</v>
      </c>
      <c r="I1388">
        <v>332863</v>
      </c>
      <c r="J1388">
        <v>10.57</v>
      </c>
      <c r="K1388">
        <v>60</v>
      </c>
      <c r="L1388" t="s">
        <v>3051</v>
      </c>
      <c r="M1388">
        <v>605</v>
      </c>
      <c r="N1388">
        <v>7</v>
      </c>
      <c r="O1388" t="s">
        <v>3052</v>
      </c>
      <c r="P1388" t="s">
        <v>4011</v>
      </c>
      <c r="Q1388">
        <v>0.38129999999999997</v>
      </c>
    </row>
    <row r="1389" spans="1:17" x14ac:dyDescent="0.35">
      <c r="A1389" t="s">
        <v>1381</v>
      </c>
      <c r="B1389" t="s">
        <v>2863</v>
      </c>
      <c r="C1389">
        <v>30</v>
      </c>
      <c r="D1389" t="s">
        <v>2992</v>
      </c>
      <c r="E1389" t="s">
        <v>3000</v>
      </c>
      <c r="F1389" t="s">
        <v>3020</v>
      </c>
      <c r="G1389">
        <v>29</v>
      </c>
      <c r="H1389">
        <v>250119</v>
      </c>
      <c r="I1389">
        <v>213984</v>
      </c>
      <c r="J1389">
        <v>20.51</v>
      </c>
      <c r="K1389">
        <v>36</v>
      </c>
      <c r="L1389" t="s">
        <v>3049</v>
      </c>
      <c r="M1389">
        <v>430</v>
      </c>
      <c r="N1389">
        <v>1</v>
      </c>
      <c r="O1389" t="s">
        <v>3052</v>
      </c>
      <c r="P1389" t="s">
        <v>3584</v>
      </c>
      <c r="Q1389">
        <v>0.85550000000000004</v>
      </c>
    </row>
    <row r="1390" spans="1:17" x14ac:dyDescent="0.35">
      <c r="A1390" t="s">
        <v>1382</v>
      </c>
      <c r="B1390" t="s">
        <v>2864</v>
      </c>
      <c r="C1390">
        <v>38</v>
      </c>
      <c r="D1390" t="s">
        <v>2993</v>
      </c>
      <c r="E1390" t="s">
        <v>3004</v>
      </c>
      <c r="F1390" t="s">
        <v>3019</v>
      </c>
      <c r="G1390">
        <v>24</v>
      </c>
      <c r="H1390">
        <v>1471627</v>
      </c>
      <c r="I1390">
        <v>375054</v>
      </c>
      <c r="J1390">
        <v>22.41</v>
      </c>
      <c r="K1390">
        <v>48</v>
      </c>
      <c r="L1390" t="s">
        <v>3048</v>
      </c>
      <c r="M1390">
        <v>587</v>
      </c>
      <c r="N1390">
        <v>5</v>
      </c>
      <c r="O1390" t="s">
        <v>3058</v>
      </c>
      <c r="P1390" t="s">
        <v>4012</v>
      </c>
      <c r="Q1390">
        <v>0.25490000000000002</v>
      </c>
    </row>
    <row r="1391" spans="1:17" x14ac:dyDescent="0.35">
      <c r="A1391" t="s">
        <v>1383</v>
      </c>
      <c r="B1391" t="s">
        <v>2865</v>
      </c>
      <c r="C1391">
        <v>200</v>
      </c>
      <c r="E1391" t="s">
        <v>3007</v>
      </c>
      <c r="F1391" t="s">
        <v>3020</v>
      </c>
      <c r="G1391">
        <v>6</v>
      </c>
      <c r="H1391">
        <v>481207</v>
      </c>
      <c r="I1391">
        <v>229329</v>
      </c>
      <c r="J1391">
        <v>21.68</v>
      </c>
      <c r="K1391">
        <v>48</v>
      </c>
      <c r="L1391" t="s">
        <v>3051</v>
      </c>
      <c r="M1391">
        <v>836</v>
      </c>
      <c r="N1391">
        <v>0</v>
      </c>
      <c r="O1391" t="s">
        <v>3056</v>
      </c>
      <c r="P1391" t="s">
        <v>3127</v>
      </c>
      <c r="Q1391">
        <v>0.47660000000000002</v>
      </c>
    </row>
    <row r="1392" spans="1:17" x14ac:dyDescent="0.35">
      <c r="A1392" t="s">
        <v>866</v>
      </c>
      <c r="B1392" t="s">
        <v>2354</v>
      </c>
      <c r="C1392">
        <v>29</v>
      </c>
      <c r="D1392" t="s">
        <v>2992</v>
      </c>
      <c r="E1392" t="s">
        <v>3001</v>
      </c>
      <c r="F1392" t="s">
        <v>3019</v>
      </c>
      <c r="G1392">
        <v>17</v>
      </c>
      <c r="I1392">
        <v>295796</v>
      </c>
      <c r="J1392">
        <v>17.43</v>
      </c>
      <c r="K1392">
        <v>24</v>
      </c>
      <c r="L1392" t="s">
        <v>3051</v>
      </c>
      <c r="M1392">
        <v>593</v>
      </c>
      <c r="N1392">
        <v>4</v>
      </c>
      <c r="O1392" t="s">
        <v>3053</v>
      </c>
      <c r="P1392" t="s">
        <v>3748</v>
      </c>
      <c r="Q1392">
        <v>0.36020000000000002</v>
      </c>
    </row>
    <row r="1393" spans="1:17" x14ac:dyDescent="0.35">
      <c r="A1393" t="s">
        <v>1384</v>
      </c>
      <c r="B1393" t="s">
        <v>2866</v>
      </c>
      <c r="C1393">
        <v>38</v>
      </c>
      <c r="D1393" t="s">
        <v>2992</v>
      </c>
      <c r="E1393" t="s">
        <v>2998</v>
      </c>
      <c r="F1393" t="s">
        <v>3020</v>
      </c>
      <c r="G1393">
        <v>4</v>
      </c>
      <c r="H1393">
        <v>1287054</v>
      </c>
      <c r="I1393">
        <v>531760</v>
      </c>
      <c r="J1393">
        <v>13.04</v>
      </c>
      <c r="K1393">
        <v>60</v>
      </c>
      <c r="L1393" t="s">
        <v>3049</v>
      </c>
      <c r="M1393">
        <v>735</v>
      </c>
      <c r="N1393">
        <v>6</v>
      </c>
      <c r="O1393" t="s">
        <v>3056</v>
      </c>
      <c r="P1393" t="s">
        <v>3759</v>
      </c>
      <c r="Q1393">
        <v>0.41320000000000001</v>
      </c>
    </row>
    <row r="1394" spans="1:17" x14ac:dyDescent="0.35">
      <c r="A1394" t="s">
        <v>1385</v>
      </c>
      <c r="B1394" t="s">
        <v>2867</v>
      </c>
      <c r="C1394">
        <v>52</v>
      </c>
      <c r="D1394" t="s">
        <v>2990</v>
      </c>
      <c r="E1394" t="s">
        <v>2998</v>
      </c>
      <c r="F1394" t="s">
        <v>3018</v>
      </c>
      <c r="G1394">
        <v>20</v>
      </c>
      <c r="H1394">
        <v>881692</v>
      </c>
      <c r="I1394">
        <v>728175</v>
      </c>
      <c r="J1394">
        <v>17.96</v>
      </c>
      <c r="K1394">
        <v>24</v>
      </c>
      <c r="L1394" t="s">
        <v>3048</v>
      </c>
      <c r="M1394">
        <v>374</v>
      </c>
      <c r="N1394">
        <v>5</v>
      </c>
      <c r="O1394" t="s">
        <v>3053</v>
      </c>
      <c r="P1394" t="s">
        <v>3793</v>
      </c>
      <c r="Q1394">
        <v>0.82589999999999997</v>
      </c>
    </row>
    <row r="1395" spans="1:17" x14ac:dyDescent="0.35">
      <c r="A1395" t="s">
        <v>1386</v>
      </c>
      <c r="B1395" t="s">
        <v>2868</v>
      </c>
      <c r="C1395">
        <v>48</v>
      </c>
      <c r="D1395" t="s">
        <v>2990</v>
      </c>
      <c r="E1395" t="s">
        <v>3002</v>
      </c>
      <c r="F1395" t="s">
        <v>3019</v>
      </c>
      <c r="G1395">
        <v>25</v>
      </c>
      <c r="H1395">
        <v>243037</v>
      </c>
      <c r="I1395">
        <v>792997</v>
      </c>
      <c r="J1395">
        <v>10.41</v>
      </c>
      <c r="K1395">
        <v>60</v>
      </c>
      <c r="L1395" t="s">
        <v>3051</v>
      </c>
      <c r="M1395">
        <v>849</v>
      </c>
      <c r="N1395">
        <v>6</v>
      </c>
      <c r="O1395" t="s">
        <v>3053</v>
      </c>
      <c r="P1395" t="s">
        <v>3552</v>
      </c>
      <c r="Q1395">
        <v>3.2629000000000001</v>
      </c>
    </row>
    <row r="1396" spans="1:17" x14ac:dyDescent="0.35">
      <c r="A1396" t="s">
        <v>1387</v>
      </c>
      <c r="B1396" t="s">
        <v>2869</v>
      </c>
      <c r="C1396">
        <v>49</v>
      </c>
      <c r="D1396" t="s">
        <v>2990</v>
      </c>
      <c r="E1396" t="s">
        <v>3000</v>
      </c>
      <c r="F1396" t="s">
        <v>3019</v>
      </c>
      <c r="G1396">
        <v>24</v>
      </c>
      <c r="H1396">
        <v>735655</v>
      </c>
      <c r="I1396">
        <v>131435</v>
      </c>
      <c r="J1396">
        <v>20.63</v>
      </c>
      <c r="K1396">
        <v>60</v>
      </c>
      <c r="M1396">
        <v>341</v>
      </c>
      <c r="N1396">
        <v>5</v>
      </c>
      <c r="O1396" t="s">
        <v>3056</v>
      </c>
      <c r="P1396" t="s">
        <v>3165</v>
      </c>
      <c r="Q1396">
        <v>0.1787</v>
      </c>
    </row>
    <row r="1397" spans="1:17" x14ac:dyDescent="0.35">
      <c r="A1397" t="s">
        <v>1388</v>
      </c>
      <c r="B1397" t="s">
        <v>2870</v>
      </c>
      <c r="C1397">
        <v>31</v>
      </c>
      <c r="D1397" t="s">
        <v>2992</v>
      </c>
      <c r="E1397" t="s">
        <v>3004</v>
      </c>
      <c r="F1397" t="s">
        <v>3021</v>
      </c>
      <c r="G1397">
        <v>12</v>
      </c>
      <c r="H1397">
        <v>935678</v>
      </c>
      <c r="I1397">
        <v>657938</v>
      </c>
      <c r="J1397">
        <v>8.4499999999999993</v>
      </c>
      <c r="K1397">
        <v>48</v>
      </c>
      <c r="L1397" t="s">
        <v>3049</v>
      </c>
      <c r="M1397">
        <v>765</v>
      </c>
      <c r="N1397">
        <v>4</v>
      </c>
      <c r="O1397" t="s">
        <v>3053</v>
      </c>
      <c r="P1397" t="s">
        <v>3113</v>
      </c>
      <c r="Q1397">
        <v>0.70320000000000005</v>
      </c>
    </row>
    <row r="1398" spans="1:17" x14ac:dyDescent="0.35">
      <c r="A1398" t="s">
        <v>1389</v>
      </c>
      <c r="B1398" t="s">
        <v>2871</v>
      </c>
      <c r="C1398">
        <v>48</v>
      </c>
      <c r="D1398" t="s">
        <v>2992</v>
      </c>
      <c r="E1398" t="s">
        <v>3000</v>
      </c>
      <c r="F1398" t="s">
        <v>3019</v>
      </c>
      <c r="G1398">
        <v>20</v>
      </c>
      <c r="H1398">
        <v>773586</v>
      </c>
      <c r="I1398">
        <v>77134</v>
      </c>
      <c r="J1398">
        <v>11.69</v>
      </c>
      <c r="K1398">
        <v>48</v>
      </c>
      <c r="L1398" t="s">
        <v>3047</v>
      </c>
      <c r="M1398">
        <v>695</v>
      </c>
      <c r="N1398">
        <v>6</v>
      </c>
      <c r="O1398" t="s">
        <v>3057</v>
      </c>
      <c r="P1398" t="s">
        <v>4013</v>
      </c>
      <c r="Q1398">
        <v>9.9699999999999997E-2</v>
      </c>
    </row>
    <row r="1399" spans="1:17" x14ac:dyDescent="0.35">
      <c r="A1399" t="s">
        <v>1390</v>
      </c>
      <c r="B1399" t="s">
        <v>2872</v>
      </c>
      <c r="C1399">
        <v>38</v>
      </c>
      <c r="D1399" t="s">
        <v>2992</v>
      </c>
      <c r="E1399" t="s">
        <v>3001</v>
      </c>
      <c r="G1399">
        <v>27</v>
      </c>
      <c r="H1399">
        <v>772632</v>
      </c>
      <c r="I1399">
        <v>267908</v>
      </c>
      <c r="J1399">
        <v>12.23</v>
      </c>
      <c r="K1399">
        <v>48</v>
      </c>
      <c r="L1399" t="s">
        <v>3047</v>
      </c>
      <c r="M1399">
        <v>568</v>
      </c>
      <c r="N1399">
        <v>6</v>
      </c>
      <c r="O1399" t="s">
        <v>3055</v>
      </c>
      <c r="P1399" t="s">
        <v>4014</v>
      </c>
      <c r="Q1399">
        <v>0.34670000000000001</v>
      </c>
    </row>
    <row r="1400" spans="1:17" x14ac:dyDescent="0.35">
      <c r="A1400" t="s">
        <v>1391</v>
      </c>
      <c r="B1400" t="s">
        <v>2873</v>
      </c>
      <c r="C1400">
        <v>51</v>
      </c>
      <c r="D1400" t="s">
        <v>2992</v>
      </c>
      <c r="E1400" t="s">
        <v>3006</v>
      </c>
      <c r="F1400" t="s">
        <v>3018</v>
      </c>
      <c r="G1400">
        <v>5</v>
      </c>
      <c r="H1400">
        <v>919290</v>
      </c>
      <c r="I1400">
        <v>388760</v>
      </c>
      <c r="J1400">
        <v>19.510000000000002</v>
      </c>
      <c r="K1400">
        <v>24</v>
      </c>
      <c r="L1400" t="s">
        <v>3048</v>
      </c>
      <c r="M1400">
        <v>509</v>
      </c>
      <c r="N1400">
        <v>1</v>
      </c>
      <c r="O1400" t="s">
        <v>3054</v>
      </c>
      <c r="P1400" t="s">
        <v>4015</v>
      </c>
      <c r="Q1400">
        <v>0.4229</v>
      </c>
    </row>
    <row r="1401" spans="1:17" x14ac:dyDescent="0.35">
      <c r="A1401" t="s">
        <v>1392</v>
      </c>
      <c r="B1401" t="s">
        <v>2874</v>
      </c>
      <c r="C1401">
        <v>61</v>
      </c>
      <c r="D1401" t="s">
        <v>2992</v>
      </c>
      <c r="E1401" t="s">
        <v>2998</v>
      </c>
      <c r="F1401" t="s">
        <v>3020</v>
      </c>
      <c r="G1401">
        <v>23</v>
      </c>
      <c r="H1401">
        <v>373783</v>
      </c>
      <c r="I1401">
        <v>510238</v>
      </c>
      <c r="J1401">
        <v>19.87</v>
      </c>
      <c r="K1401">
        <v>36</v>
      </c>
      <c r="L1401" t="s">
        <v>3048</v>
      </c>
      <c r="M1401">
        <v>576</v>
      </c>
      <c r="N1401">
        <v>2</v>
      </c>
      <c r="O1401" t="s">
        <v>3053</v>
      </c>
      <c r="P1401" t="s">
        <v>4016</v>
      </c>
      <c r="Q1401">
        <v>1.3651</v>
      </c>
    </row>
    <row r="1402" spans="1:17" x14ac:dyDescent="0.35">
      <c r="A1402" t="s">
        <v>1393</v>
      </c>
      <c r="B1402" t="s">
        <v>2875</v>
      </c>
      <c r="C1402">
        <v>38</v>
      </c>
      <c r="D1402" t="s">
        <v>2992</v>
      </c>
      <c r="E1402" t="s">
        <v>3005</v>
      </c>
      <c r="F1402" t="s">
        <v>3018</v>
      </c>
      <c r="G1402">
        <v>10</v>
      </c>
      <c r="H1402">
        <v>806045</v>
      </c>
      <c r="I1402">
        <v>522367</v>
      </c>
      <c r="J1402">
        <v>10.37</v>
      </c>
      <c r="K1402">
        <v>24</v>
      </c>
      <c r="L1402" t="s">
        <v>3047</v>
      </c>
      <c r="M1402">
        <v>835</v>
      </c>
      <c r="N1402">
        <v>0</v>
      </c>
      <c r="O1402" t="s">
        <v>3054</v>
      </c>
      <c r="P1402" t="s">
        <v>4017</v>
      </c>
      <c r="Q1402">
        <v>0.64810000000000001</v>
      </c>
    </row>
    <row r="1403" spans="1:17" x14ac:dyDescent="0.35">
      <c r="A1403" t="s">
        <v>1394</v>
      </c>
      <c r="B1403" t="s">
        <v>2876</v>
      </c>
      <c r="C1403">
        <v>60</v>
      </c>
      <c r="D1403" t="s">
        <v>2992</v>
      </c>
      <c r="E1403" t="s">
        <v>2998</v>
      </c>
      <c r="F1403" t="s">
        <v>3020</v>
      </c>
      <c r="G1403">
        <v>13</v>
      </c>
      <c r="H1403">
        <v>305991</v>
      </c>
      <c r="I1403">
        <v>756265</v>
      </c>
      <c r="J1403">
        <v>19.43</v>
      </c>
      <c r="K1403">
        <v>24</v>
      </c>
      <c r="M1403">
        <v>534</v>
      </c>
      <c r="N1403">
        <v>4</v>
      </c>
      <c r="O1403" t="s">
        <v>3052</v>
      </c>
      <c r="P1403" t="s">
        <v>3530</v>
      </c>
      <c r="Q1403">
        <v>2.4714999999999998</v>
      </c>
    </row>
    <row r="1404" spans="1:17" x14ac:dyDescent="0.35">
      <c r="A1404" t="s">
        <v>1395</v>
      </c>
      <c r="B1404" t="s">
        <v>2877</v>
      </c>
      <c r="C1404">
        <v>57</v>
      </c>
      <c r="D1404" t="s">
        <v>2992</v>
      </c>
      <c r="E1404" t="s">
        <v>2999</v>
      </c>
      <c r="F1404" t="s">
        <v>3018</v>
      </c>
      <c r="G1404">
        <v>6</v>
      </c>
      <c r="H1404">
        <v>1320234</v>
      </c>
      <c r="I1404">
        <v>491017</v>
      </c>
      <c r="J1404">
        <v>19.88</v>
      </c>
      <c r="K1404">
        <v>36</v>
      </c>
      <c r="L1404" t="s">
        <v>3051</v>
      </c>
      <c r="M1404">
        <v>752</v>
      </c>
      <c r="N1404">
        <v>4</v>
      </c>
      <c r="O1404" t="s">
        <v>3053</v>
      </c>
      <c r="P1404" t="s">
        <v>3581</v>
      </c>
      <c r="Q1404">
        <v>0.37190000000000001</v>
      </c>
    </row>
    <row r="1405" spans="1:17" x14ac:dyDescent="0.35">
      <c r="A1405" t="s">
        <v>1396</v>
      </c>
      <c r="B1405" t="s">
        <v>2878</v>
      </c>
      <c r="C1405">
        <v>49</v>
      </c>
      <c r="D1405" t="s">
        <v>2990</v>
      </c>
      <c r="E1405" t="s">
        <v>3004</v>
      </c>
      <c r="F1405" t="s">
        <v>3018</v>
      </c>
      <c r="G1405">
        <v>5</v>
      </c>
      <c r="H1405">
        <v>1760932</v>
      </c>
      <c r="I1405">
        <v>603158</v>
      </c>
      <c r="J1405">
        <v>26.45</v>
      </c>
      <c r="K1405">
        <v>24</v>
      </c>
      <c r="L1405" t="s">
        <v>3047</v>
      </c>
      <c r="M1405">
        <v>388</v>
      </c>
      <c r="N1405">
        <v>7</v>
      </c>
      <c r="O1405" t="s">
        <v>3054</v>
      </c>
      <c r="P1405" t="s">
        <v>3215</v>
      </c>
      <c r="Q1405">
        <v>0.34250000000000003</v>
      </c>
    </row>
    <row r="1406" spans="1:17" x14ac:dyDescent="0.35">
      <c r="A1406" t="s">
        <v>1397</v>
      </c>
      <c r="B1406" t="s">
        <v>2879</v>
      </c>
      <c r="C1406">
        <v>24</v>
      </c>
      <c r="D1406" t="s">
        <v>2992</v>
      </c>
      <c r="E1406" t="s">
        <v>2998</v>
      </c>
      <c r="F1406" t="s">
        <v>3020</v>
      </c>
      <c r="G1406">
        <v>2</v>
      </c>
      <c r="H1406">
        <v>1386751</v>
      </c>
      <c r="I1406">
        <v>197597</v>
      </c>
      <c r="J1406">
        <v>20.34</v>
      </c>
      <c r="K1406">
        <v>24</v>
      </c>
      <c r="L1406" t="s">
        <v>3049</v>
      </c>
      <c r="M1406">
        <v>772</v>
      </c>
      <c r="N1406">
        <v>2</v>
      </c>
      <c r="O1406" t="s">
        <v>3057</v>
      </c>
      <c r="P1406" t="s">
        <v>3192</v>
      </c>
      <c r="Q1406">
        <v>0.14249999999999999</v>
      </c>
    </row>
    <row r="1407" spans="1:17" x14ac:dyDescent="0.35">
      <c r="A1407" t="s">
        <v>1398</v>
      </c>
      <c r="B1407" t="s">
        <v>2880</v>
      </c>
      <c r="C1407">
        <v>26</v>
      </c>
      <c r="D1407" t="s">
        <v>2992</v>
      </c>
      <c r="E1407" t="s">
        <v>2999</v>
      </c>
      <c r="F1407" t="s">
        <v>3021</v>
      </c>
      <c r="G1407">
        <v>17</v>
      </c>
      <c r="I1407">
        <v>243492</v>
      </c>
      <c r="J1407">
        <v>16.59</v>
      </c>
      <c r="K1407">
        <v>48</v>
      </c>
      <c r="L1407" t="s">
        <v>3048</v>
      </c>
      <c r="M1407">
        <v>612</v>
      </c>
      <c r="N1407">
        <v>7</v>
      </c>
      <c r="O1407" t="s">
        <v>3052</v>
      </c>
      <c r="P1407" t="s">
        <v>4018</v>
      </c>
      <c r="Q1407">
        <v>0.29060000000000002</v>
      </c>
    </row>
    <row r="1408" spans="1:17" x14ac:dyDescent="0.35">
      <c r="A1408" t="s">
        <v>1399</v>
      </c>
      <c r="B1408" t="s">
        <v>2881</v>
      </c>
      <c r="C1408">
        <v>30</v>
      </c>
      <c r="D1408" t="s">
        <v>2990</v>
      </c>
      <c r="E1408" t="s">
        <v>3002</v>
      </c>
      <c r="F1408" t="s">
        <v>3018</v>
      </c>
      <c r="G1408">
        <v>1</v>
      </c>
      <c r="H1408">
        <v>1664209</v>
      </c>
      <c r="I1408">
        <v>418237</v>
      </c>
      <c r="J1408">
        <v>15.03</v>
      </c>
      <c r="K1408">
        <v>36</v>
      </c>
      <c r="L1408" t="s">
        <v>3048</v>
      </c>
      <c r="M1408">
        <v>789</v>
      </c>
      <c r="N1408">
        <v>0</v>
      </c>
      <c r="O1408" t="s">
        <v>3057</v>
      </c>
      <c r="P1408" t="s">
        <v>4019</v>
      </c>
      <c r="Q1408">
        <v>0.25130000000000002</v>
      </c>
    </row>
    <row r="1409" spans="1:17" x14ac:dyDescent="0.35">
      <c r="A1409" t="s">
        <v>1400</v>
      </c>
      <c r="B1409" t="s">
        <v>2882</v>
      </c>
      <c r="C1409">
        <v>37</v>
      </c>
      <c r="D1409" t="s">
        <v>2990</v>
      </c>
      <c r="E1409" t="s">
        <v>3007</v>
      </c>
      <c r="F1409" t="s">
        <v>3019</v>
      </c>
      <c r="G1409">
        <v>2</v>
      </c>
      <c r="H1409">
        <v>357912</v>
      </c>
      <c r="I1409">
        <v>448395</v>
      </c>
      <c r="J1409">
        <v>21.27</v>
      </c>
      <c r="K1409">
        <v>36</v>
      </c>
      <c r="L1409" t="s">
        <v>3048</v>
      </c>
      <c r="M1409">
        <v>307</v>
      </c>
      <c r="N1409">
        <v>6</v>
      </c>
      <c r="O1409" t="s">
        <v>3055</v>
      </c>
      <c r="P1409" t="s">
        <v>3603</v>
      </c>
      <c r="Q1409">
        <v>1.2527999999999999</v>
      </c>
    </row>
    <row r="1410" spans="1:17" x14ac:dyDescent="0.35">
      <c r="A1410" t="s">
        <v>1401</v>
      </c>
      <c r="B1410" t="s">
        <v>2883</v>
      </c>
      <c r="C1410">
        <v>51</v>
      </c>
      <c r="D1410" t="s">
        <v>2990</v>
      </c>
      <c r="E1410" t="s">
        <v>3005</v>
      </c>
      <c r="F1410" t="s">
        <v>3018</v>
      </c>
      <c r="G1410">
        <v>11</v>
      </c>
      <c r="H1410">
        <v>1431775</v>
      </c>
      <c r="I1410">
        <v>45517</v>
      </c>
      <c r="J1410">
        <v>16.670000000000002</v>
      </c>
      <c r="K1410">
        <v>36</v>
      </c>
      <c r="L1410" t="s">
        <v>3050</v>
      </c>
      <c r="M1410">
        <v>383</v>
      </c>
      <c r="N1410">
        <v>3</v>
      </c>
      <c r="O1410" t="s">
        <v>3053</v>
      </c>
      <c r="P1410" t="s">
        <v>3781</v>
      </c>
      <c r="Q1410">
        <v>3.1800000000000002E-2</v>
      </c>
    </row>
    <row r="1411" spans="1:17" x14ac:dyDescent="0.35">
      <c r="A1411" t="s">
        <v>1402</v>
      </c>
      <c r="B1411" t="s">
        <v>2884</v>
      </c>
      <c r="C1411">
        <v>62</v>
      </c>
      <c r="D1411" t="s">
        <v>2990</v>
      </c>
      <c r="E1411" t="s">
        <v>3006</v>
      </c>
      <c r="F1411" t="s">
        <v>3018</v>
      </c>
      <c r="G1411">
        <v>25</v>
      </c>
      <c r="H1411">
        <v>664814</v>
      </c>
      <c r="I1411">
        <v>24138</v>
      </c>
      <c r="J1411">
        <v>20.91</v>
      </c>
      <c r="K1411">
        <v>12</v>
      </c>
      <c r="L1411" t="s">
        <v>3048</v>
      </c>
      <c r="M1411">
        <v>701</v>
      </c>
      <c r="N1411">
        <v>5</v>
      </c>
      <c r="O1411" t="s">
        <v>3055</v>
      </c>
      <c r="P1411" t="s">
        <v>3913</v>
      </c>
      <c r="Q1411">
        <v>3.6299999999999999E-2</v>
      </c>
    </row>
    <row r="1412" spans="1:17" x14ac:dyDescent="0.35">
      <c r="A1412" t="s">
        <v>1403</v>
      </c>
      <c r="B1412" t="s">
        <v>2885</v>
      </c>
      <c r="C1412">
        <v>29</v>
      </c>
      <c r="D1412" t="s">
        <v>2990</v>
      </c>
      <c r="E1412" t="s">
        <v>3004</v>
      </c>
      <c r="F1412" t="s">
        <v>3018</v>
      </c>
      <c r="G1412">
        <v>28</v>
      </c>
      <c r="H1412">
        <v>338056</v>
      </c>
      <c r="I1412">
        <v>431236</v>
      </c>
      <c r="J1412">
        <v>27.49</v>
      </c>
      <c r="K1412">
        <v>48</v>
      </c>
      <c r="L1412" t="s">
        <v>3050</v>
      </c>
      <c r="M1412">
        <v>753</v>
      </c>
      <c r="N1412">
        <v>3</v>
      </c>
      <c r="O1412" t="s">
        <v>3056</v>
      </c>
      <c r="P1412" t="s">
        <v>4020</v>
      </c>
      <c r="Q1412">
        <v>1.2756000000000001</v>
      </c>
    </row>
    <row r="1413" spans="1:17" x14ac:dyDescent="0.35">
      <c r="A1413" t="s">
        <v>1404</v>
      </c>
      <c r="B1413" t="s">
        <v>2886</v>
      </c>
      <c r="C1413">
        <v>32</v>
      </c>
      <c r="D1413" t="s">
        <v>2992</v>
      </c>
      <c r="E1413" t="s">
        <v>3000</v>
      </c>
      <c r="F1413" t="s">
        <v>3019</v>
      </c>
      <c r="G1413">
        <v>5</v>
      </c>
      <c r="H1413">
        <v>1884581</v>
      </c>
      <c r="I1413">
        <v>359679</v>
      </c>
      <c r="J1413">
        <v>11.37</v>
      </c>
      <c r="K1413">
        <v>36</v>
      </c>
      <c r="L1413" t="s">
        <v>3047</v>
      </c>
      <c r="M1413">
        <v>504</v>
      </c>
      <c r="N1413">
        <v>1</v>
      </c>
      <c r="O1413" t="s">
        <v>3053</v>
      </c>
      <c r="P1413" t="s">
        <v>3603</v>
      </c>
      <c r="Q1413">
        <v>0.19089999999999999</v>
      </c>
    </row>
    <row r="1414" spans="1:17" x14ac:dyDescent="0.35">
      <c r="A1414" t="s">
        <v>1405</v>
      </c>
      <c r="B1414" t="s">
        <v>2887</v>
      </c>
      <c r="C1414">
        <v>43</v>
      </c>
      <c r="D1414" t="s">
        <v>2992</v>
      </c>
      <c r="E1414" t="s">
        <v>3005</v>
      </c>
      <c r="F1414" t="s">
        <v>3020</v>
      </c>
      <c r="G1414">
        <v>7</v>
      </c>
      <c r="H1414">
        <v>1858687</v>
      </c>
      <c r="I1414">
        <v>316208</v>
      </c>
      <c r="J1414">
        <v>11.62</v>
      </c>
      <c r="K1414">
        <v>48</v>
      </c>
      <c r="L1414" t="s">
        <v>3050</v>
      </c>
      <c r="M1414">
        <v>440</v>
      </c>
      <c r="N1414">
        <v>4</v>
      </c>
      <c r="O1414" t="s">
        <v>3052</v>
      </c>
      <c r="P1414" t="s">
        <v>4021</v>
      </c>
      <c r="Q1414">
        <v>0.1701</v>
      </c>
    </row>
    <row r="1415" spans="1:17" x14ac:dyDescent="0.35">
      <c r="A1415" t="s">
        <v>1406</v>
      </c>
      <c r="B1415" t="s">
        <v>2888</v>
      </c>
      <c r="C1415">
        <v>53</v>
      </c>
      <c r="D1415" t="s">
        <v>2992</v>
      </c>
      <c r="E1415" t="s">
        <v>3002</v>
      </c>
      <c r="F1415" t="s">
        <v>3020</v>
      </c>
      <c r="G1415">
        <v>21</v>
      </c>
      <c r="H1415">
        <v>2105544</v>
      </c>
      <c r="I1415">
        <v>730205</v>
      </c>
      <c r="J1415">
        <v>19.899999999999999</v>
      </c>
      <c r="K1415">
        <v>12</v>
      </c>
      <c r="L1415" t="s">
        <v>3048</v>
      </c>
      <c r="M1415">
        <v>512</v>
      </c>
      <c r="N1415">
        <v>6</v>
      </c>
      <c r="O1415" t="s">
        <v>3060</v>
      </c>
      <c r="P1415" t="s">
        <v>4022</v>
      </c>
      <c r="Q1415">
        <v>0.3468</v>
      </c>
    </row>
    <row r="1416" spans="1:17" x14ac:dyDescent="0.35">
      <c r="A1416" t="s">
        <v>1407</v>
      </c>
      <c r="B1416" t="s">
        <v>2889</v>
      </c>
      <c r="C1416">
        <v>35</v>
      </c>
      <c r="D1416" t="s">
        <v>2992</v>
      </c>
      <c r="E1416" t="s">
        <v>3004</v>
      </c>
      <c r="F1416" t="s">
        <v>3021</v>
      </c>
      <c r="G1416">
        <v>16</v>
      </c>
      <c r="H1416">
        <v>2201770</v>
      </c>
      <c r="I1416">
        <v>46616</v>
      </c>
      <c r="J1416">
        <v>14.56</v>
      </c>
      <c r="K1416">
        <v>36</v>
      </c>
      <c r="L1416" t="s">
        <v>3047</v>
      </c>
      <c r="M1416">
        <v>805</v>
      </c>
      <c r="N1416">
        <v>6</v>
      </c>
      <c r="O1416" t="s">
        <v>3054</v>
      </c>
      <c r="P1416" t="s">
        <v>3135</v>
      </c>
      <c r="Q1416">
        <v>2.12E-2</v>
      </c>
    </row>
    <row r="1417" spans="1:17" x14ac:dyDescent="0.35">
      <c r="A1417" t="s">
        <v>1408</v>
      </c>
      <c r="B1417" t="s">
        <v>2890</v>
      </c>
      <c r="C1417">
        <v>35</v>
      </c>
      <c r="D1417" t="s">
        <v>2990</v>
      </c>
      <c r="E1417" t="s">
        <v>2999</v>
      </c>
      <c r="F1417" t="s">
        <v>3018</v>
      </c>
      <c r="G1417">
        <v>14</v>
      </c>
      <c r="H1417">
        <v>2286230</v>
      </c>
      <c r="I1417">
        <v>384662</v>
      </c>
      <c r="J1417">
        <v>14.54</v>
      </c>
      <c r="K1417">
        <v>24</v>
      </c>
      <c r="L1417" t="s">
        <v>3049</v>
      </c>
      <c r="M1417">
        <v>345</v>
      </c>
      <c r="N1417">
        <v>0</v>
      </c>
      <c r="O1417" t="s">
        <v>3056</v>
      </c>
      <c r="P1417" t="s">
        <v>3936</v>
      </c>
      <c r="Q1417">
        <v>0.16830000000000001</v>
      </c>
    </row>
    <row r="1418" spans="1:17" x14ac:dyDescent="0.35">
      <c r="A1418" t="s">
        <v>1409</v>
      </c>
      <c r="B1418" t="s">
        <v>2891</v>
      </c>
      <c r="C1418">
        <v>48</v>
      </c>
      <c r="D1418" t="s">
        <v>2990</v>
      </c>
      <c r="E1418" t="s">
        <v>3004</v>
      </c>
      <c r="F1418" t="s">
        <v>3018</v>
      </c>
      <c r="G1418">
        <v>26</v>
      </c>
      <c r="H1418">
        <v>2394387</v>
      </c>
      <c r="I1418">
        <v>505001</v>
      </c>
      <c r="J1418">
        <v>9.9700000000000006</v>
      </c>
      <c r="K1418">
        <v>12</v>
      </c>
      <c r="L1418" t="s">
        <v>3051</v>
      </c>
      <c r="M1418">
        <v>556</v>
      </c>
      <c r="N1418">
        <v>3</v>
      </c>
      <c r="O1418" t="s">
        <v>3054</v>
      </c>
      <c r="P1418" t="s">
        <v>3321</v>
      </c>
      <c r="Q1418">
        <v>0.2109</v>
      </c>
    </row>
    <row r="1419" spans="1:17" x14ac:dyDescent="0.35">
      <c r="A1419" t="s">
        <v>1410</v>
      </c>
      <c r="B1419" t="s">
        <v>2892</v>
      </c>
      <c r="C1419">
        <v>35</v>
      </c>
      <c r="D1419" t="s">
        <v>2992</v>
      </c>
      <c r="E1419" t="s">
        <v>3001</v>
      </c>
      <c r="F1419" t="s">
        <v>3019</v>
      </c>
      <c r="G1419">
        <v>21</v>
      </c>
      <c r="H1419">
        <v>1895880</v>
      </c>
      <c r="I1419">
        <v>443350</v>
      </c>
      <c r="J1419">
        <v>21.33</v>
      </c>
      <c r="K1419">
        <v>24</v>
      </c>
      <c r="L1419" t="s">
        <v>3047</v>
      </c>
      <c r="M1419">
        <v>422</v>
      </c>
      <c r="N1419">
        <v>6</v>
      </c>
      <c r="O1419" t="s">
        <v>3052</v>
      </c>
      <c r="P1419" t="s">
        <v>3088</v>
      </c>
      <c r="Q1419">
        <v>0.23380000000000001</v>
      </c>
    </row>
    <row r="1420" spans="1:17" x14ac:dyDescent="0.35">
      <c r="A1420" t="s">
        <v>1411</v>
      </c>
      <c r="B1420" t="s">
        <v>2893</v>
      </c>
      <c r="C1420">
        <v>36</v>
      </c>
      <c r="D1420" t="s">
        <v>2990</v>
      </c>
      <c r="E1420" t="s">
        <v>3003</v>
      </c>
      <c r="F1420" t="s">
        <v>3019</v>
      </c>
      <c r="G1420">
        <v>4</v>
      </c>
      <c r="H1420">
        <v>888521</v>
      </c>
      <c r="I1420">
        <v>504282</v>
      </c>
      <c r="J1420">
        <v>20.46</v>
      </c>
      <c r="K1420">
        <v>36</v>
      </c>
      <c r="L1420" t="s">
        <v>3047</v>
      </c>
      <c r="M1420">
        <v>739</v>
      </c>
      <c r="N1420">
        <v>3</v>
      </c>
      <c r="O1420" t="s">
        <v>3055</v>
      </c>
      <c r="P1420" t="s">
        <v>4023</v>
      </c>
      <c r="Q1420">
        <v>0.56759999999999999</v>
      </c>
    </row>
    <row r="1421" spans="1:17" x14ac:dyDescent="0.35">
      <c r="A1421" t="s">
        <v>1412</v>
      </c>
      <c r="B1421" t="s">
        <v>2894</v>
      </c>
      <c r="C1421">
        <v>26</v>
      </c>
      <c r="D1421" t="s">
        <v>2997</v>
      </c>
      <c r="E1421" t="s">
        <v>3003</v>
      </c>
      <c r="F1421" t="s">
        <v>3019</v>
      </c>
      <c r="G1421">
        <v>21</v>
      </c>
      <c r="H1421">
        <v>354023</v>
      </c>
      <c r="I1421">
        <v>442132</v>
      </c>
      <c r="J1421">
        <v>16.11</v>
      </c>
      <c r="K1421">
        <v>60</v>
      </c>
      <c r="L1421" t="s">
        <v>3049</v>
      </c>
      <c r="M1421">
        <v>510</v>
      </c>
      <c r="N1421">
        <v>5</v>
      </c>
      <c r="O1421" t="s">
        <v>3055</v>
      </c>
      <c r="P1421" t="s">
        <v>3346</v>
      </c>
      <c r="Q1421">
        <v>1.2488999999999999</v>
      </c>
    </row>
    <row r="1422" spans="1:17" x14ac:dyDescent="0.35">
      <c r="A1422" t="s">
        <v>1413</v>
      </c>
      <c r="B1422" t="s">
        <v>2895</v>
      </c>
      <c r="C1422">
        <v>44</v>
      </c>
      <c r="D1422" t="s">
        <v>2992</v>
      </c>
      <c r="E1422" t="s">
        <v>3003</v>
      </c>
      <c r="F1422" t="s">
        <v>3019</v>
      </c>
      <c r="G1422">
        <v>13</v>
      </c>
      <c r="H1422">
        <v>1803911</v>
      </c>
      <c r="I1422">
        <v>358384</v>
      </c>
      <c r="J1422">
        <v>24.02</v>
      </c>
      <c r="K1422">
        <v>24</v>
      </c>
      <c r="L1422" t="s">
        <v>3046</v>
      </c>
      <c r="M1422">
        <v>678</v>
      </c>
      <c r="N1422">
        <v>6</v>
      </c>
      <c r="O1422" t="s">
        <v>3052</v>
      </c>
      <c r="P1422" t="s">
        <v>4024</v>
      </c>
      <c r="Q1422">
        <v>0.19869999999999999</v>
      </c>
    </row>
    <row r="1423" spans="1:17" x14ac:dyDescent="0.35">
      <c r="A1423" t="s">
        <v>1414</v>
      </c>
      <c r="B1423" t="s">
        <v>2896</v>
      </c>
      <c r="C1423">
        <v>29</v>
      </c>
      <c r="D1423" t="s">
        <v>2992</v>
      </c>
      <c r="E1423" t="s">
        <v>3007</v>
      </c>
      <c r="F1423" t="s">
        <v>3019</v>
      </c>
      <c r="G1423">
        <v>27</v>
      </c>
      <c r="H1423">
        <v>431351</v>
      </c>
      <c r="I1423">
        <v>457805</v>
      </c>
      <c r="J1423">
        <v>9.6300000000000008</v>
      </c>
      <c r="K1423">
        <v>60</v>
      </c>
      <c r="L1423" t="s">
        <v>3049</v>
      </c>
      <c r="M1423">
        <v>382</v>
      </c>
      <c r="N1423">
        <v>2</v>
      </c>
      <c r="O1423" t="s">
        <v>3054</v>
      </c>
      <c r="P1423" t="s">
        <v>4025</v>
      </c>
      <c r="Q1423">
        <v>1.0612999999999999</v>
      </c>
    </row>
    <row r="1424" spans="1:17" x14ac:dyDescent="0.35">
      <c r="A1424" t="s">
        <v>1415</v>
      </c>
      <c r="B1424" t="s">
        <v>2897</v>
      </c>
      <c r="C1424">
        <v>55</v>
      </c>
      <c r="D1424" t="s">
        <v>2992</v>
      </c>
      <c r="E1424" t="s">
        <v>3005</v>
      </c>
      <c r="F1424" t="s">
        <v>3019</v>
      </c>
      <c r="G1424">
        <v>14</v>
      </c>
      <c r="H1424">
        <v>2091627</v>
      </c>
      <c r="I1424">
        <v>529850</v>
      </c>
      <c r="J1424">
        <v>22.63</v>
      </c>
      <c r="K1424">
        <v>24</v>
      </c>
      <c r="L1424" t="s">
        <v>3050</v>
      </c>
      <c r="M1424">
        <v>658</v>
      </c>
      <c r="N1424">
        <v>3</v>
      </c>
      <c r="O1424" t="s">
        <v>3054</v>
      </c>
      <c r="P1424" t="s">
        <v>4026</v>
      </c>
      <c r="Q1424">
        <v>0.25330000000000003</v>
      </c>
    </row>
    <row r="1425" spans="1:17" x14ac:dyDescent="0.35">
      <c r="A1425" t="s">
        <v>1416</v>
      </c>
      <c r="B1425" t="s">
        <v>2898</v>
      </c>
      <c r="C1425">
        <v>50</v>
      </c>
      <c r="D1425" t="s">
        <v>2990</v>
      </c>
      <c r="E1425" t="s">
        <v>3006</v>
      </c>
      <c r="F1425" t="s">
        <v>3018</v>
      </c>
      <c r="G1425">
        <v>3</v>
      </c>
      <c r="H1425">
        <v>1089245</v>
      </c>
      <c r="I1425">
        <v>733340</v>
      </c>
      <c r="J1425">
        <v>18.71</v>
      </c>
      <c r="K1425">
        <v>36</v>
      </c>
      <c r="L1425" t="s">
        <v>3049</v>
      </c>
      <c r="M1425">
        <v>840</v>
      </c>
      <c r="N1425">
        <v>4</v>
      </c>
      <c r="O1425" t="s">
        <v>3055</v>
      </c>
      <c r="P1425" t="s">
        <v>3279</v>
      </c>
      <c r="Q1425">
        <v>0.67330000000000001</v>
      </c>
    </row>
    <row r="1426" spans="1:17" x14ac:dyDescent="0.35">
      <c r="A1426" t="s">
        <v>1417</v>
      </c>
      <c r="B1426" t="s">
        <v>2899</v>
      </c>
      <c r="C1426">
        <v>26</v>
      </c>
      <c r="D1426" t="s">
        <v>2992</v>
      </c>
      <c r="E1426" t="s">
        <v>3007</v>
      </c>
      <c r="F1426" t="s">
        <v>3018</v>
      </c>
      <c r="G1426">
        <v>12</v>
      </c>
      <c r="H1426">
        <v>2057971</v>
      </c>
      <c r="I1426">
        <v>795107</v>
      </c>
      <c r="J1426">
        <v>17.760000000000002</v>
      </c>
      <c r="K1426">
        <v>48</v>
      </c>
      <c r="L1426" t="s">
        <v>3049</v>
      </c>
      <c r="M1426">
        <v>552</v>
      </c>
      <c r="N1426">
        <v>7</v>
      </c>
      <c r="O1426" t="s">
        <v>3052</v>
      </c>
      <c r="P1426" t="s">
        <v>4027</v>
      </c>
      <c r="Q1426">
        <v>0.38640000000000002</v>
      </c>
    </row>
    <row r="1427" spans="1:17" x14ac:dyDescent="0.35">
      <c r="A1427" t="s">
        <v>1418</v>
      </c>
      <c r="B1427" t="s">
        <v>2900</v>
      </c>
      <c r="C1427">
        <v>48</v>
      </c>
      <c r="D1427" t="s">
        <v>2990</v>
      </c>
      <c r="E1427" t="s">
        <v>3002</v>
      </c>
      <c r="F1427" t="s">
        <v>3018</v>
      </c>
      <c r="G1427">
        <v>15</v>
      </c>
      <c r="H1427">
        <v>1539507</v>
      </c>
      <c r="I1427">
        <v>194037</v>
      </c>
      <c r="J1427">
        <v>18.63</v>
      </c>
      <c r="K1427">
        <v>24</v>
      </c>
      <c r="L1427" t="s">
        <v>3046</v>
      </c>
      <c r="M1427">
        <v>726</v>
      </c>
      <c r="N1427">
        <v>4</v>
      </c>
      <c r="O1427" t="s">
        <v>3053</v>
      </c>
      <c r="P1427" t="s">
        <v>3660</v>
      </c>
      <c r="Q1427">
        <v>0.126</v>
      </c>
    </row>
    <row r="1428" spans="1:17" x14ac:dyDescent="0.35">
      <c r="A1428" t="s">
        <v>1419</v>
      </c>
      <c r="B1428" t="s">
        <v>2901</v>
      </c>
      <c r="C1428">
        <v>22</v>
      </c>
      <c r="D1428" t="s">
        <v>2990</v>
      </c>
      <c r="E1428" t="s">
        <v>3004</v>
      </c>
      <c r="F1428" t="s">
        <v>3020</v>
      </c>
      <c r="G1428">
        <v>27</v>
      </c>
      <c r="H1428">
        <v>1687630</v>
      </c>
      <c r="I1428">
        <v>458458</v>
      </c>
      <c r="J1428">
        <v>10</v>
      </c>
      <c r="K1428">
        <v>36</v>
      </c>
      <c r="L1428" t="s">
        <v>3050</v>
      </c>
      <c r="M1428">
        <v>476</v>
      </c>
      <c r="N1428">
        <v>0</v>
      </c>
      <c r="O1428" t="s">
        <v>3052</v>
      </c>
      <c r="P1428" t="s">
        <v>3933</v>
      </c>
      <c r="Q1428">
        <v>0.2717</v>
      </c>
    </row>
    <row r="1429" spans="1:17" x14ac:dyDescent="0.35">
      <c r="A1429" t="s">
        <v>1420</v>
      </c>
      <c r="B1429" t="s">
        <v>2902</v>
      </c>
      <c r="C1429">
        <v>53</v>
      </c>
      <c r="D1429" t="s">
        <v>2992</v>
      </c>
      <c r="E1429" t="s">
        <v>3005</v>
      </c>
      <c r="F1429" t="s">
        <v>3020</v>
      </c>
      <c r="G1429">
        <v>4</v>
      </c>
      <c r="H1429">
        <v>206155</v>
      </c>
      <c r="I1429">
        <v>378402</v>
      </c>
      <c r="J1429">
        <v>24.49</v>
      </c>
      <c r="K1429">
        <v>60</v>
      </c>
      <c r="L1429" t="s">
        <v>3050</v>
      </c>
      <c r="N1429">
        <v>5</v>
      </c>
      <c r="O1429" t="s">
        <v>3053</v>
      </c>
      <c r="P1429" t="s">
        <v>4028</v>
      </c>
      <c r="Q1429">
        <v>1.8354999999999999</v>
      </c>
    </row>
    <row r="1430" spans="1:17" x14ac:dyDescent="0.35">
      <c r="A1430" t="s">
        <v>1421</v>
      </c>
      <c r="B1430" t="s">
        <v>2903</v>
      </c>
      <c r="C1430">
        <v>56</v>
      </c>
      <c r="D1430" t="s">
        <v>2992</v>
      </c>
      <c r="E1430" t="s">
        <v>3000</v>
      </c>
      <c r="F1430" t="s">
        <v>3021</v>
      </c>
      <c r="G1430">
        <v>3</v>
      </c>
      <c r="H1430">
        <v>1451300</v>
      </c>
      <c r="I1430">
        <v>722495</v>
      </c>
      <c r="J1430">
        <v>21.24</v>
      </c>
      <c r="K1430">
        <v>36</v>
      </c>
      <c r="L1430" t="s">
        <v>3046</v>
      </c>
      <c r="M1430">
        <v>821</v>
      </c>
      <c r="N1430">
        <v>6</v>
      </c>
      <c r="O1430" t="s">
        <v>3055</v>
      </c>
      <c r="P1430" t="s">
        <v>3342</v>
      </c>
      <c r="Q1430">
        <v>0.49780000000000002</v>
      </c>
    </row>
    <row r="1431" spans="1:17" x14ac:dyDescent="0.35">
      <c r="A1431" t="s">
        <v>1422</v>
      </c>
      <c r="B1431" t="s">
        <v>2904</v>
      </c>
      <c r="C1431">
        <v>39</v>
      </c>
      <c r="D1431" t="s">
        <v>2992</v>
      </c>
      <c r="E1431" t="s">
        <v>3004</v>
      </c>
      <c r="F1431" t="s">
        <v>3021</v>
      </c>
      <c r="G1431">
        <v>26</v>
      </c>
      <c r="H1431">
        <v>2269271</v>
      </c>
      <c r="I1431">
        <v>107265</v>
      </c>
      <c r="J1431">
        <v>17.329999999999998</v>
      </c>
      <c r="K1431">
        <v>36</v>
      </c>
      <c r="L1431" t="s">
        <v>3046</v>
      </c>
      <c r="M1431">
        <v>602</v>
      </c>
      <c r="N1431">
        <v>4</v>
      </c>
      <c r="O1431" t="s">
        <v>3055</v>
      </c>
      <c r="P1431" t="s">
        <v>3571</v>
      </c>
      <c r="Q1431">
        <v>4.7300000000000002E-2</v>
      </c>
    </row>
    <row r="1432" spans="1:17" x14ac:dyDescent="0.35">
      <c r="A1432" t="s">
        <v>1423</v>
      </c>
      <c r="B1432" t="s">
        <v>2905</v>
      </c>
      <c r="C1432">
        <v>38</v>
      </c>
      <c r="D1432" t="s">
        <v>2992</v>
      </c>
      <c r="E1432" t="s">
        <v>2999</v>
      </c>
      <c r="F1432" t="s">
        <v>3020</v>
      </c>
      <c r="G1432">
        <v>7</v>
      </c>
      <c r="H1432">
        <v>1906470</v>
      </c>
      <c r="I1432">
        <v>590442</v>
      </c>
      <c r="J1432">
        <v>13.83</v>
      </c>
      <c r="K1432">
        <v>60</v>
      </c>
      <c r="L1432" t="s">
        <v>3047</v>
      </c>
      <c r="M1432">
        <v>572</v>
      </c>
      <c r="N1432">
        <v>4</v>
      </c>
      <c r="O1432" t="s">
        <v>3053</v>
      </c>
      <c r="P1432" t="s">
        <v>3573</v>
      </c>
      <c r="Q1432">
        <v>0.30969999999999998</v>
      </c>
    </row>
    <row r="1433" spans="1:17" x14ac:dyDescent="0.35">
      <c r="A1433" t="s">
        <v>1424</v>
      </c>
      <c r="B1433" t="s">
        <v>2906</v>
      </c>
      <c r="C1433">
        <v>26</v>
      </c>
      <c r="D1433" t="s">
        <v>2990</v>
      </c>
      <c r="E1433" t="s">
        <v>3007</v>
      </c>
      <c r="F1433" t="s">
        <v>3019</v>
      </c>
      <c r="G1433">
        <v>29</v>
      </c>
      <c r="H1433">
        <v>470998</v>
      </c>
      <c r="I1433">
        <v>641781</v>
      </c>
      <c r="J1433">
        <v>15.92</v>
      </c>
      <c r="K1433">
        <v>12</v>
      </c>
      <c r="L1433" t="s">
        <v>3051</v>
      </c>
      <c r="M1433">
        <v>493</v>
      </c>
      <c r="N1433">
        <v>0</v>
      </c>
      <c r="O1433" t="s">
        <v>3057</v>
      </c>
      <c r="P1433" t="s">
        <v>3350</v>
      </c>
      <c r="Q1433">
        <v>1.3626</v>
      </c>
    </row>
    <row r="1434" spans="1:17" x14ac:dyDescent="0.35">
      <c r="A1434" t="s">
        <v>1425</v>
      </c>
      <c r="B1434" t="s">
        <v>2907</v>
      </c>
      <c r="C1434">
        <v>47</v>
      </c>
      <c r="D1434" t="s">
        <v>2992</v>
      </c>
      <c r="E1434" t="s">
        <v>3007</v>
      </c>
      <c r="F1434" t="s">
        <v>3019</v>
      </c>
      <c r="G1434">
        <v>22</v>
      </c>
      <c r="H1434">
        <v>1298095</v>
      </c>
      <c r="I1434">
        <v>573372</v>
      </c>
      <c r="J1434">
        <v>15.06</v>
      </c>
      <c r="K1434">
        <v>48</v>
      </c>
      <c r="L1434" t="s">
        <v>3048</v>
      </c>
      <c r="M1434">
        <v>319</v>
      </c>
      <c r="N1434">
        <v>4</v>
      </c>
      <c r="O1434" t="s">
        <v>3055</v>
      </c>
      <c r="P1434" t="s">
        <v>3162</v>
      </c>
      <c r="Q1434">
        <v>0.44169999999999998</v>
      </c>
    </row>
    <row r="1435" spans="1:17" x14ac:dyDescent="0.35">
      <c r="A1435" t="s">
        <v>1426</v>
      </c>
      <c r="B1435" t="s">
        <v>2908</v>
      </c>
      <c r="C1435">
        <v>45</v>
      </c>
      <c r="D1435" t="s">
        <v>2990</v>
      </c>
      <c r="E1435" t="s">
        <v>3007</v>
      </c>
      <c r="F1435" t="s">
        <v>3020</v>
      </c>
      <c r="G1435">
        <v>9</v>
      </c>
      <c r="H1435">
        <v>367771</v>
      </c>
      <c r="I1435">
        <v>589027</v>
      </c>
      <c r="J1435">
        <v>18.100000000000001</v>
      </c>
      <c r="K1435">
        <v>60</v>
      </c>
      <c r="L1435" t="s">
        <v>3046</v>
      </c>
      <c r="M1435">
        <v>462</v>
      </c>
      <c r="N1435">
        <v>7</v>
      </c>
      <c r="O1435" t="s">
        <v>3052</v>
      </c>
      <c r="P1435" t="s">
        <v>3759</v>
      </c>
      <c r="Q1435">
        <v>1.6015999999999999</v>
      </c>
    </row>
    <row r="1436" spans="1:17" x14ac:dyDescent="0.35">
      <c r="A1436" t="s">
        <v>1427</v>
      </c>
      <c r="B1436" t="s">
        <v>2909</v>
      </c>
      <c r="C1436">
        <v>53</v>
      </c>
      <c r="D1436" t="s">
        <v>2992</v>
      </c>
      <c r="E1436" t="s">
        <v>2998</v>
      </c>
      <c r="F1436" t="s">
        <v>3021</v>
      </c>
      <c r="G1436">
        <v>2</v>
      </c>
      <c r="H1436">
        <v>2086039</v>
      </c>
      <c r="I1436">
        <v>330001</v>
      </c>
      <c r="J1436">
        <v>20.39</v>
      </c>
      <c r="K1436">
        <v>60</v>
      </c>
      <c r="L1436" t="s">
        <v>3049</v>
      </c>
      <c r="M1436">
        <v>715</v>
      </c>
      <c r="N1436">
        <v>0</v>
      </c>
      <c r="O1436" t="s">
        <v>3052</v>
      </c>
      <c r="P1436" t="s">
        <v>4029</v>
      </c>
      <c r="Q1436">
        <v>0.15820000000000001</v>
      </c>
    </row>
    <row r="1437" spans="1:17" x14ac:dyDescent="0.35">
      <c r="A1437" t="s">
        <v>1428</v>
      </c>
      <c r="B1437" t="s">
        <v>2910</v>
      </c>
      <c r="C1437">
        <v>62</v>
      </c>
      <c r="D1437" t="s">
        <v>2992</v>
      </c>
      <c r="E1437" t="s">
        <v>3004</v>
      </c>
      <c r="F1437" t="s">
        <v>3021</v>
      </c>
      <c r="G1437">
        <v>2</v>
      </c>
      <c r="H1437">
        <v>668011</v>
      </c>
      <c r="I1437">
        <v>669969</v>
      </c>
      <c r="J1437">
        <v>21.23</v>
      </c>
      <c r="K1437">
        <v>24</v>
      </c>
      <c r="L1437" t="s">
        <v>3049</v>
      </c>
      <c r="M1437">
        <v>356</v>
      </c>
      <c r="N1437">
        <v>3</v>
      </c>
      <c r="O1437" t="s">
        <v>3057</v>
      </c>
      <c r="P1437" t="s">
        <v>4030</v>
      </c>
      <c r="Q1437">
        <v>1.0028999999999999</v>
      </c>
    </row>
    <row r="1438" spans="1:17" x14ac:dyDescent="0.35">
      <c r="A1438" t="s">
        <v>1429</v>
      </c>
      <c r="B1438" t="s">
        <v>2911</v>
      </c>
      <c r="C1438">
        <v>29</v>
      </c>
      <c r="D1438" t="s">
        <v>2990</v>
      </c>
      <c r="E1438" t="s">
        <v>3001</v>
      </c>
      <c r="F1438" t="s">
        <v>3020</v>
      </c>
      <c r="G1438">
        <v>13</v>
      </c>
      <c r="H1438">
        <v>1306825</v>
      </c>
      <c r="I1438">
        <v>598526</v>
      </c>
      <c r="J1438">
        <v>17.36</v>
      </c>
      <c r="K1438">
        <v>24</v>
      </c>
      <c r="L1438" t="s">
        <v>3049</v>
      </c>
      <c r="M1438">
        <v>308</v>
      </c>
      <c r="N1438">
        <v>5</v>
      </c>
      <c r="O1438" t="s">
        <v>3052</v>
      </c>
      <c r="P1438" t="s">
        <v>3789</v>
      </c>
      <c r="Q1438">
        <v>0.45800000000000002</v>
      </c>
    </row>
    <row r="1439" spans="1:17" x14ac:dyDescent="0.35">
      <c r="A1439" t="s">
        <v>1430</v>
      </c>
      <c r="B1439" t="s">
        <v>2912</v>
      </c>
      <c r="C1439">
        <v>34</v>
      </c>
      <c r="D1439" t="s">
        <v>2992</v>
      </c>
      <c r="E1439" t="s">
        <v>3003</v>
      </c>
      <c r="F1439" t="s">
        <v>3018</v>
      </c>
      <c r="G1439">
        <v>19</v>
      </c>
      <c r="H1439">
        <v>820473</v>
      </c>
      <c r="I1439">
        <v>129373</v>
      </c>
      <c r="J1439">
        <v>19.54</v>
      </c>
      <c r="K1439">
        <v>36</v>
      </c>
      <c r="L1439" t="s">
        <v>3048</v>
      </c>
      <c r="M1439">
        <v>494</v>
      </c>
      <c r="N1439">
        <v>4</v>
      </c>
      <c r="O1439" t="s">
        <v>3053</v>
      </c>
      <c r="P1439" t="s">
        <v>3348</v>
      </c>
      <c r="Q1439">
        <v>0.15770000000000001</v>
      </c>
    </row>
    <row r="1440" spans="1:17" x14ac:dyDescent="0.35">
      <c r="A1440" t="s">
        <v>1431</v>
      </c>
      <c r="B1440" t="s">
        <v>2913</v>
      </c>
      <c r="C1440">
        <v>28</v>
      </c>
      <c r="D1440" t="s">
        <v>2992</v>
      </c>
      <c r="E1440" t="s">
        <v>2999</v>
      </c>
      <c r="F1440" t="s">
        <v>3018</v>
      </c>
      <c r="G1440">
        <v>3</v>
      </c>
      <c r="H1440">
        <v>2020634</v>
      </c>
      <c r="I1440">
        <v>611202</v>
      </c>
      <c r="J1440">
        <v>25.7</v>
      </c>
      <c r="K1440">
        <v>60</v>
      </c>
      <c r="L1440" t="s">
        <v>3046</v>
      </c>
      <c r="M1440">
        <v>575</v>
      </c>
      <c r="N1440">
        <v>7</v>
      </c>
      <c r="O1440" t="s">
        <v>3052</v>
      </c>
      <c r="P1440" t="s">
        <v>3877</v>
      </c>
      <c r="Q1440">
        <v>0.30249999999999999</v>
      </c>
    </row>
    <row r="1441" spans="1:17" x14ac:dyDescent="0.35">
      <c r="A1441" t="s">
        <v>1432</v>
      </c>
      <c r="B1441" t="s">
        <v>2914</v>
      </c>
      <c r="C1441">
        <v>47</v>
      </c>
      <c r="D1441" t="s">
        <v>2992</v>
      </c>
      <c r="E1441" t="s">
        <v>3002</v>
      </c>
      <c r="F1441" t="s">
        <v>3021</v>
      </c>
      <c r="G1441">
        <v>23</v>
      </c>
      <c r="H1441">
        <v>670042</v>
      </c>
      <c r="I1441">
        <v>250604</v>
      </c>
      <c r="J1441">
        <v>8.01</v>
      </c>
      <c r="K1441">
        <v>36</v>
      </c>
      <c r="L1441" t="s">
        <v>3049</v>
      </c>
      <c r="M1441">
        <v>601</v>
      </c>
      <c r="N1441">
        <v>6</v>
      </c>
      <c r="O1441" t="s">
        <v>3057</v>
      </c>
      <c r="P1441" t="s">
        <v>4031</v>
      </c>
      <c r="Q1441">
        <v>0.374</v>
      </c>
    </row>
    <row r="1442" spans="1:17" x14ac:dyDescent="0.35">
      <c r="A1442" t="s">
        <v>1433</v>
      </c>
      <c r="B1442" t="s">
        <v>2915</v>
      </c>
      <c r="C1442">
        <v>62</v>
      </c>
      <c r="D1442" t="s">
        <v>2992</v>
      </c>
      <c r="E1442" t="s">
        <v>3001</v>
      </c>
      <c r="F1442" t="s">
        <v>3018</v>
      </c>
      <c r="G1442">
        <v>4</v>
      </c>
      <c r="H1442">
        <v>230861</v>
      </c>
      <c r="I1442">
        <v>243461</v>
      </c>
      <c r="J1442">
        <v>21.14</v>
      </c>
      <c r="K1442">
        <v>12</v>
      </c>
      <c r="L1442" t="s">
        <v>3049</v>
      </c>
      <c r="M1442">
        <v>613</v>
      </c>
      <c r="N1442">
        <v>5</v>
      </c>
      <c r="O1442" t="s">
        <v>3054</v>
      </c>
      <c r="P1442" t="s">
        <v>3375</v>
      </c>
      <c r="Q1442">
        <v>1.0546</v>
      </c>
    </row>
    <row r="1443" spans="1:17" x14ac:dyDescent="0.35">
      <c r="A1443" t="s">
        <v>1434</v>
      </c>
      <c r="B1443" t="s">
        <v>2916</v>
      </c>
      <c r="C1443">
        <v>41</v>
      </c>
      <c r="D1443" t="s">
        <v>2990</v>
      </c>
      <c r="E1443" t="s">
        <v>3006</v>
      </c>
      <c r="F1443" t="s">
        <v>3019</v>
      </c>
      <c r="G1443">
        <v>0</v>
      </c>
      <c r="H1443">
        <v>1713854</v>
      </c>
      <c r="I1443">
        <v>549274</v>
      </c>
      <c r="J1443">
        <v>21.79</v>
      </c>
      <c r="K1443">
        <v>48</v>
      </c>
      <c r="L1443" t="s">
        <v>3051</v>
      </c>
      <c r="M1443">
        <v>427</v>
      </c>
      <c r="N1443">
        <v>1</v>
      </c>
      <c r="O1443" t="s">
        <v>3053</v>
      </c>
      <c r="P1443" t="s">
        <v>4032</v>
      </c>
      <c r="Q1443">
        <v>0.32050000000000001</v>
      </c>
    </row>
    <row r="1444" spans="1:17" x14ac:dyDescent="0.35">
      <c r="A1444" t="s">
        <v>1435</v>
      </c>
      <c r="B1444" t="s">
        <v>2917</v>
      </c>
      <c r="C1444">
        <v>21</v>
      </c>
      <c r="D1444" t="s">
        <v>2990</v>
      </c>
      <c r="E1444" t="s">
        <v>2999</v>
      </c>
      <c r="F1444" t="s">
        <v>3019</v>
      </c>
      <c r="G1444">
        <v>17</v>
      </c>
      <c r="H1444">
        <v>822613</v>
      </c>
      <c r="I1444">
        <v>465150</v>
      </c>
      <c r="J1444">
        <v>23.24</v>
      </c>
      <c r="K1444">
        <v>24</v>
      </c>
      <c r="L1444" t="s">
        <v>3048</v>
      </c>
      <c r="M1444">
        <v>557</v>
      </c>
      <c r="N1444">
        <v>3</v>
      </c>
      <c r="O1444" t="s">
        <v>3054</v>
      </c>
      <c r="P1444" t="s">
        <v>3579</v>
      </c>
      <c r="Q1444">
        <v>0.5655</v>
      </c>
    </row>
    <row r="1445" spans="1:17" x14ac:dyDescent="0.35">
      <c r="B1445" t="s">
        <v>2918</v>
      </c>
      <c r="C1445">
        <v>51</v>
      </c>
      <c r="D1445" t="s">
        <v>2990</v>
      </c>
      <c r="E1445" t="s">
        <v>3003</v>
      </c>
      <c r="F1445" t="s">
        <v>3020</v>
      </c>
      <c r="G1445">
        <v>11</v>
      </c>
      <c r="H1445">
        <v>607387</v>
      </c>
      <c r="I1445">
        <v>531181</v>
      </c>
      <c r="J1445">
        <v>19.13</v>
      </c>
      <c r="K1445">
        <v>60</v>
      </c>
      <c r="L1445" t="s">
        <v>3050</v>
      </c>
      <c r="M1445">
        <v>781</v>
      </c>
      <c r="N1445">
        <v>4</v>
      </c>
      <c r="O1445" t="s">
        <v>3056</v>
      </c>
      <c r="P1445" t="s">
        <v>4033</v>
      </c>
      <c r="Q1445">
        <v>0.87450000000000006</v>
      </c>
    </row>
    <row r="1446" spans="1:17" x14ac:dyDescent="0.35">
      <c r="A1446" t="s">
        <v>1436</v>
      </c>
      <c r="B1446" t="s">
        <v>2919</v>
      </c>
      <c r="C1446">
        <v>61</v>
      </c>
      <c r="D1446" t="s">
        <v>2990</v>
      </c>
      <c r="E1446" t="s">
        <v>3005</v>
      </c>
      <c r="F1446" t="s">
        <v>3020</v>
      </c>
      <c r="G1446">
        <v>26</v>
      </c>
      <c r="H1446">
        <v>1281844</v>
      </c>
      <c r="I1446">
        <v>493958</v>
      </c>
      <c r="J1446">
        <v>21.57</v>
      </c>
      <c r="K1446">
        <v>12</v>
      </c>
      <c r="L1446" t="s">
        <v>3050</v>
      </c>
      <c r="M1446">
        <v>583</v>
      </c>
      <c r="N1446">
        <v>1</v>
      </c>
      <c r="O1446" t="s">
        <v>3054</v>
      </c>
      <c r="P1446" t="s">
        <v>4028</v>
      </c>
      <c r="Q1446">
        <v>0.38529999999999998</v>
      </c>
    </row>
    <row r="1447" spans="1:17" x14ac:dyDescent="0.35">
      <c r="A1447" t="s">
        <v>1437</v>
      </c>
      <c r="B1447" t="s">
        <v>2920</v>
      </c>
      <c r="C1447">
        <v>26</v>
      </c>
      <c r="D1447" t="s">
        <v>2992</v>
      </c>
      <c r="E1447" t="s">
        <v>2998</v>
      </c>
      <c r="F1447" t="s">
        <v>3018</v>
      </c>
      <c r="G1447">
        <v>15</v>
      </c>
      <c r="H1447">
        <v>1407165</v>
      </c>
      <c r="I1447">
        <v>222346</v>
      </c>
      <c r="J1447">
        <v>18.21</v>
      </c>
      <c r="K1447">
        <v>24</v>
      </c>
      <c r="M1447">
        <v>532</v>
      </c>
      <c r="N1447">
        <v>1</v>
      </c>
      <c r="O1447" t="s">
        <v>3054</v>
      </c>
      <c r="P1447" t="s">
        <v>4034</v>
      </c>
      <c r="Q1447">
        <v>0.158</v>
      </c>
    </row>
    <row r="1448" spans="1:17" x14ac:dyDescent="0.35">
      <c r="A1448" t="s">
        <v>1438</v>
      </c>
      <c r="B1448" t="s">
        <v>2921</v>
      </c>
      <c r="C1448">
        <v>56</v>
      </c>
      <c r="D1448" t="s">
        <v>2992</v>
      </c>
      <c r="E1448" t="s">
        <v>2999</v>
      </c>
      <c r="F1448" t="s">
        <v>3021</v>
      </c>
      <c r="G1448">
        <v>20</v>
      </c>
      <c r="H1448">
        <v>1718112</v>
      </c>
      <c r="I1448">
        <v>629312</v>
      </c>
      <c r="J1448">
        <v>21.16</v>
      </c>
      <c r="K1448">
        <v>24</v>
      </c>
      <c r="L1448" t="s">
        <v>3046</v>
      </c>
      <c r="M1448">
        <v>319</v>
      </c>
      <c r="N1448">
        <v>4</v>
      </c>
      <c r="O1448" t="s">
        <v>3057</v>
      </c>
      <c r="P1448" t="s">
        <v>4035</v>
      </c>
      <c r="Q1448">
        <v>0.36630000000000001</v>
      </c>
    </row>
    <row r="1449" spans="1:17" x14ac:dyDescent="0.35">
      <c r="A1449" t="s">
        <v>1439</v>
      </c>
      <c r="B1449" t="s">
        <v>2922</v>
      </c>
      <c r="C1449">
        <v>38</v>
      </c>
      <c r="D1449" t="s">
        <v>2992</v>
      </c>
      <c r="E1449" t="s">
        <v>3001</v>
      </c>
      <c r="F1449" t="s">
        <v>3018</v>
      </c>
      <c r="G1449">
        <v>28</v>
      </c>
      <c r="H1449">
        <v>1645744</v>
      </c>
      <c r="I1449">
        <v>336463</v>
      </c>
      <c r="J1449">
        <v>16.3</v>
      </c>
      <c r="K1449">
        <v>12</v>
      </c>
      <c r="L1449" t="s">
        <v>3046</v>
      </c>
      <c r="M1449">
        <v>546</v>
      </c>
      <c r="N1449">
        <v>5</v>
      </c>
      <c r="O1449" t="s">
        <v>3056</v>
      </c>
      <c r="P1449" t="s">
        <v>4024</v>
      </c>
      <c r="Q1449">
        <v>0.2044</v>
      </c>
    </row>
    <row r="1450" spans="1:17" x14ac:dyDescent="0.35">
      <c r="A1450" t="s">
        <v>1440</v>
      </c>
      <c r="B1450" t="s">
        <v>2923</v>
      </c>
      <c r="C1450">
        <v>43</v>
      </c>
      <c r="D1450" t="s">
        <v>2992</v>
      </c>
      <c r="E1450" t="s">
        <v>2999</v>
      </c>
      <c r="F1450" t="s">
        <v>3018</v>
      </c>
      <c r="G1450">
        <v>2</v>
      </c>
      <c r="H1450">
        <v>1022186</v>
      </c>
      <c r="I1450">
        <v>285976</v>
      </c>
      <c r="J1450">
        <v>20.12</v>
      </c>
      <c r="K1450">
        <v>36</v>
      </c>
      <c r="L1450" t="s">
        <v>3049</v>
      </c>
      <c r="M1450">
        <v>662</v>
      </c>
      <c r="N1450">
        <v>6</v>
      </c>
      <c r="O1450" t="s">
        <v>3052</v>
      </c>
      <c r="P1450" t="s">
        <v>3695</v>
      </c>
      <c r="Q1450">
        <v>0.27979999999999999</v>
      </c>
    </row>
    <row r="1451" spans="1:17" x14ac:dyDescent="0.35">
      <c r="A1451" t="s">
        <v>1441</v>
      </c>
      <c r="B1451" t="s">
        <v>2924</v>
      </c>
      <c r="C1451">
        <v>39</v>
      </c>
      <c r="D1451" t="s">
        <v>2990</v>
      </c>
      <c r="E1451" t="s">
        <v>2999</v>
      </c>
      <c r="F1451" t="s">
        <v>3019</v>
      </c>
      <c r="G1451">
        <v>21</v>
      </c>
      <c r="H1451">
        <v>1477076</v>
      </c>
      <c r="I1451">
        <v>79234</v>
      </c>
      <c r="J1451">
        <v>8.1300000000000008</v>
      </c>
      <c r="K1451">
        <v>36</v>
      </c>
      <c r="L1451" t="s">
        <v>3047</v>
      </c>
      <c r="M1451">
        <v>569</v>
      </c>
      <c r="N1451">
        <v>1</v>
      </c>
      <c r="O1451" t="s">
        <v>3052</v>
      </c>
      <c r="P1451" t="s">
        <v>4036</v>
      </c>
      <c r="Q1451">
        <v>5.3600000000000002E-2</v>
      </c>
    </row>
    <row r="1452" spans="1:17" x14ac:dyDescent="0.35">
      <c r="A1452" t="s">
        <v>1442</v>
      </c>
      <c r="B1452" t="s">
        <v>2925</v>
      </c>
      <c r="C1452">
        <v>43</v>
      </c>
      <c r="D1452" t="s">
        <v>2992</v>
      </c>
      <c r="E1452" t="s">
        <v>3001</v>
      </c>
      <c r="F1452" t="s">
        <v>3018</v>
      </c>
      <c r="G1452">
        <v>12</v>
      </c>
      <c r="H1452">
        <v>542462</v>
      </c>
      <c r="I1452">
        <v>231144</v>
      </c>
      <c r="J1452">
        <v>22.81</v>
      </c>
      <c r="K1452">
        <v>12</v>
      </c>
      <c r="L1452" t="s">
        <v>3051</v>
      </c>
      <c r="M1452">
        <v>499</v>
      </c>
      <c r="N1452">
        <v>4</v>
      </c>
      <c r="O1452" t="s">
        <v>3055</v>
      </c>
      <c r="P1452" t="s">
        <v>4037</v>
      </c>
      <c r="Q1452">
        <v>0.42609999999999998</v>
      </c>
    </row>
    <row r="1453" spans="1:17" x14ac:dyDescent="0.35">
      <c r="A1453" t="s">
        <v>1443</v>
      </c>
      <c r="B1453" t="s">
        <v>2926</v>
      </c>
      <c r="C1453">
        <v>45</v>
      </c>
      <c r="D1453" t="s">
        <v>2990</v>
      </c>
      <c r="E1453" t="s">
        <v>3003</v>
      </c>
      <c r="F1453" t="s">
        <v>3020</v>
      </c>
      <c r="G1453">
        <v>26</v>
      </c>
      <c r="H1453">
        <v>538690</v>
      </c>
      <c r="I1453">
        <v>75841</v>
      </c>
      <c r="J1453">
        <v>9.01</v>
      </c>
      <c r="K1453">
        <v>60</v>
      </c>
      <c r="L1453" t="s">
        <v>3046</v>
      </c>
      <c r="M1453">
        <v>591</v>
      </c>
      <c r="N1453">
        <v>1</v>
      </c>
      <c r="O1453" t="s">
        <v>3057</v>
      </c>
      <c r="P1453" t="s">
        <v>4038</v>
      </c>
      <c r="Q1453">
        <v>0.14080000000000001</v>
      </c>
    </row>
    <row r="1454" spans="1:17" x14ac:dyDescent="0.35">
      <c r="A1454" t="s">
        <v>1444</v>
      </c>
      <c r="B1454" t="s">
        <v>2927</v>
      </c>
      <c r="C1454">
        <v>36</v>
      </c>
      <c r="D1454" t="s">
        <v>2990</v>
      </c>
      <c r="E1454" t="s">
        <v>2999</v>
      </c>
      <c r="F1454" t="s">
        <v>3019</v>
      </c>
      <c r="G1454">
        <v>18</v>
      </c>
      <c r="H1454">
        <v>324539</v>
      </c>
      <c r="I1454">
        <v>0</v>
      </c>
      <c r="J1454">
        <v>12.6</v>
      </c>
      <c r="K1454">
        <v>24</v>
      </c>
      <c r="L1454" t="s">
        <v>3049</v>
      </c>
      <c r="M1454">
        <v>681</v>
      </c>
      <c r="N1454">
        <v>2</v>
      </c>
      <c r="O1454" t="s">
        <v>3055</v>
      </c>
      <c r="P1454" t="s">
        <v>4039</v>
      </c>
      <c r="Q1454">
        <v>0.54730000000000001</v>
      </c>
    </row>
    <row r="1455" spans="1:17" x14ac:dyDescent="0.35">
      <c r="A1455" t="s">
        <v>1445</v>
      </c>
      <c r="B1455" t="s">
        <v>2928</v>
      </c>
      <c r="C1455">
        <v>23</v>
      </c>
      <c r="D1455" t="s">
        <v>2990</v>
      </c>
      <c r="E1455" t="s">
        <v>3001</v>
      </c>
      <c r="F1455" t="s">
        <v>3019</v>
      </c>
      <c r="G1455">
        <v>9</v>
      </c>
      <c r="H1455">
        <v>1252358</v>
      </c>
      <c r="I1455">
        <v>689260</v>
      </c>
      <c r="J1455">
        <v>10.36</v>
      </c>
      <c r="K1455">
        <v>48</v>
      </c>
      <c r="L1455" t="s">
        <v>3049</v>
      </c>
      <c r="M1455">
        <v>796</v>
      </c>
      <c r="N1455">
        <v>2</v>
      </c>
      <c r="O1455" t="s">
        <v>3054</v>
      </c>
      <c r="P1455" t="s">
        <v>4040</v>
      </c>
      <c r="Q1455">
        <v>0.5504</v>
      </c>
    </row>
    <row r="1456" spans="1:17" x14ac:dyDescent="0.35">
      <c r="A1456" t="s">
        <v>1446</v>
      </c>
      <c r="B1456" t="s">
        <v>2929</v>
      </c>
      <c r="C1456">
        <v>56</v>
      </c>
      <c r="D1456" t="s">
        <v>2990</v>
      </c>
      <c r="E1456" t="s">
        <v>3002</v>
      </c>
      <c r="F1456" t="s">
        <v>3020</v>
      </c>
      <c r="G1456">
        <v>1</v>
      </c>
      <c r="H1456">
        <v>2167755</v>
      </c>
      <c r="I1456">
        <v>94601</v>
      </c>
      <c r="J1456">
        <v>17.350000000000001</v>
      </c>
      <c r="K1456">
        <v>48</v>
      </c>
      <c r="L1456" t="s">
        <v>3051</v>
      </c>
      <c r="M1456">
        <v>730</v>
      </c>
      <c r="N1456">
        <v>6</v>
      </c>
      <c r="O1456" t="s">
        <v>3052</v>
      </c>
      <c r="P1456" t="s">
        <v>4041</v>
      </c>
      <c r="Q1456">
        <v>4.36E-2</v>
      </c>
    </row>
    <row r="1457" spans="1:17" x14ac:dyDescent="0.35">
      <c r="A1457" t="s">
        <v>1447</v>
      </c>
      <c r="B1457" t="s">
        <v>2930</v>
      </c>
      <c r="C1457">
        <v>40</v>
      </c>
      <c r="D1457" t="s">
        <v>2992</v>
      </c>
      <c r="E1457" t="s">
        <v>2998</v>
      </c>
      <c r="F1457" t="s">
        <v>3019</v>
      </c>
      <c r="G1457">
        <v>25</v>
      </c>
      <c r="H1457">
        <v>1416180</v>
      </c>
      <c r="I1457">
        <v>237813</v>
      </c>
      <c r="J1457">
        <v>10.3</v>
      </c>
      <c r="K1457">
        <v>12</v>
      </c>
      <c r="L1457" t="s">
        <v>3049</v>
      </c>
      <c r="M1457">
        <v>330</v>
      </c>
      <c r="N1457">
        <v>7</v>
      </c>
      <c r="O1457" t="s">
        <v>3052</v>
      </c>
      <c r="P1457" t="s">
        <v>3413</v>
      </c>
      <c r="Q1457">
        <v>0.16789999999999999</v>
      </c>
    </row>
    <row r="1458" spans="1:17" x14ac:dyDescent="0.35">
      <c r="A1458" t="s">
        <v>1448</v>
      </c>
      <c r="B1458" t="s">
        <v>2931</v>
      </c>
      <c r="C1458">
        <v>25</v>
      </c>
      <c r="D1458" t="s">
        <v>2992</v>
      </c>
      <c r="E1458" t="s">
        <v>3006</v>
      </c>
      <c r="F1458" t="s">
        <v>3019</v>
      </c>
      <c r="G1458">
        <v>27</v>
      </c>
      <c r="H1458">
        <v>1004143</v>
      </c>
      <c r="I1458">
        <v>584430</v>
      </c>
      <c r="J1458">
        <v>23.29</v>
      </c>
      <c r="K1458">
        <v>24</v>
      </c>
      <c r="L1458" t="s">
        <v>3048</v>
      </c>
      <c r="M1458">
        <v>507</v>
      </c>
      <c r="N1458">
        <v>1</v>
      </c>
      <c r="O1458" t="s">
        <v>3055</v>
      </c>
      <c r="P1458" t="s">
        <v>4042</v>
      </c>
      <c r="Q1458">
        <v>0.58199999999999996</v>
      </c>
    </row>
    <row r="1459" spans="1:17" x14ac:dyDescent="0.35">
      <c r="A1459" t="s">
        <v>1449</v>
      </c>
      <c r="B1459" t="s">
        <v>2932</v>
      </c>
      <c r="C1459">
        <v>28</v>
      </c>
      <c r="D1459" t="s">
        <v>2992</v>
      </c>
      <c r="E1459" t="s">
        <v>3007</v>
      </c>
      <c r="F1459" t="s">
        <v>3020</v>
      </c>
      <c r="G1459">
        <v>16</v>
      </c>
      <c r="H1459">
        <v>1727261</v>
      </c>
      <c r="I1459">
        <v>433090</v>
      </c>
      <c r="J1459">
        <v>15.66</v>
      </c>
      <c r="K1459">
        <v>12</v>
      </c>
      <c r="L1459" t="s">
        <v>3050</v>
      </c>
      <c r="M1459">
        <v>375</v>
      </c>
      <c r="N1459">
        <v>0</v>
      </c>
      <c r="O1459" t="s">
        <v>3057</v>
      </c>
      <c r="P1459" t="s">
        <v>3739</v>
      </c>
      <c r="Q1459">
        <v>0.25069999999999998</v>
      </c>
    </row>
    <row r="1460" spans="1:17" x14ac:dyDescent="0.35">
      <c r="A1460" t="s">
        <v>1450</v>
      </c>
      <c r="B1460" t="s">
        <v>2933</v>
      </c>
      <c r="C1460">
        <v>56</v>
      </c>
      <c r="D1460" t="s">
        <v>2992</v>
      </c>
      <c r="E1460" t="s">
        <v>3005</v>
      </c>
      <c r="F1460" t="s">
        <v>3018</v>
      </c>
      <c r="G1460">
        <v>8</v>
      </c>
      <c r="H1460">
        <v>2196411</v>
      </c>
      <c r="I1460">
        <v>47798</v>
      </c>
      <c r="J1460">
        <v>24.2</v>
      </c>
      <c r="K1460">
        <v>24</v>
      </c>
      <c r="L1460" t="s">
        <v>3049</v>
      </c>
      <c r="M1460">
        <v>725</v>
      </c>
      <c r="N1460">
        <v>1</v>
      </c>
      <c r="O1460" t="s">
        <v>3063</v>
      </c>
      <c r="P1460" t="s">
        <v>4043</v>
      </c>
      <c r="Q1460">
        <v>2.18E-2</v>
      </c>
    </row>
    <row r="1461" spans="1:17" x14ac:dyDescent="0.35">
      <c r="A1461" t="s">
        <v>1451</v>
      </c>
      <c r="B1461" t="s">
        <v>2934</v>
      </c>
      <c r="C1461">
        <v>37</v>
      </c>
      <c r="D1461" t="s">
        <v>2990</v>
      </c>
      <c r="E1461" t="s">
        <v>3006</v>
      </c>
      <c r="F1461" t="s">
        <v>3020</v>
      </c>
      <c r="G1461">
        <v>11</v>
      </c>
      <c r="H1461">
        <v>398401</v>
      </c>
      <c r="I1461">
        <v>344934</v>
      </c>
      <c r="J1461">
        <v>17.670000000000002</v>
      </c>
      <c r="K1461">
        <v>48</v>
      </c>
      <c r="L1461" t="s">
        <v>3047</v>
      </c>
      <c r="M1461">
        <v>652</v>
      </c>
      <c r="N1461">
        <v>5</v>
      </c>
      <c r="O1461" t="s">
        <v>3053</v>
      </c>
      <c r="P1461" t="s">
        <v>4044</v>
      </c>
      <c r="Q1461">
        <v>0.86580000000000001</v>
      </c>
    </row>
    <row r="1462" spans="1:17" x14ac:dyDescent="0.35">
      <c r="A1462" t="s">
        <v>1452</v>
      </c>
      <c r="B1462" t="s">
        <v>2935</v>
      </c>
      <c r="C1462">
        <v>63</v>
      </c>
      <c r="D1462" t="s">
        <v>2992</v>
      </c>
      <c r="E1462" t="s">
        <v>3000</v>
      </c>
      <c r="F1462" t="s">
        <v>3020</v>
      </c>
      <c r="G1462">
        <v>25</v>
      </c>
      <c r="H1462">
        <v>1803154</v>
      </c>
      <c r="I1462">
        <v>351119</v>
      </c>
      <c r="J1462" t="s">
        <v>3043</v>
      </c>
      <c r="K1462">
        <v>36</v>
      </c>
      <c r="L1462" t="s">
        <v>3050</v>
      </c>
      <c r="M1462">
        <v>364</v>
      </c>
      <c r="N1462">
        <v>4</v>
      </c>
      <c r="O1462" t="s">
        <v>3056</v>
      </c>
      <c r="P1462" t="s">
        <v>3403</v>
      </c>
      <c r="Q1462">
        <v>0.19470000000000001</v>
      </c>
    </row>
    <row r="1463" spans="1:17" x14ac:dyDescent="0.35">
      <c r="A1463" t="s">
        <v>1453</v>
      </c>
      <c r="B1463" t="s">
        <v>2936</v>
      </c>
      <c r="C1463">
        <v>52</v>
      </c>
      <c r="D1463" t="s">
        <v>2992</v>
      </c>
      <c r="E1463" t="s">
        <v>3003</v>
      </c>
      <c r="F1463" t="s">
        <v>3018</v>
      </c>
      <c r="G1463">
        <v>11</v>
      </c>
      <c r="H1463">
        <v>1705842</v>
      </c>
      <c r="I1463">
        <v>695887</v>
      </c>
      <c r="J1463">
        <v>10.119999999999999</v>
      </c>
      <c r="K1463">
        <v>12</v>
      </c>
      <c r="L1463" t="s">
        <v>3048</v>
      </c>
      <c r="N1463">
        <v>7</v>
      </c>
      <c r="O1463" t="s">
        <v>3055</v>
      </c>
      <c r="P1463" t="s">
        <v>4045</v>
      </c>
      <c r="Q1463">
        <v>0.40789999999999998</v>
      </c>
    </row>
    <row r="1464" spans="1:17" x14ac:dyDescent="0.35">
      <c r="A1464" t="s">
        <v>1454</v>
      </c>
      <c r="B1464" t="s">
        <v>2937</v>
      </c>
      <c r="C1464">
        <v>45</v>
      </c>
      <c r="D1464" t="s">
        <v>2990</v>
      </c>
      <c r="E1464" t="s">
        <v>3000</v>
      </c>
      <c r="F1464" t="s">
        <v>3019</v>
      </c>
      <c r="G1464">
        <v>3</v>
      </c>
      <c r="H1464">
        <v>2155608</v>
      </c>
      <c r="I1464">
        <v>676030</v>
      </c>
      <c r="J1464">
        <v>10.77</v>
      </c>
      <c r="K1464">
        <v>12</v>
      </c>
      <c r="L1464" t="s">
        <v>3051</v>
      </c>
      <c r="M1464">
        <v>592</v>
      </c>
      <c r="N1464">
        <v>1</v>
      </c>
      <c r="O1464" t="s">
        <v>3053</v>
      </c>
      <c r="P1464" t="s">
        <v>4046</v>
      </c>
      <c r="Q1464">
        <v>0.31359999999999999</v>
      </c>
    </row>
    <row r="1465" spans="1:17" x14ac:dyDescent="0.35">
      <c r="A1465" t="s">
        <v>1455</v>
      </c>
      <c r="B1465" t="s">
        <v>2938</v>
      </c>
      <c r="C1465">
        <v>53</v>
      </c>
      <c r="D1465" t="s">
        <v>2990</v>
      </c>
      <c r="E1465" t="s">
        <v>2998</v>
      </c>
      <c r="F1465" t="s">
        <v>3021</v>
      </c>
      <c r="G1465">
        <v>19</v>
      </c>
      <c r="H1465">
        <v>2378611</v>
      </c>
      <c r="I1465">
        <v>43091</v>
      </c>
      <c r="J1465">
        <v>15.1</v>
      </c>
      <c r="K1465">
        <v>48</v>
      </c>
      <c r="L1465" t="s">
        <v>3046</v>
      </c>
      <c r="M1465">
        <v>612</v>
      </c>
      <c r="N1465">
        <v>4</v>
      </c>
      <c r="O1465" t="s">
        <v>3054</v>
      </c>
      <c r="P1465" t="s">
        <v>3076</v>
      </c>
      <c r="Q1465">
        <v>1.8100000000000002E-2</v>
      </c>
    </row>
    <row r="1466" spans="1:17" x14ac:dyDescent="0.35">
      <c r="A1466" t="s">
        <v>1456</v>
      </c>
      <c r="B1466" t="s">
        <v>2939</v>
      </c>
      <c r="C1466">
        <v>30</v>
      </c>
      <c r="D1466" t="s">
        <v>2990</v>
      </c>
      <c r="E1466" t="s">
        <v>3000</v>
      </c>
      <c r="F1466" t="s">
        <v>3020</v>
      </c>
      <c r="G1466">
        <v>29</v>
      </c>
      <c r="H1466">
        <v>985113</v>
      </c>
      <c r="I1466">
        <v>446070</v>
      </c>
      <c r="J1466">
        <v>23</v>
      </c>
      <c r="K1466">
        <v>48</v>
      </c>
      <c r="L1466" t="s">
        <v>3048</v>
      </c>
      <c r="N1466">
        <v>2</v>
      </c>
      <c r="O1466" t="s">
        <v>3053</v>
      </c>
      <c r="P1466" t="s">
        <v>4047</v>
      </c>
      <c r="Q1466">
        <v>0.45279999999999998</v>
      </c>
    </row>
    <row r="1467" spans="1:17" x14ac:dyDescent="0.35">
      <c r="A1467" t="s">
        <v>1457</v>
      </c>
      <c r="B1467" t="s">
        <v>2940</v>
      </c>
      <c r="C1467">
        <v>60</v>
      </c>
      <c r="D1467" t="s">
        <v>2992</v>
      </c>
      <c r="E1467" t="s">
        <v>3001</v>
      </c>
      <c r="F1467" t="s">
        <v>3020</v>
      </c>
      <c r="G1467">
        <v>7</v>
      </c>
      <c r="H1467">
        <v>1537453</v>
      </c>
      <c r="I1467">
        <v>218237</v>
      </c>
      <c r="J1467">
        <v>12.65</v>
      </c>
      <c r="K1467">
        <v>24</v>
      </c>
      <c r="L1467" t="s">
        <v>3049</v>
      </c>
      <c r="M1467">
        <v>635</v>
      </c>
      <c r="N1467">
        <v>6</v>
      </c>
      <c r="O1467" t="s">
        <v>3052</v>
      </c>
      <c r="P1467" t="s">
        <v>3872</v>
      </c>
      <c r="Q1467">
        <v>0.1419</v>
      </c>
    </row>
    <row r="1468" spans="1:17" x14ac:dyDescent="0.35">
      <c r="A1468" t="s">
        <v>1458</v>
      </c>
      <c r="B1468" t="s">
        <v>2941</v>
      </c>
      <c r="C1468">
        <v>60</v>
      </c>
      <c r="D1468" t="s">
        <v>2997</v>
      </c>
      <c r="E1468" t="s">
        <v>3006</v>
      </c>
      <c r="F1468" t="s">
        <v>3021</v>
      </c>
      <c r="G1468">
        <v>9</v>
      </c>
      <c r="H1468">
        <v>-879539</v>
      </c>
      <c r="I1468">
        <v>518843</v>
      </c>
      <c r="J1468">
        <v>23.2</v>
      </c>
      <c r="K1468">
        <v>36</v>
      </c>
      <c r="L1468" t="s">
        <v>3049</v>
      </c>
      <c r="M1468">
        <v>320</v>
      </c>
      <c r="N1468">
        <v>7</v>
      </c>
      <c r="O1468" t="s">
        <v>3055</v>
      </c>
      <c r="P1468" t="s">
        <v>4005</v>
      </c>
      <c r="Q1468">
        <v>0.58989999999999998</v>
      </c>
    </row>
    <row r="1469" spans="1:17" x14ac:dyDescent="0.35">
      <c r="A1469" t="s">
        <v>1459</v>
      </c>
      <c r="B1469" t="s">
        <v>2942</v>
      </c>
      <c r="C1469">
        <v>53</v>
      </c>
      <c r="D1469" t="s">
        <v>2990</v>
      </c>
      <c r="E1469" t="s">
        <v>3001</v>
      </c>
      <c r="F1469" t="s">
        <v>3021</v>
      </c>
      <c r="G1469">
        <v>12</v>
      </c>
      <c r="H1469">
        <v>-1493379</v>
      </c>
      <c r="I1469">
        <v>302140</v>
      </c>
      <c r="J1469">
        <v>19.920000000000002</v>
      </c>
      <c r="K1469">
        <v>12</v>
      </c>
      <c r="L1469" t="s">
        <v>3047</v>
      </c>
      <c r="M1469">
        <v>513</v>
      </c>
      <c r="N1469">
        <v>6</v>
      </c>
      <c r="O1469" t="s">
        <v>3054</v>
      </c>
      <c r="P1469" t="s">
        <v>4048</v>
      </c>
      <c r="Q1469">
        <v>0.20230000000000001</v>
      </c>
    </row>
    <row r="1470" spans="1:17" x14ac:dyDescent="0.35">
      <c r="A1470" t="s">
        <v>1460</v>
      </c>
      <c r="B1470" t="s">
        <v>2943</v>
      </c>
      <c r="C1470">
        <v>44</v>
      </c>
      <c r="D1470" t="s">
        <v>2992</v>
      </c>
      <c r="E1470" t="s">
        <v>3000</v>
      </c>
      <c r="F1470" t="s">
        <v>3020</v>
      </c>
      <c r="G1470">
        <v>0</v>
      </c>
      <c r="H1470">
        <v>583119</v>
      </c>
      <c r="I1470">
        <v>582621</v>
      </c>
      <c r="J1470">
        <v>26.54</v>
      </c>
      <c r="K1470">
        <v>48</v>
      </c>
      <c r="L1470" t="s">
        <v>3048</v>
      </c>
      <c r="M1470">
        <v>454</v>
      </c>
      <c r="N1470">
        <v>2</v>
      </c>
      <c r="O1470" t="s">
        <v>3054</v>
      </c>
      <c r="P1470" t="s">
        <v>4049</v>
      </c>
      <c r="Q1470">
        <v>0.99909999999999999</v>
      </c>
    </row>
    <row r="1471" spans="1:17" x14ac:dyDescent="0.35">
      <c r="A1471" t="s">
        <v>1461</v>
      </c>
      <c r="B1471" t="s">
        <v>2944</v>
      </c>
      <c r="C1471">
        <v>57</v>
      </c>
      <c r="D1471" t="s">
        <v>2990</v>
      </c>
      <c r="E1471" t="s">
        <v>2998</v>
      </c>
      <c r="F1471" t="s">
        <v>3019</v>
      </c>
      <c r="G1471">
        <v>8</v>
      </c>
      <c r="I1471">
        <v>143106</v>
      </c>
      <c r="J1471">
        <v>22.32</v>
      </c>
      <c r="K1471">
        <v>24</v>
      </c>
      <c r="L1471" t="s">
        <v>3047</v>
      </c>
      <c r="M1471">
        <v>384</v>
      </c>
      <c r="N1471">
        <v>3</v>
      </c>
      <c r="O1471" t="s">
        <v>3055</v>
      </c>
      <c r="P1471" t="s">
        <v>3822</v>
      </c>
      <c r="Q1471">
        <v>9.7600000000000006E-2</v>
      </c>
    </row>
    <row r="1472" spans="1:17" x14ac:dyDescent="0.35">
      <c r="A1472" t="s">
        <v>1462</v>
      </c>
      <c r="B1472" t="s">
        <v>2945</v>
      </c>
      <c r="C1472">
        <v>37</v>
      </c>
      <c r="D1472" t="s">
        <v>2990</v>
      </c>
      <c r="E1472" t="s">
        <v>2998</v>
      </c>
      <c r="F1472" t="s">
        <v>3018</v>
      </c>
      <c r="G1472">
        <v>11</v>
      </c>
      <c r="H1472">
        <v>1343490</v>
      </c>
      <c r="I1472">
        <v>194875</v>
      </c>
      <c r="J1472">
        <v>25.49</v>
      </c>
      <c r="K1472">
        <v>48</v>
      </c>
      <c r="L1472" t="s">
        <v>3047</v>
      </c>
      <c r="M1472">
        <v>763</v>
      </c>
      <c r="N1472">
        <v>5</v>
      </c>
      <c r="O1472" t="s">
        <v>3053</v>
      </c>
      <c r="P1472" t="s">
        <v>4050</v>
      </c>
      <c r="Q1472">
        <v>0.14510000000000001</v>
      </c>
    </row>
    <row r="1473" spans="1:17" x14ac:dyDescent="0.35">
      <c r="A1473" t="s">
        <v>1463</v>
      </c>
      <c r="B1473" t="s">
        <v>2946</v>
      </c>
      <c r="C1473">
        <v>63</v>
      </c>
      <c r="D1473" t="s">
        <v>2992</v>
      </c>
      <c r="E1473" t="s">
        <v>3006</v>
      </c>
      <c r="F1473" t="s">
        <v>3021</v>
      </c>
      <c r="G1473">
        <v>9</v>
      </c>
      <c r="H1473">
        <v>1518530</v>
      </c>
      <c r="I1473">
        <v>244021</v>
      </c>
      <c r="J1473">
        <v>18.39</v>
      </c>
      <c r="K1473">
        <v>48</v>
      </c>
      <c r="L1473" t="s">
        <v>3047</v>
      </c>
      <c r="M1473">
        <v>672</v>
      </c>
      <c r="N1473">
        <v>3</v>
      </c>
      <c r="O1473" t="s">
        <v>3056</v>
      </c>
      <c r="P1473" t="s">
        <v>3227</v>
      </c>
      <c r="Q1473">
        <v>0.16070000000000001</v>
      </c>
    </row>
    <row r="1474" spans="1:17" x14ac:dyDescent="0.35">
      <c r="A1474" t="s">
        <v>1464</v>
      </c>
      <c r="B1474" t="s">
        <v>2947</v>
      </c>
      <c r="C1474">
        <v>46</v>
      </c>
      <c r="D1474" t="s">
        <v>2992</v>
      </c>
      <c r="E1474" t="s">
        <v>3001</v>
      </c>
      <c r="F1474" t="s">
        <v>3021</v>
      </c>
      <c r="G1474">
        <v>16</v>
      </c>
      <c r="H1474">
        <v>864029</v>
      </c>
      <c r="I1474">
        <v>769450</v>
      </c>
      <c r="J1474">
        <v>15.25</v>
      </c>
      <c r="K1474">
        <v>36</v>
      </c>
      <c r="L1474" t="s">
        <v>3049</v>
      </c>
      <c r="M1474">
        <v>769</v>
      </c>
      <c r="N1474">
        <v>5</v>
      </c>
      <c r="O1474" t="s">
        <v>3056</v>
      </c>
      <c r="P1474" t="s">
        <v>4051</v>
      </c>
      <c r="Q1474">
        <v>0.89049999999999996</v>
      </c>
    </row>
    <row r="1475" spans="1:17" x14ac:dyDescent="0.35">
      <c r="A1475" t="s">
        <v>1465</v>
      </c>
      <c r="B1475" t="s">
        <v>2948</v>
      </c>
      <c r="C1475">
        <v>37</v>
      </c>
      <c r="D1475" t="s">
        <v>2990</v>
      </c>
      <c r="E1475" t="s">
        <v>3003</v>
      </c>
      <c r="F1475" t="s">
        <v>3021</v>
      </c>
      <c r="G1475">
        <v>19</v>
      </c>
      <c r="H1475">
        <v>281376</v>
      </c>
      <c r="I1475">
        <v>178763</v>
      </c>
      <c r="J1475">
        <v>12.68</v>
      </c>
      <c r="K1475">
        <v>36</v>
      </c>
      <c r="L1475" t="s">
        <v>3047</v>
      </c>
      <c r="M1475">
        <v>501</v>
      </c>
      <c r="N1475">
        <v>1</v>
      </c>
      <c r="O1475" t="s">
        <v>3055</v>
      </c>
      <c r="P1475" t="s">
        <v>3356</v>
      </c>
      <c r="Q1475">
        <v>0.63529999999999998</v>
      </c>
    </row>
    <row r="1476" spans="1:17" x14ac:dyDescent="0.35">
      <c r="A1476" t="s">
        <v>1308</v>
      </c>
      <c r="B1476" t="s">
        <v>2791</v>
      </c>
      <c r="C1476">
        <v>43</v>
      </c>
      <c r="D1476" t="s">
        <v>2990</v>
      </c>
      <c r="E1476" t="s">
        <v>3007</v>
      </c>
      <c r="F1476" t="s">
        <v>3018</v>
      </c>
      <c r="G1476">
        <v>29</v>
      </c>
      <c r="H1476">
        <v>1123793</v>
      </c>
      <c r="I1476">
        <v>443332</v>
      </c>
      <c r="J1476" t="s">
        <v>3044</v>
      </c>
      <c r="K1476">
        <v>24</v>
      </c>
      <c r="L1476" t="s">
        <v>3049</v>
      </c>
      <c r="M1476">
        <v>412</v>
      </c>
      <c r="N1476">
        <v>0</v>
      </c>
      <c r="O1476" t="s">
        <v>3055</v>
      </c>
      <c r="P1476" t="s">
        <v>3621</v>
      </c>
      <c r="Q1476">
        <v>0.39450000000000002</v>
      </c>
    </row>
    <row r="1477" spans="1:17" x14ac:dyDescent="0.35">
      <c r="A1477" t="s">
        <v>1466</v>
      </c>
      <c r="B1477" t="s">
        <v>2949</v>
      </c>
      <c r="C1477">
        <v>31</v>
      </c>
      <c r="D1477" t="s">
        <v>2990</v>
      </c>
      <c r="E1477" t="s">
        <v>3000</v>
      </c>
      <c r="F1477" t="s">
        <v>3018</v>
      </c>
      <c r="G1477">
        <v>9</v>
      </c>
      <c r="H1477">
        <v>359830</v>
      </c>
      <c r="I1477">
        <v>437567</v>
      </c>
      <c r="J1477">
        <v>12.05</v>
      </c>
      <c r="K1477">
        <v>48</v>
      </c>
      <c r="L1477" t="s">
        <v>3051</v>
      </c>
      <c r="M1477">
        <v>356</v>
      </c>
      <c r="N1477">
        <v>3</v>
      </c>
      <c r="O1477" t="s">
        <v>3057</v>
      </c>
      <c r="P1477" t="s">
        <v>4052</v>
      </c>
      <c r="Q1477">
        <v>1.216</v>
      </c>
    </row>
    <row r="1478" spans="1:17" x14ac:dyDescent="0.35">
      <c r="A1478" t="s">
        <v>1467</v>
      </c>
      <c r="B1478" t="s">
        <v>2950</v>
      </c>
      <c r="C1478">
        <v>61</v>
      </c>
      <c r="D1478" t="s">
        <v>2992</v>
      </c>
      <c r="E1478" t="s">
        <v>3005</v>
      </c>
      <c r="F1478" t="s">
        <v>3019</v>
      </c>
      <c r="G1478">
        <v>7</v>
      </c>
      <c r="H1478">
        <v>622939</v>
      </c>
      <c r="I1478">
        <v>249577</v>
      </c>
      <c r="J1478">
        <v>19.54</v>
      </c>
      <c r="K1478">
        <v>60</v>
      </c>
      <c r="L1478" t="s">
        <v>3051</v>
      </c>
      <c r="M1478">
        <v>807</v>
      </c>
      <c r="N1478">
        <v>5</v>
      </c>
      <c r="O1478" t="s">
        <v>3052</v>
      </c>
      <c r="P1478" t="s">
        <v>3724</v>
      </c>
      <c r="Q1478">
        <v>0.40060000000000001</v>
      </c>
    </row>
    <row r="1479" spans="1:17" x14ac:dyDescent="0.35">
      <c r="A1479" t="s">
        <v>1468</v>
      </c>
      <c r="B1479" t="s">
        <v>2951</v>
      </c>
      <c r="C1479">
        <v>39</v>
      </c>
      <c r="D1479" t="s">
        <v>2990</v>
      </c>
      <c r="E1479" t="s">
        <v>3014</v>
      </c>
      <c r="F1479" t="s">
        <v>3018</v>
      </c>
      <c r="G1479">
        <v>13</v>
      </c>
      <c r="H1479">
        <v>1932844</v>
      </c>
      <c r="I1479">
        <v>110009</v>
      </c>
      <c r="J1479">
        <v>8.9700000000000006</v>
      </c>
      <c r="K1479">
        <v>48</v>
      </c>
      <c r="L1479" t="s">
        <v>3047</v>
      </c>
      <c r="M1479">
        <v>308</v>
      </c>
      <c r="N1479">
        <v>7</v>
      </c>
      <c r="O1479" t="s">
        <v>3055</v>
      </c>
      <c r="P1479" t="s">
        <v>3279</v>
      </c>
      <c r="Q1479">
        <v>5.6899999999999999E-2</v>
      </c>
    </row>
    <row r="1480" spans="1:17" x14ac:dyDescent="0.35">
      <c r="A1480" t="s">
        <v>1469</v>
      </c>
      <c r="B1480" t="s">
        <v>2952</v>
      </c>
      <c r="C1480">
        <v>45</v>
      </c>
      <c r="D1480" t="s">
        <v>2990</v>
      </c>
      <c r="E1480" t="s">
        <v>3001</v>
      </c>
      <c r="F1480" t="s">
        <v>3020</v>
      </c>
      <c r="G1480">
        <v>27</v>
      </c>
      <c r="H1480">
        <v>1983919</v>
      </c>
      <c r="I1480">
        <v>720406</v>
      </c>
      <c r="J1480">
        <v>13.92</v>
      </c>
      <c r="K1480">
        <v>12</v>
      </c>
      <c r="L1480" t="s">
        <v>3048</v>
      </c>
      <c r="M1480">
        <v>403</v>
      </c>
      <c r="N1480">
        <v>7</v>
      </c>
      <c r="O1480" t="s">
        <v>3052</v>
      </c>
      <c r="P1480" t="s">
        <v>3977</v>
      </c>
      <c r="Q1480">
        <v>0.36309999999999998</v>
      </c>
    </row>
    <row r="1481" spans="1:17" x14ac:dyDescent="0.35">
      <c r="A1481" t="s">
        <v>1470</v>
      </c>
      <c r="B1481" t="s">
        <v>2953</v>
      </c>
      <c r="C1481">
        <v>21</v>
      </c>
      <c r="D1481" t="s">
        <v>2990</v>
      </c>
      <c r="E1481" t="s">
        <v>3006</v>
      </c>
      <c r="F1481" t="s">
        <v>3020</v>
      </c>
      <c r="G1481">
        <v>3</v>
      </c>
      <c r="H1481">
        <v>202431</v>
      </c>
      <c r="I1481">
        <v>314025</v>
      </c>
      <c r="J1481">
        <v>19.920000000000002</v>
      </c>
      <c r="K1481">
        <v>36</v>
      </c>
      <c r="L1481" t="s">
        <v>3048</v>
      </c>
      <c r="M1481">
        <v>529</v>
      </c>
      <c r="N1481">
        <v>2</v>
      </c>
      <c r="O1481" t="s">
        <v>3055</v>
      </c>
      <c r="P1481" t="s">
        <v>3872</v>
      </c>
      <c r="Q1481">
        <v>1.5512999999999999</v>
      </c>
    </row>
    <row r="1482" spans="1:17" x14ac:dyDescent="0.35">
      <c r="A1482" t="s">
        <v>1471</v>
      </c>
      <c r="B1482" t="s">
        <v>2954</v>
      </c>
      <c r="C1482">
        <v>59</v>
      </c>
      <c r="D1482" t="s">
        <v>2990</v>
      </c>
      <c r="E1482" t="s">
        <v>3006</v>
      </c>
      <c r="F1482" t="s">
        <v>3020</v>
      </c>
      <c r="G1482">
        <v>19</v>
      </c>
      <c r="H1482">
        <v>1175843</v>
      </c>
      <c r="I1482">
        <v>162980</v>
      </c>
      <c r="J1482">
        <v>26.65</v>
      </c>
      <c r="K1482">
        <v>24</v>
      </c>
      <c r="L1482" t="s">
        <v>3049</v>
      </c>
      <c r="M1482">
        <v>592</v>
      </c>
      <c r="N1482">
        <v>1</v>
      </c>
      <c r="O1482" t="s">
        <v>3055</v>
      </c>
      <c r="P1482" t="s">
        <v>3618</v>
      </c>
      <c r="Q1482">
        <v>0.1386</v>
      </c>
    </row>
    <row r="1483" spans="1:17" x14ac:dyDescent="0.35">
      <c r="A1483" t="s">
        <v>1472</v>
      </c>
      <c r="B1483" t="s">
        <v>2955</v>
      </c>
      <c r="C1483">
        <v>25</v>
      </c>
      <c r="D1483" t="s">
        <v>2990</v>
      </c>
      <c r="E1483" t="s">
        <v>3006</v>
      </c>
      <c r="F1483" t="s">
        <v>3021</v>
      </c>
      <c r="G1483">
        <v>13</v>
      </c>
      <c r="H1483">
        <v>853218</v>
      </c>
      <c r="I1483">
        <v>423157</v>
      </c>
      <c r="J1483">
        <v>9.8000000000000007</v>
      </c>
      <c r="K1483">
        <v>12</v>
      </c>
      <c r="L1483" t="s">
        <v>3050</v>
      </c>
      <c r="M1483">
        <v>802</v>
      </c>
      <c r="N1483">
        <v>7</v>
      </c>
      <c r="O1483" t="s">
        <v>3052</v>
      </c>
      <c r="P1483" t="s">
        <v>4053</v>
      </c>
      <c r="Q1483">
        <v>0.496</v>
      </c>
    </row>
    <row r="1484" spans="1:17" x14ac:dyDescent="0.35">
      <c r="A1484" t="s">
        <v>1473</v>
      </c>
      <c r="B1484" t="s">
        <v>2956</v>
      </c>
      <c r="C1484">
        <v>54</v>
      </c>
      <c r="D1484" t="s">
        <v>2990</v>
      </c>
      <c r="E1484" t="s">
        <v>3000</v>
      </c>
      <c r="G1484">
        <v>1</v>
      </c>
      <c r="H1484">
        <v>1184001</v>
      </c>
      <c r="I1484">
        <v>45939</v>
      </c>
      <c r="J1484">
        <v>11.74</v>
      </c>
      <c r="K1484">
        <v>48</v>
      </c>
      <c r="L1484" t="s">
        <v>3051</v>
      </c>
      <c r="M1484">
        <v>683</v>
      </c>
      <c r="N1484">
        <v>7</v>
      </c>
      <c r="O1484" t="s">
        <v>3056</v>
      </c>
      <c r="P1484" t="s">
        <v>4054</v>
      </c>
      <c r="Q1484">
        <v>3.8800000000000001E-2</v>
      </c>
    </row>
    <row r="1485" spans="1:17" x14ac:dyDescent="0.35">
      <c r="A1485" t="s">
        <v>1474</v>
      </c>
      <c r="B1485" t="s">
        <v>2957</v>
      </c>
      <c r="C1485">
        <v>28</v>
      </c>
      <c r="D1485" t="s">
        <v>2990</v>
      </c>
      <c r="E1485" t="s">
        <v>3000</v>
      </c>
      <c r="F1485" t="s">
        <v>3020</v>
      </c>
      <c r="G1485">
        <v>6</v>
      </c>
      <c r="H1485">
        <v>2226475</v>
      </c>
      <c r="I1485">
        <v>199767</v>
      </c>
      <c r="J1485">
        <v>12.75</v>
      </c>
      <c r="K1485">
        <v>60</v>
      </c>
      <c r="L1485" t="s">
        <v>3051</v>
      </c>
      <c r="M1485">
        <v>417</v>
      </c>
      <c r="N1485">
        <v>6</v>
      </c>
      <c r="O1485" t="s">
        <v>3057</v>
      </c>
      <c r="P1485" t="s">
        <v>3172</v>
      </c>
      <c r="Q1485">
        <v>8.9700000000000002E-2</v>
      </c>
    </row>
    <row r="1486" spans="1:17" x14ac:dyDescent="0.35">
      <c r="A1486" t="s">
        <v>1475</v>
      </c>
      <c r="B1486" t="s">
        <v>2958</v>
      </c>
      <c r="C1486">
        <v>57</v>
      </c>
      <c r="D1486" t="s">
        <v>2990</v>
      </c>
      <c r="E1486" t="s">
        <v>3003</v>
      </c>
      <c r="F1486" t="s">
        <v>3018</v>
      </c>
      <c r="G1486">
        <v>2</v>
      </c>
      <c r="H1486">
        <v>338588</v>
      </c>
      <c r="I1486">
        <v>412118</v>
      </c>
      <c r="J1486">
        <v>13.97</v>
      </c>
      <c r="K1486">
        <v>36</v>
      </c>
      <c r="L1486" t="s">
        <v>3051</v>
      </c>
      <c r="M1486">
        <v>748</v>
      </c>
      <c r="N1486">
        <v>4</v>
      </c>
      <c r="O1486" t="s">
        <v>3057</v>
      </c>
      <c r="P1486" t="s">
        <v>3897</v>
      </c>
      <c r="Q1486">
        <v>1.2172000000000001</v>
      </c>
    </row>
    <row r="1487" spans="1:17" x14ac:dyDescent="0.35">
      <c r="A1487" t="s">
        <v>1476</v>
      </c>
      <c r="B1487" t="s">
        <v>2959</v>
      </c>
      <c r="C1487">
        <v>37</v>
      </c>
      <c r="D1487" t="s">
        <v>2990</v>
      </c>
      <c r="E1487" t="s">
        <v>3004</v>
      </c>
      <c r="F1487" t="s">
        <v>3019</v>
      </c>
      <c r="G1487">
        <v>28</v>
      </c>
      <c r="H1487">
        <v>2053722</v>
      </c>
      <c r="I1487">
        <v>80272</v>
      </c>
      <c r="J1487">
        <v>19.43</v>
      </c>
      <c r="K1487">
        <v>60</v>
      </c>
      <c r="L1487" t="s">
        <v>3049</v>
      </c>
      <c r="M1487">
        <v>401</v>
      </c>
      <c r="N1487">
        <v>2</v>
      </c>
      <c r="O1487" t="s">
        <v>3053</v>
      </c>
      <c r="P1487" t="s">
        <v>3785</v>
      </c>
      <c r="Q1487">
        <v>3.9100000000000003E-2</v>
      </c>
    </row>
    <row r="1488" spans="1:17" x14ac:dyDescent="0.35">
      <c r="A1488" t="s">
        <v>1477</v>
      </c>
      <c r="B1488" t="s">
        <v>2960</v>
      </c>
      <c r="C1488">
        <v>59</v>
      </c>
      <c r="D1488" t="s">
        <v>2990</v>
      </c>
      <c r="E1488" t="s">
        <v>3000</v>
      </c>
      <c r="F1488" t="s">
        <v>3021</v>
      </c>
      <c r="G1488">
        <v>11</v>
      </c>
      <c r="H1488">
        <v>303257</v>
      </c>
      <c r="I1488">
        <v>639055</v>
      </c>
      <c r="J1488">
        <v>26.05</v>
      </c>
      <c r="K1488">
        <v>36</v>
      </c>
      <c r="L1488" t="s">
        <v>3047</v>
      </c>
      <c r="M1488">
        <v>363</v>
      </c>
      <c r="N1488">
        <v>6</v>
      </c>
      <c r="O1488" t="s">
        <v>3052</v>
      </c>
      <c r="P1488" t="s">
        <v>3524</v>
      </c>
      <c r="Q1488">
        <v>2.1073</v>
      </c>
    </row>
    <row r="1489" spans="1:17" x14ac:dyDescent="0.35">
      <c r="A1489" t="s">
        <v>1478</v>
      </c>
      <c r="B1489" t="s">
        <v>2961</v>
      </c>
      <c r="C1489">
        <v>58</v>
      </c>
      <c r="D1489" t="s">
        <v>2990</v>
      </c>
      <c r="E1489" t="s">
        <v>2999</v>
      </c>
      <c r="F1489" t="s">
        <v>3019</v>
      </c>
      <c r="G1489">
        <v>20</v>
      </c>
      <c r="H1489">
        <v>1420351</v>
      </c>
      <c r="I1489">
        <v>546930</v>
      </c>
      <c r="J1489">
        <v>19.09</v>
      </c>
      <c r="K1489">
        <v>36</v>
      </c>
      <c r="L1489" t="s">
        <v>3048</v>
      </c>
      <c r="M1489">
        <v>372</v>
      </c>
      <c r="N1489">
        <v>0</v>
      </c>
      <c r="O1489" t="s">
        <v>3056</v>
      </c>
      <c r="P1489" t="s">
        <v>3096</v>
      </c>
      <c r="Q1489">
        <v>0.3851</v>
      </c>
    </row>
    <row r="1490" spans="1:17" x14ac:dyDescent="0.35">
      <c r="A1490" t="s">
        <v>1479</v>
      </c>
      <c r="B1490" t="s">
        <v>2962</v>
      </c>
      <c r="C1490">
        <v>58</v>
      </c>
      <c r="D1490" t="s">
        <v>2990</v>
      </c>
      <c r="E1490" t="s">
        <v>3007</v>
      </c>
      <c r="F1490" t="s">
        <v>3019</v>
      </c>
      <c r="G1490">
        <v>23</v>
      </c>
      <c r="H1490">
        <v>1497630</v>
      </c>
      <c r="I1490">
        <v>281445</v>
      </c>
      <c r="J1490">
        <v>15.66</v>
      </c>
      <c r="K1490">
        <v>48</v>
      </c>
      <c r="L1490" t="s">
        <v>3050</v>
      </c>
      <c r="M1490">
        <v>529</v>
      </c>
      <c r="N1490">
        <v>3</v>
      </c>
      <c r="O1490" t="s">
        <v>3056</v>
      </c>
      <c r="P1490" t="s">
        <v>4040</v>
      </c>
      <c r="Q1490">
        <v>0.18790000000000001</v>
      </c>
    </row>
    <row r="1491" spans="1:17" x14ac:dyDescent="0.35">
      <c r="A1491" t="s">
        <v>1480</v>
      </c>
      <c r="B1491" t="s">
        <v>2963</v>
      </c>
      <c r="C1491">
        <v>27</v>
      </c>
      <c r="D1491" t="s">
        <v>2990</v>
      </c>
      <c r="E1491" t="s">
        <v>3006</v>
      </c>
      <c r="F1491" t="s">
        <v>3019</v>
      </c>
      <c r="G1491">
        <v>12</v>
      </c>
      <c r="H1491">
        <v>1606445</v>
      </c>
      <c r="I1491">
        <v>392397</v>
      </c>
      <c r="J1491" t="s">
        <v>3045</v>
      </c>
      <c r="K1491">
        <v>36</v>
      </c>
      <c r="L1491" t="s">
        <v>3046</v>
      </c>
      <c r="M1491">
        <v>578</v>
      </c>
      <c r="N1491">
        <v>6</v>
      </c>
      <c r="O1491" t="s">
        <v>3053</v>
      </c>
      <c r="P1491" t="s">
        <v>3294</v>
      </c>
      <c r="Q1491">
        <v>0.24429999999999999</v>
      </c>
    </row>
    <row r="1492" spans="1:17" x14ac:dyDescent="0.35">
      <c r="A1492" t="s">
        <v>1481</v>
      </c>
      <c r="B1492" t="s">
        <v>2964</v>
      </c>
      <c r="C1492">
        <v>22</v>
      </c>
      <c r="D1492" t="s">
        <v>2992</v>
      </c>
      <c r="E1492" t="s">
        <v>3001</v>
      </c>
      <c r="F1492" t="s">
        <v>3021</v>
      </c>
      <c r="G1492">
        <v>20</v>
      </c>
      <c r="H1492">
        <v>650452</v>
      </c>
      <c r="I1492">
        <v>633369</v>
      </c>
      <c r="J1492">
        <v>23.21</v>
      </c>
      <c r="K1492">
        <v>24</v>
      </c>
      <c r="L1492" t="s">
        <v>3048</v>
      </c>
      <c r="M1492">
        <v>412</v>
      </c>
      <c r="N1492">
        <v>1</v>
      </c>
      <c r="O1492" t="s">
        <v>3057</v>
      </c>
      <c r="P1492" t="s">
        <v>4055</v>
      </c>
      <c r="Q1492">
        <v>0.97370000000000001</v>
      </c>
    </row>
    <row r="1493" spans="1:17" x14ac:dyDescent="0.35">
      <c r="A1493" t="s">
        <v>1482</v>
      </c>
      <c r="B1493" t="s">
        <v>2965</v>
      </c>
      <c r="C1493">
        <v>30</v>
      </c>
      <c r="E1493" t="s">
        <v>3001</v>
      </c>
      <c r="F1493" t="s">
        <v>3019</v>
      </c>
      <c r="G1493">
        <v>24</v>
      </c>
      <c r="H1493">
        <v>1413741</v>
      </c>
      <c r="I1493">
        <v>515916</v>
      </c>
      <c r="J1493">
        <v>11.7</v>
      </c>
      <c r="K1493">
        <v>36</v>
      </c>
      <c r="L1493" t="s">
        <v>3050</v>
      </c>
      <c r="M1493">
        <v>609</v>
      </c>
      <c r="N1493">
        <v>1</v>
      </c>
      <c r="O1493" t="s">
        <v>3052</v>
      </c>
      <c r="P1493" t="s">
        <v>4056</v>
      </c>
      <c r="Q1493">
        <v>0.3649</v>
      </c>
    </row>
    <row r="1494" spans="1:17" x14ac:dyDescent="0.35">
      <c r="A1494" t="s">
        <v>1483</v>
      </c>
      <c r="B1494" t="s">
        <v>2966</v>
      </c>
      <c r="C1494">
        <v>24</v>
      </c>
      <c r="D1494" t="s">
        <v>2990</v>
      </c>
      <c r="E1494" t="s">
        <v>3000</v>
      </c>
      <c r="F1494" t="s">
        <v>3019</v>
      </c>
      <c r="G1494">
        <v>18</v>
      </c>
      <c r="H1494">
        <v>325788</v>
      </c>
      <c r="I1494">
        <v>316063</v>
      </c>
      <c r="J1494">
        <v>21.87</v>
      </c>
      <c r="K1494">
        <v>36</v>
      </c>
      <c r="L1494" t="s">
        <v>3051</v>
      </c>
      <c r="M1494">
        <v>352</v>
      </c>
      <c r="N1494">
        <v>4</v>
      </c>
      <c r="O1494" t="s">
        <v>3057</v>
      </c>
      <c r="P1494" t="s">
        <v>3997</v>
      </c>
      <c r="Q1494">
        <v>0.97009999999999996</v>
      </c>
    </row>
    <row r="1495" spans="1:17" x14ac:dyDescent="0.35">
      <c r="A1495" t="s">
        <v>1484</v>
      </c>
      <c r="B1495" t="s">
        <v>2967</v>
      </c>
      <c r="C1495">
        <v>47</v>
      </c>
      <c r="D1495" t="s">
        <v>2990</v>
      </c>
      <c r="E1495" t="s">
        <v>3002</v>
      </c>
      <c r="F1495" t="s">
        <v>3019</v>
      </c>
      <c r="G1495">
        <v>27</v>
      </c>
      <c r="H1495">
        <v>1365574</v>
      </c>
      <c r="I1495">
        <v>239128</v>
      </c>
      <c r="J1495">
        <v>27.79</v>
      </c>
      <c r="K1495">
        <v>48</v>
      </c>
      <c r="L1495" t="s">
        <v>3046</v>
      </c>
      <c r="M1495">
        <v>663</v>
      </c>
      <c r="N1495">
        <v>1</v>
      </c>
      <c r="O1495" t="s">
        <v>3057</v>
      </c>
      <c r="P1495" t="s">
        <v>4057</v>
      </c>
      <c r="Q1495">
        <v>0.17510000000000001</v>
      </c>
    </row>
    <row r="1496" spans="1:17" x14ac:dyDescent="0.35">
      <c r="A1496" t="s">
        <v>1485</v>
      </c>
      <c r="B1496" t="s">
        <v>2968</v>
      </c>
      <c r="C1496">
        <v>31</v>
      </c>
      <c r="D1496" t="s">
        <v>2992</v>
      </c>
      <c r="E1496" t="s">
        <v>3001</v>
      </c>
      <c r="F1496" t="s">
        <v>3019</v>
      </c>
      <c r="G1496">
        <v>0</v>
      </c>
      <c r="H1496">
        <v>474746</v>
      </c>
      <c r="I1496">
        <v>787669</v>
      </c>
      <c r="J1496">
        <v>13.41</v>
      </c>
      <c r="K1496">
        <v>36</v>
      </c>
      <c r="L1496" t="s">
        <v>3048</v>
      </c>
      <c r="M1496">
        <v>355</v>
      </c>
      <c r="N1496">
        <v>6</v>
      </c>
      <c r="O1496" t="s">
        <v>3055</v>
      </c>
      <c r="P1496" t="s">
        <v>3380</v>
      </c>
      <c r="Q1496">
        <v>1.6591</v>
      </c>
    </row>
    <row r="1497" spans="1:17" x14ac:dyDescent="0.35">
      <c r="A1497" t="s">
        <v>1486</v>
      </c>
      <c r="B1497" t="s">
        <v>2969</v>
      </c>
      <c r="C1497">
        <v>45</v>
      </c>
      <c r="D1497" t="s">
        <v>2992</v>
      </c>
      <c r="E1497" t="s">
        <v>3001</v>
      </c>
      <c r="F1497" t="s">
        <v>3019</v>
      </c>
      <c r="G1497">
        <v>21</v>
      </c>
      <c r="H1497">
        <v>2345160</v>
      </c>
      <c r="I1497">
        <v>171538</v>
      </c>
      <c r="J1497">
        <v>18.96</v>
      </c>
      <c r="K1497">
        <v>48</v>
      </c>
      <c r="L1497" t="s">
        <v>3046</v>
      </c>
      <c r="M1497">
        <v>740</v>
      </c>
      <c r="N1497">
        <v>0</v>
      </c>
      <c r="O1497" t="s">
        <v>3054</v>
      </c>
      <c r="P1497" t="s">
        <v>4058</v>
      </c>
      <c r="Q1497">
        <v>7.3099999999999998E-2</v>
      </c>
    </row>
    <row r="1498" spans="1:17" x14ac:dyDescent="0.35">
      <c r="A1498" t="s">
        <v>1487</v>
      </c>
      <c r="B1498" t="s">
        <v>2970</v>
      </c>
      <c r="C1498">
        <v>46</v>
      </c>
      <c r="D1498" t="s">
        <v>2990</v>
      </c>
      <c r="E1498" t="s">
        <v>2998</v>
      </c>
      <c r="F1498" t="s">
        <v>3020</v>
      </c>
      <c r="G1498">
        <v>16</v>
      </c>
      <c r="H1498">
        <v>1741588</v>
      </c>
      <c r="I1498">
        <v>293820</v>
      </c>
      <c r="J1498">
        <v>14.26</v>
      </c>
      <c r="K1498">
        <v>12</v>
      </c>
      <c r="L1498" t="s">
        <v>3048</v>
      </c>
      <c r="M1498">
        <v>605</v>
      </c>
      <c r="N1498">
        <v>4</v>
      </c>
      <c r="O1498" t="s">
        <v>3055</v>
      </c>
      <c r="P1498" t="s">
        <v>3268</v>
      </c>
      <c r="Q1498">
        <v>0.16869999999999999</v>
      </c>
    </row>
    <row r="1499" spans="1:17" x14ac:dyDescent="0.35">
      <c r="A1499" t="s">
        <v>1488</v>
      </c>
      <c r="B1499" t="s">
        <v>2971</v>
      </c>
      <c r="C1499">
        <v>24</v>
      </c>
      <c r="D1499" t="s">
        <v>2992</v>
      </c>
      <c r="E1499" t="s">
        <v>3005</v>
      </c>
      <c r="F1499" t="s">
        <v>3019</v>
      </c>
      <c r="G1499">
        <v>2</v>
      </c>
      <c r="H1499">
        <v>1287229</v>
      </c>
      <c r="I1499">
        <v>796372</v>
      </c>
      <c r="J1499">
        <v>20.05</v>
      </c>
      <c r="K1499">
        <v>12</v>
      </c>
      <c r="L1499" t="s">
        <v>3046</v>
      </c>
      <c r="M1499">
        <v>470</v>
      </c>
      <c r="N1499">
        <v>3</v>
      </c>
      <c r="O1499" t="s">
        <v>3056</v>
      </c>
      <c r="P1499" t="s">
        <v>4059</v>
      </c>
      <c r="Q1499">
        <v>0.61870000000000003</v>
      </c>
    </row>
    <row r="1500" spans="1:17" x14ac:dyDescent="0.35">
      <c r="A1500" t="s">
        <v>1489</v>
      </c>
      <c r="B1500" t="s">
        <v>2972</v>
      </c>
      <c r="C1500">
        <v>46</v>
      </c>
      <c r="D1500" t="s">
        <v>2992</v>
      </c>
      <c r="E1500" t="s">
        <v>3005</v>
      </c>
      <c r="F1500" t="s">
        <v>3019</v>
      </c>
      <c r="G1500">
        <v>12</v>
      </c>
      <c r="H1500">
        <v>384366</v>
      </c>
      <c r="I1500">
        <v>536612</v>
      </c>
      <c r="J1500">
        <v>27.39</v>
      </c>
      <c r="K1500">
        <v>48</v>
      </c>
      <c r="L1500" t="s">
        <v>3049</v>
      </c>
      <c r="M1500">
        <v>763</v>
      </c>
      <c r="N1500">
        <v>1</v>
      </c>
      <c r="O1500" t="s">
        <v>3056</v>
      </c>
      <c r="P1500" t="s">
        <v>4060</v>
      </c>
      <c r="Q1500">
        <v>1.3960999999999999</v>
      </c>
    </row>
    <row r="1501" spans="1:17" x14ac:dyDescent="0.35">
      <c r="A1501" t="s">
        <v>1490</v>
      </c>
      <c r="B1501" t="s">
        <v>2973</v>
      </c>
      <c r="C1501">
        <v>23</v>
      </c>
      <c r="D1501" t="s">
        <v>2992</v>
      </c>
      <c r="E1501" t="s">
        <v>3001</v>
      </c>
      <c r="F1501" t="s">
        <v>3019</v>
      </c>
      <c r="G1501">
        <v>11</v>
      </c>
      <c r="H1501">
        <v>1870696</v>
      </c>
      <c r="I1501">
        <v>457940</v>
      </c>
      <c r="J1501">
        <v>27.61</v>
      </c>
      <c r="K1501">
        <v>48</v>
      </c>
      <c r="L1501" t="s">
        <v>3047</v>
      </c>
      <c r="M1501">
        <v>630</v>
      </c>
      <c r="N1501">
        <v>2</v>
      </c>
      <c r="O1501" t="s">
        <v>3053</v>
      </c>
      <c r="P1501" t="s">
        <v>3504</v>
      </c>
      <c r="Q1501">
        <v>0.24479999999999999</v>
      </c>
    </row>
    <row r="1502" spans="1:17" x14ac:dyDescent="0.35">
      <c r="A1502" t="s">
        <v>1491</v>
      </c>
      <c r="B1502" t="s">
        <v>2974</v>
      </c>
      <c r="C1502">
        <v>29</v>
      </c>
      <c r="D1502" t="s">
        <v>2990</v>
      </c>
      <c r="E1502" t="s">
        <v>3003</v>
      </c>
      <c r="F1502" t="s">
        <v>3018</v>
      </c>
      <c r="G1502">
        <v>5</v>
      </c>
      <c r="H1502">
        <v>888140</v>
      </c>
      <c r="I1502">
        <v>277438</v>
      </c>
      <c r="J1502">
        <v>15.55</v>
      </c>
      <c r="K1502">
        <v>12</v>
      </c>
      <c r="L1502" t="s">
        <v>3047</v>
      </c>
      <c r="M1502">
        <v>576</v>
      </c>
      <c r="N1502">
        <v>6</v>
      </c>
      <c r="O1502" t="s">
        <v>3054</v>
      </c>
      <c r="P1502" t="s">
        <v>3585</v>
      </c>
      <c r="Q1502">
        <v>0.31240000000000001</v>
      </c>
    </row>
    <row r="1503" spans="1:17" x14ac:dyDescent="0.35">
      <c r="A1503" t="s">
        <v>1492</v>
      </c>
      <c r="B1503" t="s">
        <v>2975</v>
      </c>
      <c r="C1503">
        <v>48</v>
      </c>
      <c r="D1503" t="s">
        <v>2990</v>
      </c>
      <c r="E1503" t="s">
        <v>3003</v>
      </c>
      <c r="F1503" t="s">
        <v>3018</v>
      </c>
      <c r="G1503">
        <v>9</v>
      </c>
      <c r="H1503">
        <v>1571538</v>
      </c>
      <c r="I1503">
        <v>543406</v>
      </c>
      <c r="J1503">
        <v>8.65</v>
      </c>
      <c r="K1503">
        <v>60</v>
      </c>
      <c r="L1503" t="s">
        <v>3049</v>
      </c>
      <c r="M1503">
        <v>508</v>
      </c>
      <c r="N1503">
        <v>3</v>
      </c>
      <c r="O1503" t="s">
        <v>3053</v>
      </c>
      <c r="P1503" t="s">
        <v>3312</v>
      </c>
      <c r="Q1503">
        <v>0.3458</v>
      </c>
    </row>
    <row r="1504" spans="1:17" x14ac:dyDescent="0.35">
      <c r="A1504" t="s">
        <v>1493</v>
      </c>
      <c r="B1504" t="s">
        <v>2976</v>
      </c>
      <c r="C1504">
        <v>51</v>
      </c>
      <c r="D1504" t="s">
        <v>2990</v>
      </c>
      <c r="E1504" t="s">
        <v>3005</v>
      </c>
      <c r="F1504" t="s">
        <v>3018</v>
      </c>
      <c r="G1504">
        <v>25</v>
      </c>
      <c r="I1504">
        <v>525633</v>
      </c>
      <c r="J1504">
        <v>19.010000000000002</v>
      </c>
      <c r="K1504">
        <v>36</v>
      </c>
      <c r="M1504">
        <v>422</v>
      </c>
      <c r="N1504">
        <v>0</v>
      </c>
      <c r="O1504" t="s">
        <v>3052</v>
      </c>
      <c r="P1504" t="s">
        <v>4061</v>
      </c>
      <c r="Q1504">
        <v>0.67190000000000005</v>
      </c>
    </row>
    <row r="1505" spans="1:17" x14ac:dyDescent="0.35">
      <c r="A1505" t="s">
        <v>1494</v>
      </c>
      <c r="B1505" t="s">
        <v>2977</v>
      </c>
      <c r="C1505">
        <v>22</v>
      </c>
      <c r="D1505" t="s">
        <v>2992</v>
      </c>
      <c r="E1505" t="s">
        <v>3006</v>
      </c>
      <c r="F1505" t="s">
        <v>3021</v>
      </c>
      <c r="G1505">
        <v>17</v>
      </c>
      <c r="H1505">
        <v>780530</v>
      </c>
      <c r="I1505">
        <v>563296</v>
      </c>
      <c r="J1505">
        <v>14.81</v>
      </c>
      <c r="K1505">
        <v>60</v>
      </c>
      <c r="L1505" t="s">
        <v>3049</v>
      </c>
      <c r="M1505">
        <v>668</v>
      </c>
      <c r="N1505">
        <v>2</v>
      </c>
      <c r="O1505" t="s">
        <v>3054</v>
      </c>
      <c r="P1505" t="s">
        <v>4062</v>
      </c>
      <c r="Q1505">
        <v>0.72170000000000001</v>
      </c>
    </row>
    <row r="1506" spans="1:17" x14ac:dyDescent="0.35">
      <c r="A1506" t="s">
        <v>1495</v>
      </c>
      <c r="B1506" t="s">
        <v>2978</v>
      </c>
      <c r="C1506">
        <v>42</v>
      </c>
      <c r="D1506" t="s">
        <v>2992</v>
      </c>
      <c r="E1506" t="s">
        <v>2999</v>
      </c>
      <c r="F1506" t="s">
        <v>3021</v>
      </c>
      <c r="G1506">
        <v>5</v>
      </c>
      <c r="H1506">
        <v>371420</v>
      </c>
      <c r="I1506">
        <v>347350</v>
      </c>
      <c r="J1506">
        <v>15.05</v>
      </c>
      <c r="K1506">
        <v>36</v>
      </c>
      <c r="L1506" t="s">
        <v>3048</v>
      </c>
      <c r="M1506">
        <v>421</v>
      </c>
      <c r="N1506">
        <v>1</v>
      </c>
      <c r="O1506" t="s">
        <v>3054</v>
      </c>
      <c r="P1506" t="s">
        <v>4063</v>
      </c>
      <c r="Q1506">
        <v>0.93520000000000003</v>
      </c>
    </row>
    <row r="1507" spans="1:17" x14ac:dyDescent="0.35">
      <c r="A1507" t="s">
        <v>1496</v>
      </c>
      <c r="B1507" t="s">
        <v>2979</v>
      </c>
      <c r="C1507">
        <v>28</v>
      </c>
      <c r="D1507" t="s">
        <v>2990</v>
      </c>
      <c r="E1507" t="s">
        <v>3004</v>
      </c>
      <c r="F1507" t="s">
        <v>3020</v>
      </c>
      <c r="G1507">
        <v>20</v>
      </c>
      <c r="H1507">
        <v>1448300</v>
      </c>
      <c r="I1507">
        <v>336275</v>
      </c>
      <c r="J1507">
        <v>22.66</v>
      </c>
      <c r="K1507">
        <v>12</v>
      </c>
      <c r="L1507" t="s">
        <v>3047</v>
      </c>
      <c r="M1507">
        <v>385</v>
      </c>
      <c r="N1507">
        <v>2</v>
      </c>
      <c r="O1507" t="s">
        <v>3056</v>
      </c>
      <c r="P1507" t="s">
        <v>3637</v>
      </c>
      <c r="Q1507">
        <v>0.23219999999999999</v>
      </c>
    </row>
    <row r="1508" spans="1:17" x14ac:dyDescent="0.35">
      <c r="A1508" t="s">
        <v>1497</v>
      </c>
      <c r="B1508" t="s">
        <v>2980</v>
      </c>
      <c r="C1508">
        <v>43</v>
      </c>
      <c r="D1508" t="s">
        <v>2997</v>
      </c>
      <c r="E1508" t="s">
        <v>3000</v>
      </c>
      <c r="F1508" t="s">
        <v>3018</v>
      </c>
      <c r="G1508">
        <v>15</v>
      </c>
      <c r="H1508">
        <v>1174170</v>
      </c>
      <c r="I1508">
        <v>302844</v>
      </c>
      <c r="J1508">
        <v>14.61</v>
      </c>
      <c r="K1508">
        <v>24</v>
      </c>
      <c r="M1508">
        <v>325</v>
      </c>
      <c r="N1508">
        <v>0</v>
      </c>
      <c r="O1508" t="s">
        <v>3055</v>
      </c>
      <c r="P1508" t="s">
        <v>3779</v>
      </c>
      <c r="Q1508">
        <v>0.25790000000000002</v>
      </c>
    </row>
    <row r="1509" spans="1:17" x14ac:dyDescent="0.35">
      <c r="A1509" t="s">
        <v>1498</v>
      </c>
      <c r="B1509" t="s">
        <v>2981</v>
      </c>
      <c r="C1509">
        <v>37</v>
      </c>
      <c r="D1509" t="s">
        <v>2990</v>
      </c>
      <c r="E1509" t="s">
        <v>3002</v>
      </c>
      <c r="F1509" t="s">
        <v>3018</v>
      </c>
      <c r="G1509">
        <v>5</v>
      </c>
      <c r="H1509">
        <v>343038</v>
      </c>
      <c r="I1509">
        <v>799128</v>
      </c>
      <c r="J1509">
        <v>24.55</v>
      </c>
      <c r="K1509">
        <v>60</v>
      </c>
      <c r="L1509" t="s">
        <v>3050</v>
      </c>
      <c r="M1509">
        <v>538</v>
      </c>
      <c r="N1509">
        <v>1</v>
      </c>
      <c r="O1509" t="s">
        <v>3053</v>
      </c>
      <c r="P1509" t="s">
        <v>3432</v>
      </c>
      <c r="Q1509">
        <v>2.3296000000000001</v>
      </c>
    </row>
    <row r="1510" spans="1:17" x14ac:dyDescent="0.35">
      <c r="A1510" t="s">
        <v>1499</v>
      </c>
      <c r="B1510" t="s">
        <v>2982</v>
      </c>
      <c r="C1510">
        <v>27</v>
      </c>
      <c r="D1510" t="s">
        <v>2990</v>
      </c>
      <c r="E1510" t="s">
        <v>2999</v>
      </c>
      <c r="F1510" t="s">
        <v>3018</v>
      </c>
      <c r="G1510">
        <v>28</v>
      </c>
      <c r="H1510">
        <v>650529</v>
      </c>
      <c r="I1510">
        <v>624056</v>
      </c>
      <c r="J1510">
        <v>20.86</v>
      </c>
      <c r="K1510">
        <v>48</v>
      </c>
      <c r="L1510" t="s">
        <v>3049</v>
      </c>
      <c r="M1510">
        <v>419</v>
      </c>
      <c r="N1510">
        <v>6</v>
      </c>
      <c r="O1510" t="s">
        <v>3053</v>
      </c>
      <c r="P1510" t="s">
        <v>3345</v>
      </c>
      <c r="Q1510">
        <v>0.95930000000000004</v>
      </c>
    </row>
    <row r="1511" spans="1:17" x14ac:dyDescent="0.35">
      <c r="A1511" t="s">
        <v>1500</v>
      </c>
      <c r="B1511" t="s">
        <v>2983</v>
      </c>
      <c r="C1511">
        <v>62</v>
      </c>
      <c r="D1511" t="s">
        <v>2990</v>
      </c>
      <c r="E1511" t="s">
        <v>3001</v>
      </c>
      <c r="F1511" t="s">
        <v>3018</v>
      </c>
      <c r="G1511">
        <v>8</v>
      </c>
      <c r="H1511">
        <v>1069497</v>
      </c>
      <c r="I1511">
        <v>75863</v>
      </c>
      <c r="J1511">
        <v>23.54</v>
      </c>
      <c r="K1511">
        <v>12</v>
      </c>
      <c r="L1511" t="s">
        <v>3046</v>
      </c>
      <c r="M1511">
        <v>724</v>
      </c>
      <c r="N1511">
        <v>7</v>
      </c>
      <c r="O1511" t="s">
        <v>3052</v>
      </c>
      <c r="P1511" t="s">
        <v>4007</v>
      </c>
      <c r="Q1511">
        <v>7.0900000000000005E-2</v>
      </c>
    </row>
    <row r="1512" spans="1:17" x14ac:dyDescent="0.35">
      <c r="A1512" t="s">
        <v>1501</v>
      </c>
      <c r="B1512" t="s">
        <v>2984</v>
      </c>
      <c r="C1512">
        <v>57</v>
      </c>
      <c r="D1512" t="s">
        <v>2992</v>
      </c>
      <c r="E1512" t="s">
        <v>3000</v>
      </c>
      <c r="F1512" t="s">
        <v>3019</v>
      </c>
      <c r="G1512">
        <v>17</v>
      </c>
      <c r="H1512">
        <v>1508263</v>
      </c>
      <c r="I1512">
        <v>43386</v>
      </c>
      <c r="J1512">
        <v>25.76</v>
      </c>
      <c r="K1512">
        <v>24</v>
      </c>
      <c r="L1512" t="s">
        <v>3048</v>
      </c>
      <c r="M1512">
        <v>485</v>
      </c>
      <c r="N1512">
        <v>1</v>
      </c>
      <c r="O1512" t="s">
        <v>3056</v>
      </c>
      <c r="P1512" t="s">
        <v>4064</v>
      </c>
      <c r="Q1512">
        <v>2.8799999999999999E-2</v>
      </c>
    </row>
    <row r="1513" spans="1:17" x14ac:dyDescent="0.35">
      <c r="A1513" t="s">
        <v>1502</v>
      </c>
      <c r="B1513" t="s">
        <v>2985</v>
      </c>
      <c r="C1513">
        <v>60</v>
      </c>
      <c r="D1513" t="s">
        <v>2990</v>
      </c>
      <c r="E1513" t="s">
        <v>3003</v>
      </c>
      <c r="F1513" t="s">
        <v>3018</v>
      </c>
      <c r="G1513">
        <v>27</v>
      </c>
      <c r="H1513">
        <v>780517</v>
      </c>
      <c r="I1513">
        <v>129162</v>
      </c>
      <c r="J1513">
        <v>27.52</v>
      </c>
      <c r="K1513">
        <v>12</v>
      </c>
      <c r="L1513" t="s">
        <v>3050</v>
      </c>
      <c r="M1513">
        <v>733</v>
      </c>
      <c r="N1513">
        <v>2</v>
      </c>
      <c r="O1513" t="s">
        <v>3057</v>
      </c>
      <c r="P1513" t="s">
        <v>3250</v>
      </c>
      <c r="Q1513">
        <v>0.16550000000000001</v>
      </c>
    </row>
    <row r="1514" spans="1:17" x14ac:dyDescent="0.35">
      <c r="A1514" t="s">
        <v>1503</v>
      </c>
      <c r="B1514" t="s">
        <v>2986</v>
      </c>
      <c r="C1514">
        <v>24</v>
      </c>
      <c r="D1514" t="s">
        <v>2992</v>
      </c>
      <c r="E1514" t="s">
        <v>3002</v>
      </c>
      <c r="F1514" t="s">
        <v>3020</v>
      </c>
      <c r="G1514">
        <v>23</v>
      </c>
      <c r="H1514">
        <v>268668</v>
      </c>
      <c r="I1514">
        <v>484462</v>
      </c>
      <c r="J1514">
        <v>14.6</v>
      </c>
      <c r="K1514">
        <v>24</v>
      </c>
      <c r="L1514" t="s">
        <v>3049</v>
      </c>
      <c r="M1514">
        <v>773</v>
      </c>
      <c r="N1514">
        <v>3</v>
      </c>
      <c r="O1514" t="s">
        <v>3056</v>
      </c>
      <c r="P1514" t="s">
        <v>4065</v>
      </c>
      <c r="Q1514">
        <v>1.8031999999999999</v>
      </c>
    </row>
    <row r="1515" spans="1:17" x14ac:dyDescent="0.35">
      <c r="A1515" t="s">
        <v>1504</v>
      </c>
      <c r="B1515" t="s">
        <v>2987</v>
      </c>
      <c r="C1515">
        <v>22</v>
      </c>
      <c r="D1515" t="s">
        <v>2990</v>
      </c>
      <c r="E1515" t="s">
        <v>2999</v>
      </c>
      <c r="F1515" t="s">
        <v>3021</v>
      </c>
      <c r="G1515">
        <v>25</v>
      </c>
      <c r="H1515">
        <v>1793447</v>
      </c>
      <c r="I1515">
        <v>641825</v>
      </c>
      <c r="J1515">
        <v>9.56</v>
      </c>
      <c r="K1515">
        <v>60</v>
      </c>
      <c r="L1515" t="s">
        <v>3047</v>
      </c>
      <c r="M1515">
        <v>599</v>
      </c>
      <c r="N1515">
        <v>3</v>
      </c>
      <c r="O1515" t="s">
        <v>3053</v>
      </c>
      <c r="P1515" t="s">
        <v>3109</v>
      </c>
      <c r="Q1515">
        <v>0.3579</v>
      </c>
    </row>
    <row r="1516" spans="1:17" x14ac:dyDescent="0.35">
      <c r="A1516" t="s">
        <v>1505</v>
      </c>
      <c r="B1516" t="s">
        <v>2988</v>
      </c>
      <c r="C1516">
        <v>46</v>
      </c>
      <c r="D1516" t="s">
        <v>2990</v>
      </c>
      <c r="E1516" t="s">
        <v>3006</v>
      </c>
      <c r="F1516" t="s">
        <v>3019</v>
      </c>
      <c r="G1516">
        <v>16</v>
      </c>
      <c r="H1516">
        <v>1390578</v>
      </c>
      <c r="I1516">
        <v>677941</v>
      </c>
      <c r="J1516">
        <v>24.73</v>
      </c>
      <c r="K1516">
        <v>36</v>
      </c>
      <c r="L1516" t="s">
        <v>3049</v>
      </c>
      <c r="N1516">
        <v>4</v>
      </c>
      <c r="O1516" t="s">
        <v>3053</v>
      </c>
      <c r="P1516" t="s">
        <v>4066</v>
      </c>
      <c r="Q1516">
        <v>0.48749999999999999</v>
      </c>
    </row>
    <row r="1517" spans="1:17" x14ac:dyDescent="0.35">
      <c r="A1517" t="s">
        <v>1506</v>
      </c>
      <c r="B1517" t="s">
        <v>2989</v>
      </c>
      <c r="C1517">
        <v>30</v>
      </c>
      <c r="D1517" t="s">
        <v>2992</v>
      </c>
      <c r="E1517" t="s">
        <v>3000</v>
      </c>
      <c r="F1517" t="s">
        <v>3021</v>
      </c>
      <c r="G1517">
        <v>8</v>
      </c>
      <c r="I1517">
        <v>650752</v>
      </c>
      <c r="J1517">
        <v>22.04</v>
      </c>
      <c r="K1517">
        <v>60</v>
      </c>
      <c r="L1517" t="s">
        <v>3048</v>
      </c>
      <c r="M1517">
        <v>455</v>
      </c>
      <c r="N1517">
        <v>5</v>
      </c>
      <c r="O1517" t="s">
        <v>3054</v>
      </c>
      <c r="P1517" t="s">
        <v>4067</v>
      </c>
      <c r="Q1517">
        <v>0.9718</v>
      </c>
    </row>
  </sheetData>
  <autoFilter ref="A1:Q154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1394-9403-49D1-86A9-8F04656CDB9F}">
  <dimension ref="A1:AD1507"/>
  <sheetViews>
    <sheetView topLeftCell="H1" workbookViewId="0">
      <selection activeCell="S11" sqref="S11"/>
    </sheetView>
  </sheetViews>
  <sheetFormatPr defaultRowHeight="14.5" x14ac:dyDescent="0.35"/>
  <cols>
    <col min="1" max="2" width="12.7265625" customWidth="1"/>
    <col min="3" max="3" width="13.26953125" customWidth="1"/>
    <col min="4" max="4" width="8.7265625" style="2"/>
    <col min="7" max="7" width="11.26953125" customWidth="1"/>
    <col min="9" max="11" width="8.7265625" customWidth="1"/>
    <col min="13" max="13" width="11.54296875" customWidth="1"/>
    <col min="14" max="14" width="18.1796875" customWidth="1"/>
    <col min="24" max="24" width="10.08984375" style="3" bestFit="1" customWidth="1"/>
    <col min="25" max="25" width="10.08984375" style="3" customWidth="1"/>
  </cols>
  <sheetData>
    <row r="1" spans="1:30" x14ac:dyDescent="0.35">
      <c r="A1" t="s">
        <v>0</v>
      </c>
      <c r="B1" t="s">
        <v>4086</v>
      </c>
      <c r="C1" t="s">
        <v>1</v>
      </c>
      <c r="D1" s="2" t="s">
        <v>2</v>
      </c>
      <c r="E1" t="s">
        <v>4091</v>
      </c>
      <c r="F1" t="s">
        <v>3</v>
      </c>
      <c r="G1" t="s">
        <v>4096</v>
      </c>
      <c r="H1" t="s">
        <v>4</v>
      </c>
      <c r="I1" t="s">
        <v>5</v>
      </c>
      <c r="K1" t="s">
        <v>4103</v>
      </c>
      <c r="L1" t="s">
        <v>6</v>
      </c>
      <c r="M1" t="s">
        <v>7</v>
      </c>
      <c r="N1" t="s">
        <v>4094</v>
      </c>
      <c r="O1" t="s">
        <v>8</v>
      </c>
      <c r="P1" t="s">
        <v>9</v>
      </c>
      <c r="Q1" t="s">
        <v>10</v>
      </c>
      <c r="R1" t="s">
        <v>11</v>
      </c>
      <c r="S1" t="s">
        <v>4106</v>
      </c>
      <c r="T1" t="s">
        <v>12</v>
      </c>
      <c r="U1" t="s">
        <v>4108</v>
      </c>
      <c r="V1" t="s">
        <v>13</v>
      </c>
      <c r="W1" t="s">
        <v>14</v>
      </c>
      <c r="X1" s="3" t="s">
        <v>15</v>
      </c>
      <c r="Y1" s="3" t="s">
        <v>4100</v>
      </c>
      <c r="Z1" t="s">
        <v>16</v>
      </c>
      <c r="AC1" t="s">
        <v>4090</v>
      </c>
      <c r="AD1" cm="1">
        <f t="array" ref="AD1">MEDIAN(IF((D2:D1517&gt;=18)*(D2:D1517&lt;=100), D2:D1517))</f>
        <v>44</v>
      </c>
    </row>
    <row r="2" spans="1:30" x14ac:dyDescent="0.35">
      <c r="A2" t="s">
        <v>17</v>
      </c>
      <c r="B2" t="str">
        <f>IF(A2="", "MISSING", "OK")</f>
        <v>OK</v>
      </c>
      <c r="C2" t="s">
        <v>1507</v>
      </c>
      <c r="D2" s="2">
        <v>3</v>
      </c>
      <c r="E2">
        <f>IF(OR(D2&lt;18, D2&gt;100),AD1,D2)</f>
        <v>44</v>
      </c>
      <c r="F2" t="s">
        <v>2990</v>
      </c>
      <c r="G2" t="str">
        <f>IF(F2="", "Unknown", IF(OR(F2="F", F2="FEMALE", F2="Female"), "Female", IF(OR(F2="M", F2="MALE", F2="Male"), "Male", "Other")))</f>
        <v>Male</v>
      </c>
      <c r="H2" t="s">
        <v>2998</v>
      </c>
      <c r="I2" t="s">
        <v>3018</v>
      </c>
      <c r="K2" t="str">
        <f>IF(I2="", "Unknown", I2)</f>
        <v>Business Owner</v>
      </c>
      <c r="L2">
        <v>7</v>
      </c>
      <c r="M2">
        <v>1777690</v>
      </c>
      <c r="N2">
        <f>IF(OR(M2="",M2&lt;0),$AD$3,M2)</f>
        <v>1777690</v>
      </c>
      <c r="O2">
        <v>49336</v>
      </c>
      <c r="P2">
        <v>11.45</v>
      </c>
      <c r="Q2">
        <v>48</v>
      </c>
      <c r="R2" t="s">
        <v>3046</v>
      </c>
      <c r="S2" t="str">
        <f>IF(R2="", "Unknown", R2)</f>
        <v>Medical</v>
      </c>
      <c r="T2">
        <v>417</v>
      </c>
      <c r="U2">
        <f>IF(OR(T2="",T2&gt;999),$AD$2,T2)</f>
        <v>417</v>
      </c>
      <c r="V2">
        <v>4</v>
      </c>
      <c r="W2" t="s">
        <v>3052</v>
      </c>
      <c r="X2" s="3" t="s">
        <v>3064</v>
      </c>
      <c r="Y2" s="3">
        <f>IF(ISNUMBER(X2), X2, DATEVALUE(X2))</f>
        <v>44169</v>
      </c>
      <c r="Z2">
        <v>2.7799999999999998E-2</v>
      </c>
      <c r="AC2" t="s">
        <v>4107</v>
      </c>
      <c r="AD2">
        <f t="array" ref="AD2">MEDIAN(IF((T2:T1517&gt;=0)*(T2:T1517&lt;=999),T2:T1517))</f>
        <v>556</v>
      </c>
    </row>
    <row r="3" spans="1:30" x14ac:dyDescent="0.35">
      <c r="A3" t="s">
        <v>18</v>
      </c>
      <c r="B3" t="str">
        <f t="shared" ref="B3:B65" si="0">IF(A3="", "MISSING", "OK")</f>
        <v>OK</v>
      </c>
      <c r="C3" t="s">
        <v>1508</v>
      </c>
      <c r="D3" s="2">
        <v>42</v>
      </c>
      <c r="E3">
        <f>IF(OR(D3&lt;18, D3&gt;100),AD2,D3)</f>
        <v>42</v>
      </c>
      <c r="F3" t="s">
        <v>2990</v>
      </c>
      <c r="G3" t="str">
        <f t="shared" ref="G3:G66" si="1">IF(F3="", "Unknown", IF(OR(F3="F", F3="FEMALE", F3="Female"), "Female", IF(OR(F3="M", F3="MALE", F3="Male"), "Male", "Other")))</f>
        <v>Male</v>
      </c>
      <c r="H3" t="s">
        <v>2999</v>
      </c>
      <c r="I3" t="s">
        <v>3019</v>
      </c>
      <c r="K3" t="str">
        <f t="shared" ref="K3:K66" si="2">IF(I3="", "Unknown", I3)</f>
        <v>Employed</v>
      </c>
      <c r="L3">
        <v>11</v>
      </c>
      <c r="M3">
        <v>1608080</v>
      </c>
      <c r="N3">
        <f t="shared" ref="N3:N66" si="3">IF(OR(M3="",M3&lt;0),$AD$3,M3)</f>
        <v>1608080</v>
      </c>
      <c r="O3">
        <v>639064</v>
      </c>
      <c r="P3">
        <v>12.18</v>
      </c>
      <c r="Q3">
        <v>12</v>
      </c>
      <c r="R3" t="s">
        <v>3047</v>
      </c>
      <c r="S3" t="str">
        <f t="shared" ref="S3:S66" si="4">IF(R3="", "Unknown", R3)</f>
        <v>Personal</v>
      </c>
      <c r="T3">
        <v>303</v>
      </c>
      <c r="U3">
        <f t="shared" ref="U3:U66" si="5">IF(OR(T3="",T3&gt;999),$AD$2,T3)</f>
        <v>303</v>
      </c>
      <c r="V3">
        <v>0</v>
      </c>
      <c r="W3" t="s">
        <v>3053</v>
      </c>
      <c r="X3" s="3" t="s">
        <v>3065</v>
      </c>
      <c r="Y3" s="3">
        <f t="shared" ref="Y3:Y66" si="6">IF(ISNUMBER(X3), X3, DATEVALUE(X3))</f>
        <v>44689</v>
      </c>
      <c r="Z3">
        <v>0.39739999999999998</v>
      </c>
      <c r="AC3" t="s">
        <v>4113</v>
      </c>
      <c r="AD3">
        <f t="array" ref="AD3">MEDIAN(IF(M2:M1517&gt;0, M2:M1517))</f>
        <v>1333224</v>
      </c>
    </row>
    <row r="4" spans="1:30" x14ac:dyDescent="0.35">
      <c r="A4" t="s">
        <v>19</v>
      </c>
      <c r="B4" t="str">
        <f t="shared" si="0"/>
        <v>OK</v>
      </c>
      <c r="C4" t="s">
        <v>1509</v>
      </c>
      <c r="D4" s="2">
        <v>59</v>
      </c>
      <c r="E4">
        <f>IF(OR(D4&lt;18, D4&gt;100),AD3,D4)</f>
        <v>59</v>
      </c>
      <c r="F4" t="s">
        <v>2991</v>
      </c>
      <c r="G4" t="str">
        <f t="shared" si="1"/>
        <v>Female</v>
      </c>
      <c r="H4" t="s">
        <v>3000</v>
      </c>
      <c r="K4" t="str">
        <f t="shared" si="2"/>
        <v>Unknown</v>
      </c>
      <c r="L4">
        <v>26</v>
      </c>
      <c r="M4">
        <v>1342189</v>
      </c>
      <c r="N4">
        <f t="shared" si="3"/>
        <v>1342189</v>
      </c>
      <c r="O4">
        <v>694174</v>
      </c>
      <c r="P4">
        <v>25.16</v>
      </c>
      <c r="Q4">
        <v>36</v>
      </c>
      <c r="R4" t="s">
        <v>3046</v>
      </c>
      <c r="S4" t="str">
        <f t="shared" si="4"/>
        <v>Medical</v>
      </c>
      <c r="T4">
        <v>676</v>
      </c>
      <c r="U4">
        <f t="shared" si="5"/>
        <v>676</v>
      </c>
      <c r="V4">
        <v>1</v>
      </c>
      <c r="W4" t="s">
        <v>3053</v>
      </c>
      <c r="X4" s="3" t="s">
        <v>3066</v>
      </c>
      <c r="Y4" s="3">
        <f t="shared" si="6"/>
        <v>45235</v>
      </c>
      <c r="Z4">
        <v>0.51719999999999999</v>
      </c>
    </row>
    <row r="5" spans="1:30" x14ac:dyDescent="0.35">
      <c r="A5" t="s">
        <v>20</v>
      </c>
      <c r="B5" t="str">
        <f t="shared" si="0"/>
        <v>OK</v>
      </c>
      <c r="C5" t="s">
        <v>1510</v>
      </c>
      <c r="D5" s="2">
        <v>21</v>
      </c>
      <c r="E5">
        <f>IF(OR(D5&lt;18, D5&gt;100),AD4,D5)</f>
        <v>21</v>
      </c>
      <c r="F5" t="s">
        <v>2992</v>
      </c>
      <c r="G5" t="str">
        <f t="shared" si="1"/>
        <v>Female</v>
      </c>
      <c r="H5" t="s">
        <v>2999</v>
      </c>
      <c r="I5" t="s">
        <v>3020</v>
      </c>
      <c r="K5" t="str">
        <f t="shared" si="2"/>
        <v>Self-Employed</v>
      </c>
      <c r="L5">
        <v>15</v>
      </c>
      <c r="M5">
        <v>645982</v>
      </c>
      <c r="N5">
        <f t="shared" si="3"/>
        <v>645982</v>
      </c>
      <c r="O5">
        <v>104811</v>
      </c>
      <c r="P5">
        <v>22.48</v>
      </c>
      <c r="Q5">
        <v>24</v>
      </c>
      <c r="S5" t="str">
        <f t="shared" si="4"/>
        <v>Unknown</v>
      </c>
      <c r="T5">
        <v>591</v>
      </c>
      <c r="U5">
        <f t="shared" si="5"/>
        <v>591</v>
      </c>
      <c r="V5">
        <v>6</v>
      </c>
      <c r="W5" t="s">
        <v>3052</v>
      </c>
      <c r="X5" s="3" t="s">
        <v>3067</v>
      </c>
      <c r="Y5" s="3">
        <f t="shared" si="6"/>
        <v>44221</v>
      </c>
      <c r="Z5">
        <v>0.1623</v>
      </c>
    </row>
    <row r="6" spans="1:30" x14ac:dyDescent="0.35">
      <c r="A6" t="s">
        <v>21</v>
      </c>
      <c r="B6" t="str">
        <f t="shared" si="0"/>
        <v>OK</v>
      </c>
      <c r="C6" t="s">
        <v>1511</v>
      </c>
      <c r="D6" s="2">
        <v>21</v>
      </c>
      <c r="E6">
        <f>IF(OR(D6&lt;18, D6&gt;100),AD5,D6)</f>
        <v>21</v>
      </c>
      <c r="F6" t="s">
        <v>2992</v>
      </c>
      <c r="G6" t="str">
        <f t="shared" si="1"/>
        <v>Female</v>
      </c>
      <c r="H6" t="s">
        <v>3001</v>
      </c>
      <c r="I6" t="s">
        <v>3020</v>
      </c>
      <c r="K6" t="str">
        <f t="shared" si="2"/>
        <v>Self-Employed</v>
      </c>
      <c r="L6">
        <v>11</v>
      </c>
      <c r="M6">
        <v>-1386861</v>
      </c>
      <c r="N6">
        <f t="shared" si="3"/>
        <v>1333224</v>
      </c>
      <c r="O6">
        <v>667096</v>
      </c>
      <c r="P6">
        <v>19.510000000000002</v>
      </c>
      <c r="Q6">
        <v>12</v>
      </c>
      <c r="R6" t="s">
        <v>3048</v>
      </c>
      <c r="S6" t="str">
        <f t="shared" si="4"/>
        <v>Home Improvement</v>
      </c>
      <c r="T6">
        <v>786</v>
      </c>
      <c r="U6">
        <f t="shared" si="5"/>
        <v>786</v>
      </c>
      <c r="V6">
        <v>0</v>
      </c>
      <c r="W6" t="s">
        <v>3054</v>
      </c>
      <c r="X6" s="3">
        <v>44773</v>
      </c>
      <c r="Y6" s="3">
        <f t="shared" si="6"/>
        <v>44773</v>
      </c>
      <c r="Z6">
        <v>0.48099999999999998</v>
      </c>
    </row>
    <row r="7" spans="1:30" x14ac:dyDescent="0.35">
      <c r="A7" t="s">
        <v>22</v>
      </c>
      <c r="B7" t="str">
        <f t="shared" si="0"/>
        <v>OK</v>
      </c>
      <c r="C7" t="s">
        <v>1512</v>
      </c>
      <c r="D7" s="2">
        <v>38</v>
      </c>
      <c r="E7">
        <f>IF(OR(D7&lt;18, D7&gt;100),AD6,D7)</f>
        <v>38</v>
      </c>
      <c r="F7" t="s">
        <v>2992</v>
      </c>
      <c r="G7" t="str">
        <f t="shared" si="1"/>
        <v>Female</v>
      </c>
      <c r="H7" t="s">
        <v>3002</v>
      </c>
      <c r="I7" t="s">
        <v>3018</v>
      </c>
      <c r="K7" t="str">
        <f t="shared" si="2"/>
        <v>Business Owner</v>
      </c>
      <c r="L7">
        <v>28</v>
      </c>
      <c r="M7">
        <v>2036231</v>
      </c>
      <c r="N7">
        <f t="shared" si="3"/>
        <v>2036231</v>
      </c>
      <c r="O7">
        <v>567219</v>
      </c>
      <c r="P7">
        <v>16.03</v>
      </c>
      <c r="Q7">
        <v>60</v>
      </c>
      <c r="R7" t="s">
        <v>3046</v>
      </c>
      <c r="S7" t="str">
        <f t="shared" si="4"/>
        <v>Medical</v>
      </c>
      <c r="T7">
        <v>820</v>
      </c>
      <c r="U7">
        <f t="shared" si="5"/>
        <v>820</v>
      </c>
      <c r="V7">
        <v>2</v>
      </c>
      <c r="W7" t="s">
        <v>3053</v>
      </c>
      <c r="X7" s="3" t="s">
        <v>3069</v>
      </c>
      <c r="Y7" s="3">
        <f t="shared" si="6"/>
        <v>44610</v>
      </c>
      <c r="Z7">
        <v>0.27860000000000001</v>
      </c>
    </row>
    <row r="8" spans="1:30" x14ac:dyDescent="0.35">
      <c r="A8" t="s">
        <v>23</v>
      </c>
      <c r="B8" t="str">
        <f t="shared" si="0"/>
        <v>OK</v>
      </c>
      <c r="C8" t="s">
        <v>1513</v>
      </c>
      <c r="D8" s="2">
        <v>41</v>
      </c>
      <c r="E8">
        <f>IF(OR(D8&lt;18, D8&gt;100),AD7,D8)</f>
        <v>41</v>
      </c>
      <c r="F8" t="s">
        <v>2990</v>
      </c>
      <c r="G8" t="str">
        <f t="shared" si="1"/>
        <v>Male</v>
      </c>
      <c r="H8" t="s">
        <v>2998</v>
      </c>
      <c r="I8" t="s">
        <v>3019</v>
      </c>
      <c r="K8" t="str">
        <f t="shared" si="2"/>
        <v>Employed</v>
      </c>
      <c r="L8">
        <v>27</v>
      </c>
      <c r="M8">
        <v>1266787</v>
      </c>
      <c r="N8">
        <f t="shared" si="3"/>
        <v>1266787</v>
      </c>
      <c r="O8">
        <v>614302</v>
      </c>
      <c r="P8">
        <v>14.85</v>
      </c>
      <c r="Q8">
        <v>36</v>
      </c>
      <c r="R8" t="s">
        <v>3049</v>
      </c>
      <c r="S8" t="str">
        <f t="shared" si="4"/>
        <v>Business</v>
      </c>
      <c r="T8">
        <v>441</v>
      </c>
      <c r="U8">
        <f t="shared" si="5"/>
        <v>441</v>
      </c>
      <c r="V8">
        <v>3</v>
      </c>
      <c r="W8" t="s">
        <v>3054</v>
      </c>
      <c r="X8" s="3" t="s">
        <v>3070</v>
      </c>
      <c r="Y8" s="3">
        <f t="shared" si="6"/>
        <v>44306</v>
      </c>
      <c r="Z8">
        <v>0.4849</v>
      </c>
    </row>
    <row r="9" spans="1:30" x14ac:dyDescent="0.35">
      <c r="A9" t="s">
        <v>24</v>
      </c>
      <c r="B9" t="str">
        <f t="shared" si="0"/>
        <v>OK</v>
      </c>
      <c r="C9" t="s">
        <v>1514</v>
      </c>
      <c r="D9" s="2">
        <v>8</v>
      </c>
      <c r="E9">
        <f>IF(OR(D9&lt;18, D9&gt;100),AD8,D9)</f>
        <v>0</v>
      </c>
      <c r="F9" t="s">
        <v>2992</v>
      </c>
      <c r="G9" t="str">
        <f t="shared" si="1"/>
        <v>Female</v>
      </c>
      <c r="H9" t="s">
        <v>3000</v>
      </c>
      <c r="I9" t="s">
        <v>3020</v>
      </c>
      <c r="K9" t="str">
        <f t="shared" si="2"/>
        <v>Self-Employed</v>
      </c>
      <c r="L9">
        <v>4</v>
      </c>
      <c r="M9">
        <v>2061175</v>
      </c>
      <c r="N9">
        <f t="shared" si="3"/>
        <v>2061175</v>
      </c>
      <c r="O9">
        <v>153172</v>
      </c>
      <c r="P9">
        <v>14.84</v>
      </c>
      <c r="Q9">
        <v>24</v>
      </c>
      <c r="R9" t="s">
        <v>3046</v>
      </c>
      <c r="S9" t="str">
        <f t="shared" si="4"/>
        <v>Medical</v>
      </c>
      <c r="T9">
        <v>402</v>
      </c>
      <c r="U9">
        <f t="shared" si="5"/>
        <v>402</v>
      </c>
      <c r="V9">
        <v>5</v>
      </c>
      <c r="W9" t="s">
        <v>3054</v>
      </c>
      <c r="X9" s="3" t="s">
        <v>3071</v>
      </c>
      <c r="Y9" s="3">
        <f t="shared" si="6"/>
        <v>44154</v>
      </c>
      <c r="Z9">
        <v>7.4300000000000005E-2</v>
      </c>
    </row>
    <row r="10" spans="1:30" x14ac:dyDescent="0.35">
      <c r="A10" t="s">
        <v>25</v>
      </c>
      <c r="B10" t="str">
        <f t="shared" si="0"/>
        <v>OK</v>
      </c>
      <c r="C10" t="s">
        <v>1515</v>
      </c>
      <c r="D10" s="2">
        <v>54</v>
      </c>
      <c r="E10">
        <f>IF(OR(D10&lt;18, D10&gt;100),AD9,D10)</f>
        <v>54</v>
      </c>
      <c r="F10" t="s">
        <v>2990</v>
      </c>
      <c r="G10" t="str">
        <f t="shared" si="1"/>
        <v>Male</v>
      </c>
      <c r="H10" t="s">
        <v>3001</v>
      </c>
      <c r="I10" t="s">
        <v>3020</v>
      </c>
      <c r="K10" t="str">
        <f t="shared" si="2"/>
        <v>Self-Employed</v>
      </c>
      <c r="L10">
        <v>27</v>
      </c>
      <c r="M10">
        <v>874892</v>
      </c>
      <c r="N10">
        <f t="shared" si="3"/>
        <v>874892</v>
      </c>
      <c r="O10">
        <v>733087</v>
      </c>
      <c r="P10">
        <v>17.309999999999999</v>
      </c>
      <c r="Q10">
        <v>60</v>
      </c>
      <c r="R10" t="s">
        <v>3046</v>
      </c>
      <c r="S10" t="str">
        <f t="shared" si="4"/>
        <v>Medical</v>
      </c>
      <c r="T10">
        <v>766</v>
      </c>
      <c r="U10">
        <f t="shared" si="5"/>
        <v>766</v>
      </c>
      <c r="V10">
        <v>7</v>
      </c>
      <c r="W10" t="s">
        <v>3055</v>
      </c>
      <c r="X10" s="3" t="s">
        <v>3072</v>
      </c>
      <c r="Y10" s="3">
        <f t="shared" si="6"/>
        <v>43887</v>
      </c>
      <c r="Z10">
        <v>0.83789999999999998</v>
      </c>
    </row>
    <row r="11" spans="1:30" x14ac:dyDescent="0.35">
      <c r="A11" t="s">
        <v>26</v>
      </c>
      <c r="B11" t="str">
        <f t="shared" si="0"/>
        <v>OK</v>
      </c>
      <c r="C11" t="s">
        <v>1516</v>
      </c>
      <c r="D11" s="2">
        <v>49</v>
      </c>
      <c r="E11">
        <f>IF(OR(D11&lt;18, D11&gt;100),AD10,D11)</f>
        <v>49</v>
      </c>
      <c r="F11" t="s">
        <v>2990</v>
      </c>
      <c r="G11" t="str">
        <f t="shared" si="1"/>
        <v>Male</v>
      </c>
      <c r="H11" t="s">
        <v>3002</v>
      </c>
      <c r="I11" t="s">
        <v>3021</v>
      </c>
      <c r="K11" t="str">
        <f t="shared" si="2"/>
        <v>Unemployed</v>
      </c>
      <c r="L11">
        <v>16</v>
      </c>
      <c r="M11">
        <v>827341</v>
      </c>
      <c r="N11">
        <f t="shared" si="3"/>
        <v>827341</v>
      </c>
      <c r="O11">
        <v>798754</v>
      </c>
      <c r="P11">
        <v>26.96</v>
      </c>
      <c r="Q11">
        <v>24</v>
      </c>
      <c r="R11" t="s">
        <v>3050</v>
      </c>
      <c r="S11" t="str">
        <f t="shared" si="4"/>
        <v>Agriculture</v>
      </c>
      <c r="T11">
        <v>840</v>
      </c>
      <c r="U11">
        <f t="shared" si="5"/>
        <v>840</v>
      </c>
      <c r="V11">
        <v>3</v>
      </c>
      <c r="W11" t="s">
        <v>3053</v>
      </c>
      <c r="X11" s="3" t="s">
        <v>3073</v>
      </c>
      <c r="Y11" s="3">
        <f t="shared" si="6"/>
        <v>44614</v>
      </c>
      <c r="Z11">
        <v>0.96540000000000004</v>
      </c>
    </row>
    <row r="12" spans="1:30" x14ac:dyDescent="0.35">
      <c r="A12" t="s">
        <v>27</v>
      </c>
      <c r="B12" t="str">
        <f t="shared" si="0"/>
        <v>OK</v>
      </c>
      <c r="C12" t="s">
        <v>1517</v>
      </c>
      <c r="D12" s="2">
        <v>55</v>
      </c>
      <c r="E12">
        <f>IF(OR(D12&lt;18, D12&gt;100),AD11,D12)</f>
        <v>55</v>
      </c>
      <c r="F12" t="s">
        <v>2990</v>
      </c>
      <c r="G12" t="str">
        <f t="shared" si="1"/>
        <v>Male</v>
      </c>
      <c r="H12" t="s">
        <v>3003</v>
      </c>
      <c r="I12" t="s">
        <v>3018</v>
      </c>
      <c r="K12" t="str">
        <f t="shared" si="2"/>
        <v>Business Owner</v>
      </c>
      <c r="L12">
        <v>24</v>
      </c>
      <c r="M12">
        <v>1596953</v>
      </c>
      <c r="N12">
        <f t="shared" si="3"/>
        <v>1596953</v>
      </c>
      <c r="O12">
        <v>523323</v>
      </c>
      <c r="P12">
        <v>16.61</v>
      </c>
      <c r="Q12">
        <v>48</v>
      </c>
      <c r="R12" t="s">
        <v>3046</v>
      </c>
      <c r="S12" t="str">
        <f t="shared" si="4"/>
        <v>Medical</v>
      </c>
      <c r="T12">
        <v>644</v>
      </c>
      <c r="U12">
        <f t="shared" si="5"/>
        <v>644</v>
      </c>
      <c r="V12">
        <v>5</v>
      </c>
      <c r="W12" t="s">
        <v>3052</v>
      </c>
      <c r="X12" s="3" t="s">
        <v>3074</v>
      </c>
      <c r="Y12" s="3">
        <f t="shared" si="6"/>
        <v>44403</v>
      </c>
      <c r="Z12">
        <v>0.32769999999999999</v>
      </c>
    </row>
    <row r="13" spans="1:30" x14ac:dyDescent="0.35">
      <c r="A13" t="s">
        <v>28</v>
      </c>
      <c r="B13" t="str">
        <f t="shared" si="0"/>
        <v>OK</v>
      </c>
      <c r="C13" t="s">
        <v>1518</v>
      </c>
      <c r="D13" s="2">
        <v>21</v>
      </c>
      <c r="E13">
        <f>IF(OR(D13&lt;18, D13&gt;100),AD12,D13)</f>
        <v>21</v>
      </c>
      <c r="F13" t="s">
        <v>2990</v>
      </c>
      <c r="G13" t="str">
        <f t="shared" si="1"/>
        <v>Male</v>
      </c>
      <c r="H13" t="s">
        <v>2999</v>
      </c>
      <c r="I13" t="s">
        <v>3021</v>
      </c>
      <c r="K13" t="str">
        <f t="shared" si="2"/>
        <v>Unemployed</v>
      </c>
      <c r="L13">
        <v>11</v>
      </c>
      <c r="M13">
        <v>1141568</v>
      </c>
      <c r="N13">
        <f t="shared" si="3"/>
        <v>1141568</v>
      </c>
      <c r="O13">
        <v>118538</v>
      </c>
      <c r="P13">
        <v>12.74</v>
      </c>
      <c r="Q13">
        <v>60</v>
      </c>
      <c r="S13" t="str">
        <f t="shared" si="4"/>
        <v>Unknown</v>
      </c>
      <c r="T13">
        <v>306</v>
      </c>
      <c r="U13">
        <f t="shared" si="5"/>
        <v>306</v>
      </c>
      <c r="V13">
        <v>1</v>
      </c>
      <c r="W13" t="s">
        <v>3053</v>
      </c>
      <c r="X13" s="3" t="s">
        <v>3075</v>
      </c>
      <c r="Y13" s="3">
        <f t="shared" si="6"/>
        <v>45131</v>
      </c>
      <c r="Z13">
        <v>0.1038</v>
      </c>
    </row>
    <row r="14" spans="1:30" x14ac:dyDescent="0.35">
      <c r="A14" t="s">
        <v>29</v>
      </c>
      <c r="B14" t="str">
        <f t="shared" si="0"/>
        <v>OK</v>
      </c>
      <c r="C14" t="s">
        <v>1519</v>
      </c>
      <c r="D14" s="2">
        <v>48</v>
      </c>
      <c r="E14">
        <f>IF(OR(D14&lt;18, D14&gt;100),AD13,D14)</f>
        <v>48</v>
      </c>
      <c r="F14" t="s">
        <v>2990</v>
      </c>
      <c r="G14" t="str">
        <f t="shared" si="1"/>
        <v>Male</v>
      </c>
      <c r="H14" t="s">
        <v>3004</v>
      </c>
      <c r="I14" t="s">
        <v>3019</v>
      </c>
      <c r="K14" t="str">
        <f t="shared" si="2"/>
        <v>Employed</v>
      </c>
      <c r="L14">
        <v>23</v>
      </c>
      <c r="M14">
        <v>2043462</v>
      </c>
      <c r="N14">
        <f t="shared" si="3"/>
        <v>2043462</v>
      </c>
      <c r="O14">
        <v>546169</v>
      </c>
      <c r="P14">
        <v>8.9</v>
      </c>
      <c r="Q14">
        <v>60</v>
      </c>
      <c r="R14" t="s">
        <v>3048</v>
      </c>
      <c r="S14" t="str">
        <f t="shared" si="4"/>
        <v>Home Improvement</v>
      </c>
      <c r="T14">
        <v>785</v>
      </c>
      <c r="U14">
        <f t="shared" si="5"/>
        <v>785</v>
      </c>
      <c r="V14">
        <v>3</v>
      </c>
      <c r="W14" t="s">
        <v>3056</v>
      </c>
      <c r="X14" s="3" t="s">
        <v>3076</v>
      </c>
      <c r="Y14" s="3">
        <f t="shared" si="6"/>
        <v>43955</v>
      </c>
      <c r="Z14">
        <v>0.26729999999999998</v>
      </c>
    </row>
    <row r="15" spans="1:30" x14ac:dyDescent="0.35">
      <c r="A15" t="s">
        <v>30</v>
      </c>
      <c r="B15" t="str">
        <f t="shared" si="0"/>
        <v>OK</v>
      </c>
      <c r="C15" t="s">
        <v>1520</v>
      </c>
      <c r="D15" s="2">
        <v>47</v>
      </c>
      <c r="E15">
        <f>IF(OR(D15&lt;18, D15&gt;100),AD14,D15)</f>
        <v>47</v>
      </c>
      <c r="F15" t="s">
        <v>2990</v>
      </c>
      <c r="G15" t="str">
        <f t="shared" si="1"/>
        <v>Male</v>
      </c>
      <c r="H15" t="s">
        <v>3005</v>
      </c>
      <c r="I15" t="s">
        <v>3020</v>
      </c>
      <c r="K15" t="str">
        <f t="shared" si="2"/>
        <v>Self-Employed</v>
      </c>
      <c r="L15">
        <v>20</v>
      </c>
      <c r="M15">
        <v>1387068</v>
      </c>
      <c r="N15">
        <f t="shared" si="3"/>
        <v>1387068</v>
      </c>
      <c r="O15">
        <v>128042</v>
      </c>
      <c r="P15">
        <v>24.88</v>
      </c>
      <c r="Q15">
        <v>60</v>
      </c>
      <c r="R15" t="s">
        <v>3047</v>
      </c>
      <c r="S15" t="str">
        <f t="shared" si="4"/>
        <v>Personal</v>
      </c>
      <c r="T15">
        <v>813</v>
      </c>
      <c r="U15">
        <f t="shared" si="5"/>
        <v>813</v>
      </c>
      <c r="V15">
        <v>7</v>
      </c>
      <c r="W15" t="s">
        <v>3057</v>
      </c>
      <c r="X15" s="3" t="s">
        <v>3077</v>
      </c>
      <c r="Y15" s="3">
        <f t="shared" si="6"/>
        <v>44697</v>
      </c>
      <c r="Z15">
        <v>9.2299999999999993E-2</v>
      </c>
    </row>
    <row r="16" spans="1:30" x14ac:dyDescent="0.35">
      <c r="A16" t="s">
        <v>31</v>
      </c>
      <c r="B16" t="str">
        <f t="shared" si="0"/>
        <v>OK</v>
      </c>
      <c r="C16" t="s">
        <v>1521</v>
      </c>
      <c r="D16" s="2">
        <v>53</v>
      </c>
      <c r="E16">
        <f>IF(OR(D16&lt;18, D16&gt;100),AD15,D16)</f>
        <v>53</v>
      </c>
      <c r="F16" t="s">
        <v>2992</v>
      </c>
      <c r="G16" t="str">
        <f t="shared" si="1"/>
        <v>Female</v>
      </c>
      <c r="H16" t="s">
        <v>3003</v>
      </c>
      <c r="I16" t="s">
        <v>3019</v>
      </c>
      <c r="K16" t="str">
        <f t="shared" si="2"/>
        <v>Employed</v>
      </c>
      <c r="L16">
        <v>2</v>
      </c>
      <c r="M16">
        <v>1865996</v>
      </c>
      <c r="N16">
        <f t="shared" si="3"/>
        <v>1865996</v>
      </c>
      <c r="O16">
        <v>626226</v>
      </c>
      <c r="P16">
        <v>16.010000000000002</v>
      </c>
      <c r="Q16">
        <v>36</v>
      </c>
      <c r="R16" t="s">
        <v>3048</v>
      </c>
      <c r="S16" t="str">
        <f t="shared" si="4"/>
        <v>Home Improvement</v>
      </c>
      <c r="T16">
        <v>609</v>
      </c>
      <c r="U16">
        <f t="shared" si="5"/>
        <v>609</v>
      </c>
      <c r="V16">
        <v>2</v>
      </c>
      <c r="W16" t="s">
        <v>3055</v>
      </c>
      <c r="X16" s="3" t="s">
        <v>3078</v>
      </c>
      <c r="Y16" s="3">
        <f t="shared" si="6"/>
        <v>45277</v>
      </c>
      <c r="Z16">
        <v>0.33560000000000001</v>
      </c>
    </row>
    <row r="17" spans="1:26" x14ac:dyDescent="0.35">
      <c r="A17" t="s">
        <v>32</v>
      </c>
      <c r="B17" t="str">
        <f t="shared" si="0"/>
        <v>OK</v>
      </c>
      <c r="C17" t="s">
        <v>1522</v>
      </c>
      <c r="D17" s="2">
        <v>44</v>
      </c>
      <c r="E17">
        <f>IF(OR(D17&lt;18, D17&gt;100),AD16,D17)</f>
        <v>44</v>
      </c>
      <c r="F17" t="s">
        <v>2990</v>
      </c>
      <c r="G17" t="str">
        <f t="shared" si="1"/>
        <v>Male</v>
      </c>
      <c r="H17" t="s">
        <v>3001</v>
      </c>
      <c r="I17" t="s">
        <v>3020</v>
      </c>
      <c r="K17" t="str">
        <f t="shared" si="2"/>
        <v>Self-Employed</v>
      </c>
      <c r="L17">
        <v>15</v>
      </c>
      <c r="M17">
        <v>2165209</v>
      </c>
      <c r="N17">
        <f t="shared" si="3"/>
        <v>2165209</v>
      </c>
      <c r="O17">
        <v>687505</v>
      </c>
      <c r="P17">
        <v>9.74</v>
      </c>
      <c r="Q17">
        <v>24</v>
      </c>
      <c r="R17" t="s">
        <v>3046</v>
      </c>
      <c r="S17" t="str">
        <f t="shared" si="4"/>
        <v>Medical</v>
      </c>
      <c r="T17">
        <v>436</v>
      </c>
      <c r="U17">
        <f t="shared" si="5"/>
        <v>436</v>
      </c>
      <c r="V17">
        <v>3</v>
      </c>
      <c r="W17" t="s">
        <v>3052</v>
      </c>
      <c r="X17" s="3" t="s">
        <v>3079</v>
      </c>
      <c r="Y17" s="3">
        <f t="shared" si="6"/>
        <v>44865</v>
      </c>
      <c r="Z17">
        <v>0.3175</v>
      </c>
    </row>
    <row r="18" spans="1:26" x14ac:dyDescent="0.35">
      <c r="A18" t="s">
        <v>33</v>
      </c>
      <c r="B18" t="str">
        <f t="shared" si="0"/>
        <v>OK</v>
      </c>
      <c r="C18" t="s">
        <v>1523</v>
      </c>
      <c r="D18" s="2">
        <v>59</v>
      </c>
      <c r="E18">
        <f>IF(OR(D18&lt;18, D18&gt;100),AD17,D18)</f>
        <v>59</v>
      </c>
      <c r="F18" t="s">
        <v>2992</v>
      </c>
      <c r="G18" t="str">
        <f t="shared" si="1"/>
        <v>Female</v>
      </c>
      <c r="H18" t="s">
        <v>3006</v>
      </c>
      <c r="I18" t="s">
        <v>3021</v>
      </c>
      <c r="K18" t="str">
        <f t="shared" si="2"/>
        <v>Unemployed</v>
      </c>
      <c r="L18">
        <v>21</v>
      </c>
      <c r="M18">
        <v>809085</v>
      </c>
      <c r="N18">
        <f t="shared" si="3"/>
        <v>809085</v>
      </c>
      <c r="O18">
        <v>50949</v>
      </c>
      <c r="P18">
        <v>18.329999999999998</v>
      </c>
      <c r="Q18">
        <v>24</v>
      </c>
      <c r="R18" t="s">
        <v>3046</v>
      </c>
      <c r="S18" t="str">
        <f t="shared" si="4"/>
        <v>Medical</v>
      </c>
      <c r="T18">
        <v>302</v>
      </c>
      <c r="U18">
        <f t="shared" si="5"/>
        <v>302</v>
      </c>
      <c r="V18">
        <v>0</v>
      </c>
      <c r="W18" t="s">
        <v>3053</v>
      </c>
      <c r="X18" s="3" t="s">
        <v>3080</v>
      </c>
      <c r="Y18" s="3">
        <f t="shared" si="6"/>
        <v>44264</v>
      </c>
      <c r="Z18">
        <v>6.3E-2</v>
      </c>
    </row>
    <row r="19" spans="1:26" x14ac:dyDescent="0.35">
      <c r="A19" t="s">
        <v>34</v>
      </c>
      <c r="B19" t="str">
        <f t="shared" si="0"/>
        <v>OK</v>
      </c>
      <c r="C19" t="s">
        <v>1524</v>
      </c>
      <c r="D19" s="2">
        <v>44</v>
      </c>
      <c r="E19">
        <f>IF(OR(D19&lt;18, D19&gt;100),AD18,D19)</f>
        <v>44</v>
      </c>
      <c r="F19" t="s">
        <v>2992</v>
      </c>
      <c r="G19" t="str">
        <f t="shared" si="1"/>
        <v>Female</v>
      </c>
      <c r="H19" t="s">
        <v>3000</v>
      </c>
      <c r="I19" t="s">
        <v>3018</v>
      </c>
      <c r="K19" t="str">
        <f t="shared" si="2"/>
        <v>Business Owner</v>
      </c>
      <c r="L19">
        <v>19</v>
      </c>
      <c r="M19">
        <v>1823312</v>
      </c>
      <c r="N19">
        <f t="shared" si="3"/>
        <v>1823312</v>
      </c>
      <c r="O19">
        <v>221202</v>
      </c>
      <c r="P19">
        <v>11.35</v>
      </c>
      <c r="Q19">
        <v>36</v>
      </c>
      <c r="R19" t="s">
        <v>3051</v>
      </c>
      <c r="S19" t="str">
        <f t="shared" si="4"/>
        <v>Education</v>
      </c>
      <c r="T19">
        <v>488</v>
      </c>
      <c r="U19">
        <f t="shared" si="5"/>
        <v>488</v>
      </c>
      <c r="V19">
        <v>3</v>
      </c>
      <c r="W19" t="s">
        <v>3056</v>
      </c>
      <c r="X19" s="3" t="s">
        <v>3081</v>
      </c>
      <c r="Y19" s="3">
        <f t="shared" si="6"/>
        <v>43890</v>
      </c>
      <c r="Z19">
        <v>0.12130000000000001</v>
      </c>
    </row>
    <row r="20" spans="1:26" x14ac:dyDescent="0.35">
      <c r="A20" t="s">
        <v>35</v>
      </c>
      <c r="B20" t="str">
        <f t="shared" si="0"/>
        <v>OK</v>
      </c>
      <c r="C20" t="s">
        <v>1525</v>
      </c>
      <c r="D20" s="2">
        <v>24</v>
      </c>
      <c r="E20">
        <f>IF(OR(D20&lt;18, D20&gt;100),AD19,D20)</f>
        <v>24</v>
      </c>
      <c r="F20" t="s">
        <v>2992</v>
      </c>
      <c r="G20" t="str">
        <f t="shared" si="1"/>
        <v>Female</v>
      </c>
      <c r="H20" t="s">
        <v>3001</v>
      </c>
      <c r="I20" t="s">
        <v>3021</v>
      </c>
      <c r="K20" t="str">
        <f t="shared" si="2"/>
        <v>Unemployed</v>
      </c>
      <c r="L20">
        <v>9</v>
      </c>
      <c r="M20">
        <v>259083</v>
      </c>
      <c r="N20">
        <f t="shared" si="3"/>
        <v>259083</v>
      </c>
      <c r="O20">
        <v>329521</v>
      </c>
      <c r="P20">
        <v>23.08</v>
      </c>
      <c r="Q20">
        <v>24</v>
      </c>
      <c r="R20" t="s">
        <v>3050</v>
      </c>
      <c r="S20" t="str">
        <f t="shared" si="4"/>
        <v>Agriculture</v>
      </c>
      <c r="T20">
        <v>680</v>
      </c>
      <c r="U20">
        <f t="shared" si="5"/>
        <v>680</v>
      </c>
      <c r="V20">
        <v>7</v>
      </c>
      <c r="W20" t="s">
        <v>3054</v>
      </c>
      <c r="X20" s="3" t="s">
        <v>3082</v>
      </c>
      <c r="Y20" s="3">
        <f t="shared" si="6"/>
        <v>43961</v>
      </c>
      <c r="Z20">
        <v>1.2719</v>
      </c>
    </row>
    <row r="21" spans="1:26" x14ac:dyDescent="0.35">
      <c r="A21" t="s">
        <v>36</v>
      </c>
      <c r="B21" t="str">
        <f t="shared" si="0"/>
        <v>OK</v>
      </c>
      <c r="C21" t="s">
        <v>1526</v>
      </c>
      <c r="D21" s="2">
        <v>54</v>
      </c>
      <c r="E21">
        <f>IF(OR(D21&lt;18, D21&gt;100),AD20,D21)</f>
        <v>54</v>
      </c>
      <c r="F21" t="s">
        <v>2990</v>
      </c>
      <c r="G21" t="str">
        <f t="shared" si="1"/>
        <v>Male</v>
      </c>
      <c r="H21" t="s">
        <v>2998</v>
      </c>
      <c r="I21" t="s">
        <v>3021</v>
      </c>
      <c r="K21" t="str">
        <f t="shared" si="2"/>
        <v>Unemployed</v>
      </c>
      <c r="L21">
        <v>16</v>
      </c>
      <c r="M21">
        <v>741672</v>
      </c>
      <c r="N21">
        <f t="shared" si="3"/>
        <v>741672</v>
      </c>
      <c r="O21">
        <v>245391</v>
      </c>
      <c r="P21">
        <v>26.69</v>
      </c>
      <c r="Q21">
        <v>48</v>
      </c>
      <c r="R21" t="s">
        <v>3046</v>
      </c>
      <c r="S21" t="str">
        <f t="shared" si="4"/>
        <v>Medical</v>
      </c>
      <c r="T21">
        <v>552</v>
      </c>
      <c r="U21">
        <f t="shared" si="5"/>
        <v>552</v>
      </c>
      <c r="V21">
        <v>1</v>
      </c>
      <c r="W21" t="s">
        <v>3053</v>
      </c>
      <c r="X21" s="3" t="s">
        <v>3083</v>
      </c>
      <c r="Y21" s="3">
        <f t="shared" si="6"/>
        <v>44041</v>
      </c>
      <c r="Z21">
        <v>0.33090000000000003</v>
      </c>
    </row>
    <row r="22" spans="1:26" x14ac:dyDescent="0.35">
      <c r="A22" t="s">
        <v>37</v>
      </c>
      <c r="B22" t="str">
        <f t="shared" si="0"/>
        <v>OK</v>
      </c>
      <c r="C22" t="s">
        <v>1527</v>
      </c>
      <c r="D22" s="2">
        <v>36</v>
      </c>
      <c r="E22">
        <f>IF(OR(D22&lt;18, D22&gt;100),AD21,D22)</f>
        <v>36</v>
      </c>
      <c r="F22" t="s">
        <v>2990</v>
      </c>
      <c r="G22" t="str">
        <f t="shared" si="1"/>
        <v>Male</v>
      </c>
      <c r="H22" t="s">
        <v>3007</v>
      </c>
      <c r="I22" t="s">
        <v>3021</v>
      </c>
      <c r="K22" t="str">
        <f t="shared" si="2"/>
        <v>Unemployed</v>
      </c>
      <c r="L22">
        <v>18</v>
      </c>
      <c r="M22">
        <v>1730184</v>
      </c>
      <c r="N22">
        <f t="shared" si="3"/>
        <v>1730184</v>
      </c>
      <c r="O22">
        <v>176255</v>
      </c>
      <c r="P22">
        <v>17.86</v>
      </c>
      <c r="Q22">
        <v>48</v>
      </c>
      <c r="R22" t="s">
        <v>3049</v>
      </c>
      <c r="S22" t="str">
        <f t="shared" si="4"/>
        <v>Business</v>
      </c>
      <c r="T22">
        <v>422</v>
      </c>
      <c r="U22">
        <f t="shared" si="5"/>
        <v>422</v>
      </c>
      <c r="V22">
        <v>4</v>
      </c>
      <c r="W22" t="s">
        <v>3055</v>
      </c>
      <c r="X22" s="3" t="s">
        <v>3084</v>
      </c>
      <c r="Y22" s="3">
        <f t="shared" si="6"/>
        <v>44126</v>
      </c>
      <c r="Z22">
        <v>0.1019</v>
      </c>
    </row>
    <row r="23" spans="1:26" x14ac:dyDescent="0.35">
      <c r="A23" t="s">
        <v>38</v>
      </c>
      <c r="B23" t="str">
        <f t="shared" si="0"/>
        <v>OK</v>
      </c>
      <c r="C23" t="s">
        <v>1528</v>
      </c>
      <c r="D23" s="2">
        <v>51</v>
      </c>
      <c r="E23">
        <f>IF(OR(D23&lt;18, D23&gt;100),AD22,D23)</f>
        <v>51</v>
      </c>
      <c r="F23" t="s">
        <v>2990</v>
      </c>
      <c r="G23" t="str">
        <f t="shared" si="1"/>
        <v>Male</v>
      </c>
      <c r="H23" t="s">
        <v>2998</v>
      </c>
      <c r="I23" t="s">
        <v>3018</v>
      </c>
      <c r="K23" t="str">
        <f t="shared" si="2"/>
        <v>Business Owner</v>
      </c>
      <c r="L23">
        <v>1</v>
      </c>
      <c r="M23">
        <v>2228891</v>
      </c>
      <c r="N23">
        <f t="shared" si="3"/>
        <v>2228891</v>
      </c>
      <c r="O23">
        <v>733987</v>
      </c>
      <c r="P23">
        <v>20.07</v>
      </c>
      <c r="Q23">
        <v>60</v>
      </c>
      <c r="R23" t="s">
        <v>3050</v>
      </c>
      <c r="S23" t="str">
        <f t="shared" si="4"/>
        <v>Agriculture</v>
      </c>
      <c r="T23">
        <v>365</v>
      </c>
      <c r="U23">
        <f t="shared" si="5"/>
        <v>365</v>
      </c>
      <c r="V23">
        <v>4</v>
      </c>
      <c r="W23" t="s">
        <v>3053</v>
      </c>
      <c r="X23" s="3" t="s">
        <v>3085</v>
      </c>
      <c r="Y23" s="3">
        <f t="shared" si="6"/>
        <v>44871</v>
      </c>
      <c r="Z23">
        <v>0.32929999999999998</v>
      </c>
    </row>
    <row r="24" spans="1:26" x14ac:dyDescent="0.35">
      <c r="A24" t="s">
        <v>39</v>
      </c>
      <c r="B24" t="str">
        <f t="shared" si="0"/>
        <v>OK</v>
      </c>
      <c r="C24" t="s">
        <v>1529</v>
      </c>
      <c r="D24" s="2">
        <v>45</v>
      </c>
      <c r="E24">
        <f>IF(OR(D24&lt;18, D24&gt;100),AD23,D24)</f>
        <v>45</v>
      </c>
      <c r="F24" t="s">
        <v>2992</v>
      </c>
      <c r="G24" t="str">
        <f t="shared" si="1"/>
        <v>Female</v>
      </c>
      <c r="H24" t="s">
        <v>3006</v>
      </c>
      <c r="I24" t="s">
        <v>3019</v>
      </c>
      <c r="K24" t="str">
        <f t="shared" si="2"/>
        <v>Employed</v>
      </c>
      <c r="L24">
        <v>1</v>
      </c>
      <c r="M24">
        <v>2152424</v>
      </c>
      <c r="N24">
        <f t="shared" si="3"/>
        <v>2152424</v>
      </c>
      <c r="O24">
        <v>125686</v>
      </c>
      <c r="P24">
        <v>9.0299999999999994</v>
      </c>
      <c r="Q24">
        <v>48</v>
      </c>
      <c r="R24" t="s">
        <v>3050</v>
      </c>
      <c r="S24" t="str">
        <f t="shared" si="4"/>
        <v>Agriculture</v>
      </c>
      <c r="T24">
        <v>472</v>
      </c>
      <c r="U24">
        <f t="shared" si="5"/>
        <v>472</v>
      </c>
      <c r="V24">
        <v>3</v>
      </c>
      <c r="W24" t="s">
        <v>3056</v>
      </c>
      <c r="X24" s="3" t="s">
        <v>3086</v>
      </c>
      <c r="Y24" s="3">
        <f t="shared" si="6"/>
        <v>44639</v>
      </c>
      <c r="Z24">
        <v>5.8400000000000001E-2</v>
      </c>
    </row>
    <row r="25" spans="1:26" x14ac:dyDescent="0.35">
      <c r="A25" t="s">
        <v>40</v>
      </c>
      <c r="B25" t="str">
        <f t="shared" si="0"/>
        <v>OK</v>
      </c>
      <c r="C25" t="s">
        <v>1531</v>
      </c>
      <c r="D25" s="2">
        <v>22</v>
      </c>
      <c r="E25">
        <f>IF(OR(D25&lt;18, D25&gt;100),AD24,D25)</f>
        <v>22</v>
      </c>
      <c r="F25" t="s">
        <v>2990</v>
      </c>
      <c r="G25" t="str">
        <f t="shared" si="1"/>
        <v>Male</v>
      </c>
      <c r="H25" t="s">
        <v>2998</v>
      </c>
      <c r="I25" t="s">
        <v>3018</v>
      </c>
      <c r="K25" t="str">
        <f t="shared" si="2"/>
        <v>Business Owner</v>
      </c>
      <c r="L25">
        <v>20</v>
      </c>
      <c r="M25">
        <v>1123693</v>
      </c>
      <c r="N25">
        <f t="shared" si="3"/>
        <v>1123693</v>
      </c>
      <c r="O25">
        <v>393216</v>
      </c>
      <c r="P25">
        <v>9.09</v>
      </c>
      <c r="Q25">
        <v>12</v>
      </c>
      <c r="R25" t="s">
        <v>3049</v>
      </c>
      <c r="S25" t="str">
        <f t="shared" si="4"/>
        <v>Business</v>
      </c>
      <c r="T25">
        <v>498</v>
      </c>
      <c r="U25">
        <f t="shared" si="5"/>
        <v>498</v>
      </c>
      <c r="V25">
        <v>3</v>
      </c>
      <c r="W25" t="s">
        <v>3052</v>
      </c>
      <c r="X25" s="3" t="s">
        <v>3088</v>
      </c>
      <c r="Y25" s="3">
        <f t="shared" si="6"/>
        <v>43971</v>
      </c>
      <c r="Z25">
        <v>0.34989999999999999</v>
      </c>
    </row>
    <row r="26" spans="1:26" x14ac:dyDescent="0.35">
      <c r="A26" t="s">
        <v>41</v>
      </c>
      <c r="B26" t="str">
        <f t="shared" si="0"/>
        <v>OK</v>
      </c>
      <c r="C26" t="s">
        <v>1532</v>
      </c>
      <c r="D26" s="2">
        <v>37</v>
      </c>
      <c r="E26">
        <f>IF(OR(D26&lt;18, D26&gt;100),AD25,D26)</f>
        <v>37</v>
      </c>
      <c r="G26" t="str">
        <f t="shared" si="1"/>
        <v>Unknown</v>
      </c>
      <c r="H26" t="s">
        <v>3004</v>
      </c>
      <c r="I26" t="s">
        <v>3020</v>
      </c>
      <c r="K26" t="str">
        <f t="shared" si="2"/>
        <v>Self-Employed</v>
      </c>
      <c r="L26">
        <v>6</v>
      </c>
      <c r="M26">
        <v>373510</v>
      </c>
      <c r="N26">
        <f t="shared" si="3"/>
        <v>373510</v>
      </c>
      <c r="O26">
        <v>241883</v>
      </c>
      <c r="P26">
        <v>24.99</v>
      </c>
      <c r="Q26">
        <v>24</v>
      </c>
      <c r="R26" t="s">
        <v>3048</v>
      </c>
      <c r="S26" t="str">
        <f t="shared" si="4"/>
        <v>Home Improvement</v>
      </c>
      <c r="T26">
        <v>804</v>
      </c>
      <c r="U26">
        <f t="shared" si="5"/>
        <v>804</v>
      </c>
      <c r="V26">
        <v>2</v>
      </c>
      <c r="W26" t="s">
        <v>3055</v>
      </c>
      <c r="X26" s="3" t="s">
        <v>3089</v>
      </c>
      <c r="Y26" s="3">
        <f t="shared" si="6"/>
        <v>44550</v>
      </c>
      <c r="Z26">
        <v>0.64759999999999995</v>
      </c>
    </row>
    <row r="27" spans="1:26" x14ac:dyDescent="0.35">
      <c r="A27" t="s">
        <v>42</v>
      </c>
      <c r="B27" t="str">
        <f t="shared" si="0"/>
        <v>OK</v>
      </c>
      <c r="C27" t="s">
        <v>1533</v>
      </c>
      <c r="D27" s="2">
        <v>48</v>
      </c>
      <c r="E27">
        <f>IF(OR(D27&lt;18, D27&gt;100),AD26,D27)</f>
        <v>48</v>
      </c>
      <c r="F27" t="s">
        <v>2990</v>
      </c>
      <c r="G27" t="str">
        <f t="shared" si="1"/>
        <v>Male</v>
      </c>
      <c r="H27" t="s">
        <v>2999</v>
      </c>
      <c r="I27" t="s">
        <v>3021</v>
      </c>
      <c r="K27" t="str">
        <f t="shared" si="2"/>
        <v>Unemployed</v>
      </c>
      <c r="L27">
        <v>14</v>
      </c>
      <c r="M27">
        <v>1859161</v>
      </c>
      <c r="N27">
        <f t="shared" si="3"/>
        <v>1859161</v>
      </c>
      <c r="O27">
        <v>174692</v>
      </c>
      <c r="P27">
        <v>14.79</v>
      </c>
      <c r="Q27">
        <v>60</v>
      </c>
      <c r="R27" t="s">
        <v>3046</v>
      </c>
      <c r="S27" t="str">
        <f t="shared" si="4"/>
        <v>Medical</v>
      </c>
      <c r="T27">
        <v>552</v>
      </c>
      <c r="U27">
        <f t="shared" si="5"/>
        <v>552</v>
      </c>
      <c r="V27">
        <v>5</v>
      </c>
      <c r="W27" t="s">
        <v>3052</v>
      </c>
      <c r="X27" s="3" t="s">
        <v>3090</v>
      </c>
      <c r="Y27" s="3">
        <f t="shared" si="6"/>
        <v>43996</v>
      </c>
      <c r="Z27">
        <v>9.4E-2</v>
      </c>
    </row>
    <row r="28" spans="1:26" x14ac:dyDescent="0.35">
      <c r="A28" t="s">
        <v>43</v>
      </c>
      <c r="B28" t="str">
        <f t="shared" si="0"/>
        <v>OK</v>
      </c>
      <c r="C28" t="s">
        <v>1534</v>
      </c>
      <c r="D28" s="2">
        <v>30</v>
      </c>
      <c r="E28">
        <f>IF(OR(D28&lt;18, D28&gt;100),AD27,D28)</f>
        <v>30</v>
      </c>
      <c r="F28" t="s">
        <v>2992</v>
      </c>
      <c r="G28" t="str">
        <f t="shared" si="1"/>
        <v>Female</v>
      </c>
      <c r="H28" t="s">
        <v>3005</v>
      </c>
      <c r="I28" t="s">
        <v>3018</v>
      </c>
      <c r="K28" t="str">
        <f t="shared" si="2"/>
        <v>Business Owner</v>
      </c>
      <c r="L28">
        <v>2</v>
      </c>
      <c r="M28">
        <v>305438</v>
      </c>
      <c r="N28">
        <f t="shared" si="3"/>
        <v>305438</v>
      </c>
      <c r="O28">
        <v>589354</v>
      </c>
      <c r="P28">
        <v>18.55</v>
      </c>
      <c r="Q28">
        <v>60</v>
      </c>
      <c r="R28" t="s">
        <v>3048</v>
      </c>
      <c r="S28" t="str">
        <f t="shared" si="4"/>
        <v>Home Improvement</v>
      </c>
      <c r="T28">
        <v>328</v>
      </c>
      <c r="U28">
        <f t="shared" si="5"/>
        <v>328</v>
      </c>
      <c r="V28">
        <v>6</v>
      </c>
      <c r="W28" t="s">
        <v>3057</v>
      </c>
      <c r="X28" s="3" t="s">
        <v>3091</v>
      </c>
      <c r="Y28" s="3">
        <f t="shared" si="6"/>
        <v>44646</v>
      </c>
      <c r="Z28">
        <v>1.9295</v>
      </c>
    </row>
    <row r="29" spans="1:26" x14ac:dyDescent="0.35">
      <c r="A29" t="s">
        <v>44</v>
      </c>
      <c r="B29" t="str">
        <f t="shared" si="0"/>
        <v>OK</v>
      </c>
      <c r="C29" t="s">
        <v>1535</v>
      </c>
      <c r="D29" s="2">
        <v>54</v>
      </c>
      <c r="E29">
        <f>IF(OR(D29&lt;18, D29&gt;100),AD28,D29)</f>
        <v>54</v>
      </c>
      <c r="F29" t="s">
        <v>2992</v>
      </c>
      <c r="G29" t="str">
        <f t="shared" si="1"/>
        <v>Female</v>
      </c>
      <c r="H29" t="s">
        <v>2998</v>
      </c>
      <c r="I29" t="s">
        <v>3018</v>
      </c>
      <c r="K29" t="str">
        <f t="shared" si="2"/>
        <v>Business Owner</v>
      </c>
      <c r="L29">
        <v>25</v>
      </c>
      <c r="M29">
        <v>1702688</v>
      </c>
      <c r="N29">
        <f t="shared" si="3"/>
        <v>1702688</v>
      </c>
      <c r="O29">
        <v>74110</v>
      </c>
      <c r="P29">
        <v>17.68</v>
      </c>
      <c r="Q29">
        <v>60</v>
      </c>
      <c r="R29" t="s">
        <v>3050</v>
      </c>
      <c r="S29" t="str">
        <f t="shared" si="4"/>
        <v>Agriculture</v>
      </c>
      <c r="T29">
        <v>802</v>
      </c>
      <c r="U29">
        <f t="shared" si="5"/>
        <v>802</v>
      </c>
      <c r="V29">
        <v>6</v>
      </c>
      <c r="W29" t="s">
        <v>3055</v>
      </c>
      <c r="X29" s="3" t="s">
        <v>3092</v>
      </c>
      <c r="Y29" s="3">
        <f t="shared" si="6"/>
        <v>45257</v>
      </c>
      <c r="Z29">
        <v>4.3499999999999997E-2</v>
      </c>
    </row>
    <row r="30" spans="1:26" x14ac:dyDescent="0.35">
      <c r="A30" t="s">
        <v>45</v>
      </c>
      <c r="B30" t="str">
        <f t="shared" si="0"/>
        <v>OK</v>
      </c>
      <c r="C30" t="s">
        <v>1536</v>
      </c>
      <c r="D30" s="2">
        <v>22</v>
      </c>
      <c r="E30">
        <f>IF(OR(D30&lt;18, D30&gt;100),AD29,D30)</f>
        <v>22</v>
      </c>
      <c r="F30" t="s">
        <v>2992</v>
      </c>
      <c r="G30" t="str">
        <f t="shared" si="1"/>
        <v>Female</v>
      </c>
      <c r="H30" t="s">
        <v>3000</v>
      </c>
      <c r="I30" t="s">
        <v>3019</v>
      </c>
      <c r="K30" t="str">
        <f t="shared" si="2"/>
        <v>Employed</v>
      </c>
      <c r="L30">
        <v>1</v>
      </c>
      <c r="M30">
        <v>1636081</v>
      </c>
      <c r="N30">
        <f t="shared" si="3"/>
        <v>1636081</v>
      </c>
      <c r="O30">
        <v>210920</v>
      </c>
      <c r="P30">
        <v>19.100000000000001</v>
      </c>
      <c r="Q30">
        <v>24</v>
      </c>
      <c r="R30" t="s">
        <v>3050</v>
      </c>
      <c r="S30" t="str">
        <f t="shared" si="4"/>
        <v>Agriculture</v>
      </c>
      <c r="T30">
        <v>809</v>
      </c>
      <c r="U30">
        <f t="shared" si="5"/>
        <v>809</v>
      </c>
      <c r="V30">
        <v>5</v>
      </c>
      <c r="W30" t="s">
        <v>3055</v>
      </c>
      <c r="X30" s="3" t="s">
        <v>3093</v>
      </c>
      <c r="Y30" s="3">
        <f t="shared" si="6"/>
        <v>45236</v>
      </c>
      <c r="Z30">
        <v>0.12889999999999999</v>
      </c>
    </row>
    <row r="31" spans="1:26" x14ac:dyDescent="0.35">
      <c r="A31" t="s">
        <v>46</v>
      </c>
      <c r="B31" t="str">
        <f t="shared" si="0"/>
        <v>OK</v>
      </c>
      <c r="C31" t="s">
        <v>1537</v>
      </c>
      <c r="D31" s="2">
        <v>56</v>
      </c>
      <c r="E31">
        <f>IF(OR(D31&lt;18, D31&gt;100),AD30,D31)</f>
        <v>56</v>
      </c>
      <c r="F31" t="s">
        <v>2992</v>
      </c>
      <c r="G31" t="str">
        <f t="shared" si="1"/>
        <v>Female</v>
      </c>
      <c r="H31" t="s">
        <v>3000</v>
      </c>
      <c r="I31" t="s">
        <v>3019</v>
      </c>
      <c r="K31" t="str">
        <f t="shared" si="2"/>
        <v>Employed</v>
      </c>
      <c r="L31">
        <v>18</v>
      </c>
      <c r="M31">
        <v>1103780</v>
      </c>
      <c r="N31">
        <f t="shared" si="3"/>
        <v>1103780</v>
      </c>
      <c r="O31">
        <v>515164</v>
      </c>
      <c r="P31">
        <v>25.72</v>
      </c>
      <c r="Q31">
        <v>36</v>
      </c>
      <c r="R31" t="s">
        <v>3048</v>
      </c>
      <c r="S31" t="str">
        <f t="shared" si="4"/>
        <v>Home Improvement</v>
      </c>
      <c r="T31">
        <v>464</v>
      </c>
      <c r="U31">
        <f t="shared" si="5"/>
        <v>464</v>
      </c>
      <c r="V31">
        <v>4</v>
      </c>
      <c r="W31" t="s">
        <v>3053</v>
      </c>
      <c r="X31" s="3" t="s">
        <v>3094</v>
      </c>
      <c r="Y31" s="3">
        <f t="shared" si="6"/>
        <v>43934</v>
      </c>
      <c r="Z31">
        <v>0.4667</v>
      </c>
    </row>
    <row r="32" spans="1:26" x14ac:dyDescent="0.35">
      <c r="A32" t="s">
        <v>47</v>
      </c>
      <c r="B32" t="str">
        <f t="shared" si="0"/>
        <v>OK</v>
      </c>
      <c r="C32" t="s">
        <v>1538</v>
      </c>
      <c r="D32" s="2">
        <v>54</v>
      </c>
      <c r="E32">
        <f>IF(OR(D32&lt;18, D32&gt;100),AD31,D32)</f>
        <v>54</v>
      </c>
      <c r="F32" t="s">
        <v>2990</v>
      </c>
      <c r="G32" t="str">
        <f t="shared" si="1"/>
        <v>Male</v>
      </c>
      <c r="H32" t="s">
        <v>3007</v>
      </c>
      <c r="I32" t="s">
        <v>3019</v>
      </c>
      <c r="K32" t="str">
        <f t="shared" si="2"/>
        <v>Employed</v>
      </c>
      <c r="L32">
        <v>3</v>
      </c>
      <c r="M32">
        <v>601280</v>
      </c>
      <c r="N32">
        <f t="shared" si="3"/>
        <v>601280</v>
      </c>
      <c r="O32">
        <v>797635</v>
      </c>
      <c r="P32">
        <v>22.13</v>
      </c>
      <c r="Q32">
        <v>24</v>
      </c>
      <c r="R32" t="s">
        <v>3050</v>
      </c>
      <c r="S32" t="str">
        <f t="shared" si="4"/>
        <v>Agriculture</v>
      </c>
      <c r="T32">
        <v>849</v>
      </c>
      <c r="U32">
        <f t="shared" si="5"/>
        <v>849</v>
      </c>
      <c r="V32">
        <v>2</v>
      </c>
      <c r="W32" t="s">
        <v>3057</v>
      </c>
      <c r="X32" s="3" t="s">
        <v>3095</v>
      </c>
      <c r="Y32" s="3">
        <f t="shared" si="6"/>
        <v>45244</v>
      </c>
      <c r="Z32">
        <v>1.3266</v>
      </c>
    </row>
    <row r="33" spans="1:26" x14ac:dyDescent="0.35">
      <c r="A33" t="s">
        <v>48</v>
      </c>
      <c r="B33" t="str">
        <f t="shared" si="0"/>
        <v>OK</v>
      </c>
      <c r="C33" t="s">
        <v>1539</v>
      </c>
      <c r="D33" s="2">
        <v>47</v>
      </c>
      <c r="E33">
        <f>IF(OR(D33&lt;18, D33&gt;100),AD32,D33)</f>
        <v>47</v>
      </c>
      <c r="F33" t="s">
        <v>2992</v>
      </c>
      <c r="G33" t="str">
        <f t="shared" si="1"/>
        <v>Female</v>
      </c>
      <c r="H33" t="s">
        <v>3001</v>
      </c>
      <c r="I33" t="s">
        <v>3019</v>
      </c>
      <c r="K33" t="str">
        <f t="shared" si="2"/>
        <v>Employed</v>
      </c>
      <c r="L33">
        <v>17</v>
      </c>
      <c r="M33">
        <v>691083</v>
      </c>
      <c r="N33">
        <f t="shared" si="3"/>
        <v>691083</v>
      </c>
      <c r="O33">
        <v>396087</v>
      </c>
      <c r="P33">
        <v>25.31</v>
      </c>
      <c r="Q33">
        <v>12</v>
      </c>
      <c r="R33" t="s">
        <v>3050</v>
      </c>
      <c r="S33" t="str">
        <f t="shared" si="4"/>
        <v>Agriculture</v>
      </c>
      <c r="T33">
        <v>449</v>
      </c>
      <c r="U33">
        <f t="shared" si="5"/>
        <v>449</v>
      </c>
      <c r="V33">
        <v>6</v>
      </c>
      <c r="W33" t="s">
        <v>3056</v>
      </c>
      <c r="X33" s="3" t="s">
        <v>3096</v>
      </c>
      <c r="Y33" s="3">
        <f t="shared" si="6"/>
        <v>45202</v>
      </c>
      <c r="Z33">
        <v>0.57310000000000005</v>
      </c>
    </row>
    <row r="34" spans="1:26" x14ac:dyDescent="0.35">
      <c r="A34" t="s">
        <v>49</v>
      </c>
      <c r="B34" t="str">
        <f t="shared" si="0"/>
        <v>OK</v>
      </c>
      <c r="C34" t="s">
        <v>1540</v>
      </c>
      <c r="D34" s="2">
        <v>50</v>
      </c>
      <c r="E34">
        <f>IF(OR(D34&lt;18, D34&gt;100),AD33,D34)</f>
        <v>50</v>
      </c>
      <c r="F34" t="s">
        <v>2992</v>
      </c>
      <c r="G34" t="str">
        <f t="shared" si="1"/>
        <v>Female</v>
      </c>
      <c r="H34" t="s">
        <v>3004</v>
      </c>
      <c r="I34" t="s">
        <v>3018</v>
      </c>
      <c r="K34" t="str">
        <f t="shared" si="2"/>
        <v>Business Owner</v>
      </c>
      <c r="L34">
        <v>6</v>
      </c>
      <c r="M34">
        <v>746956</v>
      </c>
      <c r="N34">
        <f t="shared" si="3"/>
        <v>746956</v>
      </c>
      <c r="O34">
        <v>407699</v>
      </c>
      <c r="P34">
        <v>16.22</v>
      </c>
      <c r="Q34">
        <v>12</v>
      </c>
      <c r="R34" t="s">
        <v>3050</v>
      </c>
      <c r="S34" t="str">
        <f t="shared" si="4"/>
        <v>Agriculture</v>
      </c>
      <c r="T34">
        <v>725</v>
      </c>
      <c r="U34">
        <f t="shared" si="5"/>
        <v>725</v>
      </c>
      <c r="V34">
        <v>6</v>
      </c>
      <c r="W34" t="s">
        <v>3059</v>
      </c>
      <c r="X34" s="3" t="s">
        <v>3097</v>
      </c>
      <c r="Y34" s="3">
        <f t="shared" si="6"/>
        <v>43912</v>
      </c>
      <c r="Z34">
        <v>0.54579999999999995</v>
      </c>
    </row>
    <row r="35" spans="1:26" x14ac:dyDescent="0.35">
      <c r="A35" t="s">
        <v>50</v>
      </c>
      <c r="B35" t="str">
        <f t="shared" si="0"/>
        <v>OK</v>
      </c>
      <c r="C35" t="s">
        <v>1541</v>
      </c>
      <c r="D35" s="2">
        <v>27</v>
      </c>
      <c r="E35">
        <f>IF(OR(D35&lt;18, D35&gt;100),AD34,D35)</f>
        <v>27</v>
      </c>
      <c r="F35" t="s">
        <v>2990</v>
      </c>
      <c r="G35" t="str">
        <f t="shared" si="1"/>
        <v>Male</v>
      </c>
      <c r="H35" t="s">
        <v>3004</v>
      </c>
      <c r="I35" t="s">
        <v>3019</v>
      </c>
      <c r="K35" t="str">
        <f t="shared" si="2"/>
        <v>Employed</v>
      </c>
      <c r="L35">
        <v>28</v>
      </c>
      <c r="M35">
        <v>656513</v>
      </c>
      <c r="N35">
        <f t="shared" si="3"/>
        <v>656513</v>
      </c>
      <c r="O35">
        <v>83972</v>
      </c>
      <c r="P35">
        <v>23.04</v>
      </c>
      <c r="Q35">
        <v>48</v>
      </c>
      <c r="R35" t="s">
        <v>3049</v>
      </c>
      <c r="S35" t="str">
        <f t="shared" si="4"/>
        <v>Business</v>
      </c>
      <c r="T35">
        <v>681</v>
      </c>
      <c r="U35">
        <f t="shared" si="5"/>
        <v>681</v>
      </c>
      <c r="V35">
        <v>6</v>
      </c>
      <c r="W35" t="s">
        <v>3057</v>
      </c>
      <c r="X35" s="3" t="s">
        <v>3098</v>
      </c>
      <c r="Y35" s="3">
        <f t="shared" si="6"/>
        <v>44291</v>
      </c>
      <c r="Z35">
        <v>0.12790000000000001</v>
      </c>
    </row>
    <row r="36" spans="1:26" x14ac:dyDescent="0.35">
      <c r="A36" t="s">
        <v>51</v>
      </c>
      <c r="B36" t="str">
        <f t="shared" si="0"/>
        <v>OK</v>
      </c>
      <c r="C36" t="s">
        <v>1542</v>
      </c>
      <c r="D36" s="2">
        <v>58</v>
      </c>
      <c r="E36">
        <f>IF(OR(D36&lt;18, D36&gt;100),AD35,D36)</f>
        <v>58</v>
      </c>
      <c r="F36" t="s">
        <v>2992</v>
      </c>
      <c r="G36" t="str">
        <f t="shared" si="1"/>
        <v>Female</v>
      </c>
      <c r="H36" t="s">
        <v>3000</v>
      </c>
      <c r="I36" t="s">
        <v>3018</v>
      </c>
      <c r="K36" t="str">
        <f t="shared" si="2"/>
        <v>Business Owner</v>
      </c>
      <c r="L36">
        <v>11</v>
      </c>
      <c r="M36">
        <v>-551616</v>
      </c>
      <c r="N36">
        <f t="shared" si="3"/>
        <v>1333224</v>
      </c>
      <c r="O36">
        <v>686015</v>
      </c>
      <c r="P36">
        <v>26.9</v>
      </c>
      <c r="Q36">
        <v>48</v>
      </c>
      <c r="R36" t="s">
        <v>3048</v>
      </c>
      <c r="S36" t="str">
        <f t="shared" si="4"/>
        <v>Home Improvement</v>
      </c>
      <c r="T36">
        <v>628</v>
      </c>
      <c r="U36">
        <f t="shared" si="5"/>
        <v>628</v>
      </c>
      <c r="V36">
        <v>1</v>
      </c>
      <c r="W36" t="s">
        <v>3055</v>
      </c>
      <c r="X36" s="3" t="s">
        <v>3099</v>
      </c>
      <c r="Y36" s="3">
        <f t="shared" si="6"/>
        <v>45055</v>
      </c>
      <c r="Z36">
        <v>1.2436</v>
      </c>
    </row>
    <row r="37" spans="1:26" x14ac:dyDescent="0.35">
      <c r="A37" t="s">
        <v>52</v>
      </c>
      <c r="B37" t="str">
        <f t="shared" si="0"/>
        <v>OK</v>
      </c>
      <c r="C37" t="s">
        <v>1543</v>
      </c>
      <c r="D37" s="2">
        <v>23</v>
      </c>
      <c r="E37">
        <f>IF(OR(D37&lt;18, D37&gt;100),AD36,D37)</f>
        <v>23</v>
      </c>
      <c r="F37" t="s">
        <v>2992</v>
      </c>
      <c r="G37" t="str">
        <f t="shared" si="1"/>
        <v>Female</v>
      </c>
      <c r="H37" t="s">
        <v>3003</v>
      </c>
      <c r="I37" t="s">
        <v>3019</v>
      </c>
      <c r="K37" t="str">
        <f t="shared" si="2"/>
        <v>Employed</v>
      </c>
      <c r="L37">
        <v>5</v>
      </c>
      <c r="M37">
        <v>1724613</v>
      </c>
      <c r="N37">
        <f t="shared" si="3"/>
        <v>1724613</v>
      </c>
      <c r="O37">
        <v>425105</v>
      </c>
      <c r="P37">
        <v>26.23</v>
      </c>
      <c r="Q37">
        <v>12</v>
      </c>
      <c r="R37" t="s">
        <v>3049</v>
      </c>
      <c r="S37" t="str">
        <f t="shared" si="4"/>
        <v>Business</v>
      </c>
      <c r="T37">
        <v>596</v>
      </c>
      <c r="U37">
        <f t="shared" si="5"/>
        <v>596</v>
      </c>
      <c r="V37">
        <v>7</v>
      </c>
      <c r="W37" t="s">
        <v>3052</v>
      </c>
      <c r="X37" s="3" t="s">
        <v>3100</v>
      </c>
      <c r="Y37" s="3">
        <f t="shared" si="6"/>
        <v>44803</v>
      </c>
      <c r="Z37">
        <v>0.2465</v>
      </c>
    </row>
    <row r="38" spans="1:26" x14ac:dyDescent="0.35">
      <c r="A38" t="s">
        <v>53</v>
      </c>
      <c r="B38" t="str">
        <f t="shared" si="0"/>
        <v>OK</v>
      </c>
      <c r="C38" t="s">
        <v>1544</v>
      </c>
      <c r="D38" s="2">
        <v>34</v>
      </c>
      <c r="E38">
        <f>IF(OR(D38&lt;18, D38&gt;100),AD37,D38)</f>
        <v>34</v>
      </c>
      <c r="F38" t="s">
        <v>2993</v>
      </c>
      <c r="G38" t="str">
        <f t="shared" si="1"/>
        <v>Male</v>
      </c>
      <c r="H38" t="s">
        <v>3002</v>
      </c>
      <c r="I38" t="s">
        <v>3019</v>
      </c>
      <c r="K38" t="str">
        <f t="shared" si="2"/>
        <v>Employed</v>
      </c>
      <c r="L38">
        <v>14</v>
      </c>
      <c r="M38">
        <v>777897</v>
      </c>
      <c r="N38">
        <f t="shared" si="3"/>
        <v>777897</v>
      </c>
      <c r="O38">
        <v>411858</v>
      </c>
      <c r="P38">
        <v>8.99</v>
      </c>
      <c r="Q38">
        <v>24</v>
      </c>
      <c r="R38" t="s">
        <v>3048</v>
      </c>
      <c r="S38" t="str">
        <f t="shared" si="4"/>
        <v>Home Improvement</v>
      </c>
      <c r="T38">
        <v>552</v>
      </c>
      <c r="U38">
        <f t="shared" si="5"/>
        <v>552</v>
      </c>
      <c r="V38">
        <v>2</v>
      </c>
      <c r="W38" t="s">
        <v>3054</v>
      </c>
      <c r="X38" s="3" t="s">
        <v>3101</v>
      </c>
      <c r="Y38" s="3">
        <f t="shared" si="6"/>
        <v>44578</v>
      </c>
      <c r="Z38">
        <v>0.52949999999999997</v>
      </c>
    </row>
    <row r="39" spans="1:26" x14ac:dyDescent="0.35">
      <c r="A39" t="s">
        <v>54</v>
      </c>
      <c r="B39" t="str">
        <f t="shared" si="0"/>
        <v>OK</v>
      </c>
      <c r="C39" t="s">
        <v>1545</v>
      </c>
      <c r="D39" s="2">
        <v>38</v>
      </c>
      <c r="E39">
        <f>IF(OR(D39&lt;18, D39&gt;100),AD38,D39)</f>
        <v>38</v>
      </c>
      <c r="F39" t="s">
        <v>2992</v>
      </c>
      <c r="G39" t="str">
        <f t="shared" si="1"/>
        <v>Female</v>
      </c>
      <c r="H39" t="s">
        <v>3005</v>
      </c>
      <c r="I39" t="s">
        <v>3018</v>
      </c>
      <c r="K39" t="str">
        <f t="shared" si="2"/>
        <v>Business Owner</v>
      </c>
      <c r="L39">
        <v>10</v>
      </c>
      <c r="M39">
        <v>2287359</v>
      </c>
      <c r="N39">
        <f t="shared" si="3"/>
        <v>2287359</v>
      </c>
      <c r="O39">
        <v>550875</v>
      </c>
      <c r="P39">
        <v>12.73</v>
      </c>
      <c r="Q39">
        <v>36</v>
      </c>
      <c r="R39" t="s">
        <v>3047</v>
      </c>
      <c r="S39" t="str">
        <f t="shared" si="4"/>
        <v>Personal</v>
      </c>
      <c r="T39">
        <v>714</v>
      </c>
      <c r="U39">
        <f t="shared" si="5"/>
        <v>714</v>
      </c>
      <c r="V39">
        <v>6</v>
      </c>
      <c r="W39" t="s">
        <v>3052</v>
      </c>
      <c r="X39" s="3" t="s">
        <v>3102</v>
      </c>
      <c r="Y39" s="3">
        <f t="shared" si="6"/>
        <v>44806</v>
      </c>
      <c r="Z39">
        <v>0.24079999999999999</v>
      </c>
    </row>
    <row r="40" spans="1:26" x14ac:dyDescent="0.35">
      <c r="A40" t="s">
        <v>55</v>
      </c>
      <c r="B40" t="str">
        <f t="shared" si="0"/>
        <v>OK</v>
      </c>
      <c r="C40" t="s">
        <v>1546</v>
      </c>
      <c r="D40" s="2">
        <v>24</v>
      </c>
      <c r="E40">
        <f>IF(OR(D40&lt;18, D40&gt;100),AD39,D40)</f>
        <v>24</v>
      </c>
      <c r="F40" t="s">
        <v>2990</v>
      </c>
      <c r="G40" t="str">
        <f t="shared" si="1"/>
        <v>Male</v>
      </c>
      <c r="H40" t="s">
        <v>3005</v>
      </c>
      <c r="I40" t="s">
        <v>3021</v>
      </c>
      <c r="K40" t="str">
        <f t="shared" si="2"/>
        <v>Unemployed</v>
      </c>
      <c r="L40">
        <v>16</v>
      </c>
      <c r="M40">
        <v>228874</v>
      </c>
      <c r="N40">
        <f t="shared" si="3"/>
        <v>228874</v>
      </c>
      <c r="O40">
        <v>289160</v>
      </c>
      <c r="P40">
        <v>12.15</v>
      </c>
      <c r="Q40">
        <v>36</v>
      </c>
      <c r="S40" t="str">
        <f t="shared" si="4"/>
        <v>Unknown</v>
      </c>
      <c r="T40">
        <v>460</v>
      </c>
      <c r="U40">
        <f t="shared" si="5"/>
        <v>460</v>
      </c>
      <c r="V40">
        <v>5</v>
      </c>
      <c r="W40" t="s">
        <v>3056</v>
      </c>
      <c r="X40" s="3" t="s">
        <v>3103</v>
      </c>
      <c r="Y40" s="3">
        <f t="shared" si="6"/>
        <v>44609</v>
      </c>
      <c r="Z40">
        <v>1.2634000000000001</v>
      </c>
    </row>
    <row r="41" spans="1:26" x14ac:dyDescent="0.35">
      <c r="A41" t="s">
        <v>56</v>
      </c>
      <c r="B41" t="str">
        <f t="shared" si="0"/>
        <v>OK</v>
      </c>
      <c r="C41" t="s">
        <v>1547</v>
      </c>
      <c r="D41" s="2">
        <v>29</v>
      </c>
      <c r="E41">
        <f>IF(OR(D41&lt;18, D41&gt;100),AD40,D41)</f>
        <v>29</v>
      </c>
      <c r="F41" t="s">
        <v>2990</v>
      </c>
      <c r="G41" t="str">
        <f t="shared" si="1"/>
        <v>Male</v>
      </c>
      <c r="H41" t="s">
        <v>2999</v>
      </c>
      <c r="I41" t="s">
        <v>3018</v>
      </c>
      <c r="K41" t="str">
        <f t="shared" si="2"/>
        <v>Business Owner</v>
      </c>
      <c r="L41">
        <v>20</v>
      </c>
      <c r="M41">
        <v>1437949</v>
      </c>
      <c r="N41">
        <f t="shared" si="3"/>
        <v>1437949</v>
      </c>
      <c r="O41">
        <v>400596</v>
      </c>
      <c r="P41">
        <v>19.010000000000002</v>
      </c>
      <c r="Q41">
        <v>48</v>
      </c>
      <c r="R41" t="s">
        <v>3050</v>
      </c>
      <c r="S41" t="str">
        <f t="shared" si="4"/>
        <v>Agriculture</v>
      </c>
      <c r="T41">
        <v>652</v>
      </c>
      <c r="U41">
        <f t="shared" si="5"/>
        <v>652</v>
      </c>
      <c r="V41">
        <v>7</v>
      </c>
      <c r="W41" t="s">
        <v>3057</v>
      </c>
      <c r="X41" s="3" t="s">
        <v>3104</v>
      </c>
      <c r="Y41" s="3">
        <f t="shared" si="6"/>
        <v>44698</v>
      </c>
      <c r="Z41">
        <v>0.27860000000000001</v>
      </c>
    </row>
    <row r="42" spans="1:26" x14ac:dyDescent="0.35">
      <c r="A42" t="s">
        <v>57</v>
      </c>
      <c r="B42" t="str">
        <f t="shared" si="0"/>
        <v>OK</v>
      </c>
      <c r="C42" t="s">
        <v>1548</v>
      </c>
      <c r="D42" s="2">
        <v>60</v>
      </c>
      <c r="E42">
        <f>IF(OR(D42&lt;18, D42&gt;100),AD41,D42)</f>
        <v>60</v>
      </c>
      <c r="F42" t="s">
        <v>2990</v>
      </c>
      <c r="G42" t="str">
        <f t="shared" si="1"/>
        <v>Male</v>
      </c>
      <c r="H42" t="s">
        <v>3006</v>
      </c>
      <c r="I42" t="s">
        <v>3018</v>
      </c>
      <c r="K42" t="str">
        <f t="shared" si="2"/>
        <v>Business Owner</v>
      </c>
      <c r="L42">
        <v>0</v>
      </c>
      <c r="M42">
        <v>1396959</v>
      </c>
      <c r="N42">
        <f t="shared" si="3"/>
        <v>1396959</v>
      </c>
      <c r="O42">
        <v>388266</v>
      </c>
      <c r="P42">
        <v>8.61</v>
      </c>
      <c r="Q42">
        <v>48</v>
      </c>
      <c r="R42" t="s">
        <v>3051</v>
      </c>
      <c r="S42" t="str">
        <f t="shared" si="4"/>
        <v>Education</v>
      </c>
      <c r="T42">
        <v>691</v>
      </c>
      <c r="U42">
        <f t="shared" si="5"/>
        <v>691</v>
      </c>
      <c r="V42">
        <v>4</v>
      </c>
      <c r="W42" t="s">
        <v>3057</v>
      </c>
      <c r="X42" s="3" t="s">
        <v>3105</v>
      </c>
      <c r="Y42" s="3">
        <f t="shared" si="6"/>
        <v>45097</v>
      </c>
      <c r="Z42">
        <v>0.27789999999999998</v>
      </c>
    </row>
    <row r="43" spans="1:26" x14ac:dyDescent="0.35">
      <c r="A43" t="s">
        <v>58</v>
      </c>
      <c r="B43" t="str">
        <f t="shared" si="0"/>
        <v>OK</v>
      </c>
      <c r="C43" t="s">
        <v>1549</v>
      </c>
      <c r="D43" s="2">
        <v>38</v>
      </c>
      <c r="E43">
        <f>IF(OR(D43&lt;18, D43&gt;100),AD42,D43)</f>
        <v>38</v>
      </c>
      <c r="F43" t="s">
        <v>2990</v>
      </c>
      <c r="G43" t="str">
        <f t="shared" si="1"/>
        <v>Male</v>
      </c>
      <c r="H43" t="s">
        <v>2999</v>
      </c>
      <c r="I43" t="s">
        <v>3020</v>
      </c>
      <c r="K43" t="str">
        <f t="shared" si="2"/>
        <v>Self-Employed</v>
      </c>
      <c r="L43">
        <v>10</v>
      </c>
      <c r="M43">
        <v>1277353</v>
      </c>
      <c r="N43">
        <f t="shared" si="3"/>
        <v>1277353</v>
      </c>
      <c r="O43">
        <v>35534</v>
      </c>
      <c r="P43">
        <v>27.53</v>
      </c>
      <c r="Q43">
        <v>36</v>
      </c>
      <c r="R43" t="s">
        <v>3048</v>
      </c>
      <c r="S43" t="str">
        <f t="shared" si="4"/>
        <v>Home Improvement</v>
      </c>
      <c r="T43">
        <v>388</v>
      </c>
      <c r="U43">
        <f t="shared" si="5"/>
        <v>388</v>
      </c>
      <c r="V43">
        <v>7</v>
      </c>
      <c r="W43" t="s">
        <v>3057</v>
      </c>
      <c r="X43" s="3" t="s">
        <v>3106</v>
      </c>
      <c r="Y43" s="3">
        <f t="shared" si="6"/>
        <v>45047</v>
      </c>
      <c r="Z43">
        <v>2.7799999999999998E-2</v>
      </c>
    </row>
    <row r="44" spans="1:26" x14ac:dyDescent="0.35">
      <c r="A44" t="s">
        <v>59</v>
      </c>
      <c r="B44" t="str">
        <f t="shared" si="0"/>
        <v>OK</v>
      </c>
      <c r="C44" t="s">
        <v>1550</v>
      </c>
      <c r="D44" s="2">
        <v>59</v>
      </c>
      <c r="E44">
        <f>IF(OR(D44&lt;18, D44&gt;100),AD43,D44)</f>
        <v>59</v>
      </c>
      <c r="G44" t="str">
        <f t="shared" si="1"/>
        <v>Unknown</v>
      </c>
      <c r="H44" t="s">
        <v>3003</v>
      </c>
      <c r="I44" t="s">
        <v>3020</v>
      </c>
      <c r="K44" t="str">
        <f t="shared" si="2"/>
        <v>Self-Employed</v>
      </c>
      <c r="L44">
        <v>2</v>
      </c>
      <c r="M44">
        <v>1710891</v>
      </c>
      <c r="N44">
        <f t="shared" si="3"/>
        <v>1710891</v>
      </c>
      <c r="O44">
        <v>492963</v>
      </c>
      <c r="P44">
        <v>20.34</v>
      </c>
      <c r="Q44">
        <v>60</v>
      </c>
      <c r="R44" t="s">
        <v>3050</v>
      </c>
      <c r="S44" t="str">
        <f t="shared" si="4"/>
        <v>Agriculture</v>
      </c>
      <c r="T44">
        <v>477</v>
      </c>
      <c r="U44">
        <f t="shared" si="5"/>
        <v>477</v>
      </c>
      <c r="V44">
        <v>5</v>
      </c>
      <c r="W44" t="s">
        <v>3053</v>
      </c>
      <c r="X44" s="3" t="s">
        <v>3107</v>
      </c>
      <c r="Y44" s="3">
        <f t="shared" si="6"/>
        <v>44617</v>
      </c>
      <c r="Z44">
        <v>0.28810000000000002</v>
      </c>
    </row>
    <row r="45" spans="1:26" x14ac:dyDescent="0.35">
      <c r="A45" t="s">
        <v>60</v>
      </c>
      <c r="B45" t="str">
        <f t="shared" si="0"/>
        <v>OK</v>
      </c>
      <c r="C45" t="s">
        <v>1551</v>
      </c>
      <c r="D45" s="2">
        <v>45</v>
      </c>
      <c r="E45">
        <f>IF(OR(D45&lt;18, D45&gt;100),AD44,D45)</f>
        <v>45</v>
      </c>
      <c r="F45" t="s">
        <v>2990</v>
      </c>
      <c r="G45" t="str">
        <f t="shared" si="1"/>
        <v>Male</v>
      </c>
      <c r="H45" t="s">
        <v>3006</v>
      </c>
      <c r="I45" t="s">
        <v>3018</v>
      </c>
      <c r="K45" t="str">
        <f t="shared" si="2"/>
        <v>Business Owner</v>
      </c>
      <c r="L45">
        <v>11</v>
      </c>
      <c r="M45">
        <v>1762460</v>
      </c>
      <c r="N45">
        <f t="shared" si="3"/>
        <v>1762460</v>
      </c>
      <c r="O45">
        <v>718876</v>
      </c>
      <c r="P45">
        <v>13.61</v>
      </c>
      <c r="Q45">
        <v>36</v>
      </c>
      <c r="R45" t="s">
        <v>3051</v>
      </c>
      <c r="S45" t="str">
        <f t="shared" si="4"/>
        <v>Education</v>
      </c>
      <c r="T45">
        <v>645</v>
      </c>
      <c r="U45">
        <f t="shared" si="5"/>
        <v>645</v>
      </c>
      <c r="V45">
        <v>4</v>
      </c>
      <c r="W45" t="s">
        <v>3057</v>
      </c>
      <c r="X45" s="3" t="s">
        <v>3074</v>
      </c>
      <c r="Y45" s="3">
        <f t="shared" si="6"/>
        <v>44403</v>
      </c>
      <c r="Z45">
        <v>0.40789999999999998</v>
      </c>
    </row>
    <row r="46" spans="1:26" x14ac:dyDescent="0.35">
      <c r="A46" t="s">
        <v>61</v>
      </c>
      <c r="B46" t="str">
        <f t="shared" si="0"/>
        <v>OK</v>
      </c>
      <c r="C46" t="s">
        <v>1552</v>
      </c>
      <c r="D46" s="2">
        <v>31</v>
      </c>
      <c r="E46">
        <f>IF(OR(D46&lt;18, D46&gt;100),AD45,D46)</f>
        <v>31</v>
      </c>
      <c r="F46" t="s">
        <v>2992</v>
      </c>
      <c r="G46" t="str">
        <f t="shared" si="1"/>
        <v>Female</v>
      </c>
      <c r="H46" t="s">
        <v>3004</v>
      </c>
      <c r="I46" t="s">
        <v>3018</v>
      </c>
      <c r="K46" t="str">
        <f t="shared" si="2"/>
        <v>Business Owner</v>
      </c>
      <c r="L46">
        <v>27</v>
      </c>
      <c r="M46">
        <v>1763246</v>
      </c>
      <c r="N46">
        <f t="shared" si="3"/>
        <v>1763246</v>
      </c>
      <c r="O46">
        <v>529565</v>
      </c>
      <c r="P46">
        <v>18.98</v>
      </c>
      <c r="Q46">
        <v>12</v>
      </c>
      <c r="R46" t="s">
        <v>3050</v>
      </c>
      <c r="S46" t="str">
        <f t="shared" si="4"/>
        <v>Agriculture</v>
      </c>
      <c r="T46">
        <v>821</v>
      </c>
      <c r="U46">
        <f t="shared" si="5"/>
        <v>821</v>
      </c>
      <c r="V46">
        <v>2</v>
      </c>
      <c r="W46" t="s">
        <v>3052</v>
      </c>
      <c r="X46" s="3" t="s">
        <v>3108</v>
      </c>
      <c r="Y46" s="3">
        <f t="shared" si="6"/>
        <v>45171</v>
      </c>
      <c r="Z46">
        <v>0.30030000000000001</v>
      </c>
    </row>
    <row r="47" spans="1:26" x14ac:dyDescent="0.35">
      <c r="A47" t="s">
        <v>62</v>
      </c>
      <c r="B47" t="str">
        <f t="shared" si="0"/>
        <v>OK</v>
      </c>
      <c r="C47" t="s">
        <v>1553</v>
      </c>
      <c r="D47" s="2">
        <v>28</v>
      </c>
      <c r="E47">
        <f>IF(OR(D47&lt;18, D47&gt;100),AD46,D47)</f>
        <v>28</v>
      </c>
      <c r="F47" t="s">
        <v>2992</v>
      </c>
      <c r="G47" t="str">
        <f t="shared" si="1"/>
        <v>Female</v>
      </c>
      <c r="H47" t="s">
        <v>3003</v>
      </c>
      <c r="I47" t="s">
        <v>3019</v>
      </c>
      <c r="K47" t="str">
        <f t="shared" si="2"/>
        <v>Employed</v>
      </c>
      <c r="L47">
        <v>13</v>
      </c>
      <c r="M47">
        <v>1852717</v>
      </c>
      <c r="N47">
        <f t="shared" si="3"/>
        <v>1852717</v>
      </c>
      <c r="O47">
        <v>170653</v>
      </c>
      <c r="P47">
        <v>15.92</v>
      </c>
      <c r="Q47">
        <v>24</v>
      </c>
      <c r="R47" t="s">
        <v>3046</v>
      </c>
      <c r="S47" t="str">
        <f t="shared" si="4"/>
        <v>Medical</v>
      </c>
      <c r="T47">
        <v>629</v>
      </c>
      <c r="U47">
        <f t="shared" si="5"/>
        <v>629</v>
      </c>
      <c r="V47">
        <v>4</v>
      </c>
      <c r="W47" t="s">
        <v>3057</v>
      </c>
      <c r="X47" s="3" t="s">
        <v>3109</v>
      </c>
      <c r="Y47" s="3">
        <f t="shared" si="6"/>
        <v>45114</v>
      </c>
      <c r="Z47">
        <v>9.2100000000000001E-2</v>
      </c>
    </row>
    <row r="48" spans="1:26" x14ac:dyDescent="0.35">
      <c r="A48" t="s">
        <v>63</v>
      </c>
      <c r="B48" t="str">
        <f t="shared" si="0"/>
        <v>OK</v>
      </c>
      <c r="C48" t="s">
        <v>1554</v>
      </c>
      <c r="D48" s="2">
        <v>38</v>
      </c>
      <c r="E48">
        <f>IF(OR(D48&lt;18, D48&gt;100),AD47,D48)</f>
        <v>38</v>
      </c>
      <c r="F48" t="s">
        <v>2990</v>
      </c>
      <c r="G48" t="str">
        <f t="shared" si="1"/>
        <v>Male</v>
      </c>
      <c r="H48" t="s">
        <v>3005</v>
      </c>
      <c r="I48" t="s">
        <v>3021</v>
      </c>
      <c r="K48" t="str">
        <f t="shared" si="2"/>
        <v>Unemployed</v>
      </c>
      <c r="L48">
        <v>8</v>
      </c>
      <c r="M48">
        <v>1222377</v>
      </c>
      <c r="N48">
        <f t="shared" si="3"/>
        <v>1222377</v>
      </c>
      <c r="O48">
        <v>752081</v>
      </c>
      <c r="P48" t="s">
        <v>3022</v>
      </c>
      <c r="Q48">
        <v>60</v>
      </c>
      <c r="R48" t="s">
        <v>3046</v>
      </c>
      <c r="S48" t="str">
        <f t="shared" si="4"/>
        <v>Medical</v>
      </c>
      <c r="T48">
        <v>625</v>
      </c>
      <c r="U48">
        <f t="shared" si="5"/>
        <v>625</v>
      </c>
      <c r="V48">
        <v>1</v>
      </c>
      <c r="W48" t="s">
        <v>3052</v>
      </c>
      <c r="X48" s="3" t="s">
        <v>3110</v>
      </c>
      <c r="Y48" s="3">
        <f t="shared" si="6"/>
        <v>44342</v>
      </c>
      <c r="Z48">
        <v>0.61529999999999996</v>
      </c>
    </row>
    <row r="49" spans="1:26" x14ac:dyDescent="0.35">
      <c r="A49" t="s">
        <v>64</v>
      </c>
      <c r="B49" t="str">
        <f t="shared" si="0"/>
        <v>OK</v>
      </c>
      <c r="C49" t="s">
        <v>1555</v>
      </c>
      <c r="D49" s="2">
        <v>23</v>
      </c>
      <c r="E49">
        <f>IF(OR(D49&lt;18, D49&gt;100),AD48,D49)</f>
        <v>23</v>
      </c>
      <c r="F49" t="s">
        <v>2990</v>
      </c>
      <c r="G49" t="str">
        <f t="shared" si="1"/>
        <v>Male</v>
      </c>
      <c r="H49" t="s">
        <v>3003</v>
      </c>
      <c r="I49" t="s">
        <v>3018</v>
      </c>
      <c r="K49" t="str">
        <f t="shared" si="2"/>
        <v>Business Owner</v>
      </c>
      <c r="L49">
        <v>5</v>
      </c>
      <c r="M49">
        <v>339292</v>
      </c>
      <c r="N49">
        <f t="shared" si="3"/>
        <v>339292</v>
      </c>
      <c r="O49">
        <v>773890</v>
      </c>
      <c r="P49">
        <v>9.5</v>
      </c>
      <c r="Q49">
        <v>36</v>
      </c>
      <c r="R49" t="s">
        <v>3047</v>
      </c>
      <c r="S49" t="str">
        <f t="shared" si="4"/>
        <v>Personal</v>
      </c>
      <c r="T49">
        <v>560</v>
      </c>
      <c r="U49">
        <f t="shared" si="5"/>
        <v>560</v>
      </c>
      <c r="V49">
        <v>4</v>
      </c>
      <c r="W49" t="s">
        <v>3055</v>
      </c>
      <c r="X49" s="3" t="s">
        <v>3111</v>
      </c>
      <c r="Y49" s="3">
        <f t="shared" si="6"/>
        <v>44882</v>
      </c>
      <c r="Z49">
        <v>2.2808999999999999</v>
      </c>
    </row>
    <row r="50" spans="1:26" x14ac:dyDescent="0.35">
      <c r="A50" t="s">
        <v>65</v>
      </c>
      <c r="B50" t="str">
        <f t="shared" si="0"/>
        <v>OK</v>
      </c>
      <c r="C50" t="s">
        <v>1556</v>
      </c>
      <c r="D50" s="2">
        <v>64</v>
      </c>
      <c r="E50">
        <f>IF(OR(D50&lt;18, D50&gt;100),AD49,D50)</f>
        <v>64</v>
      </c>
      <c r="F50" t="s">
        <v>2990</v>
      </c>
      <c r="G50" t="str">
        <f t="shared" si="1"/>
        <v>Male</v>
      </c>
      <c r="H50" t="s">
        <v>3000</v>
      </c>
      <c r="I50" t="s">
        <v>3018</v>
      </c>
      <c r="K50" t="str">
        <f t="shared" si="2"/>
        <v>Business Owner</v>
      </c>
      <c r="L50">
        <v>21</v>
      </c>
      <c r="M50">
        <v>968140</v>
      </c>
      <c r="N50">
        <f t="shared" si="3"/>
        <v>968140</v>
      </c>
      <c r="O50">
        <v>777634</v>
      </c>
      <c r="P50">
        <v>25.95</v>
      </c>
      <c r="Q50">
        <v>12</v>
      </c>
      <c r="R50" t="s">
        <v>3046</v>
      </c>
      <c r="S50" t="str">
        <f t="shared" si="4"/>
        <v>Medical</v>
      </c>
      <c r="T50">
        <v>686</v>
      </c>
      <c r="U50">
        <f t="shared" si="5"/>
        <v>686</v>
      </c>
      <c r="V50">
        <v>2</v>
      </c>
      <c r="W50" t="s">
        <v>3055</v>
      </c>
      <c r="X50" s="3" t="s">
        <v>3112</v>
      </c>
      <c r="Y50" s="3">
        <f t="shared" si="6"/>
        <v>44760</v>
      </c>
      <c r="Z50">
        <v>0.80320000000000003</v>
      </c>
    </row>
    <row r="51" spans="1:26" x14ac:dyDescent="0.35">
      <c r="A51" t="s">
        <v>66</v>
      </c>
      <c r="B51" t="str">
        <f t="shared" si="0"/>
        <v>OK</v>
      </c>
      <c r="C51" t="s">
        <v>1557</v>
      </c>
      <c r="D51" s="2">
        <v>51</v>
      </c>
      <c r="E51">
        <f>IF(OR(D51&lt;18, D51&gt;100),AD50,D51)</f>
        <v>51</v>
      </c>
      <c r="F51" t="s">
        <v>2991</v>
      </c>
      <c r="G51" t="str">
        <f t="shared" si="1"/>
        <v>Female</v>
      </c>
      <c r="H51" t="s">
        <v>3000</v>
      </c>
      <c r="I51" t="s">
        <v>3020</v>
      </c>
      <c r="K51" t="str">
        <f t="shared" si="2"/>
        <v>Self-Employed</v>
      </c>
      <c r="L51">
        <v>11</v>
      </c>
      <c r="M51">
        <v>1736396</v>
      </c>
      <c r="N51">
        <f t="shared" si="3"/>
        <v>1736396</v>
      </c>
      <c r="O51">
        <v>367823</v>
      </c>
      <c r="P51">
        <v>13.95</v>
      </c>
      <c r="Q51">
        <v>60</v>
      </c>
      <c r="R51" t="s">
        <v>3051</v>
      </c>
      <c r="S51" t="str">
        <f t="shared" si="4"/>
        <v>Education</v>
      </c>
      <c r="T51">
        <v>358</v>
      </c>
      <c r="U51">
        <f t="shared" si="5"/>
        <v>358</v>
      </c>
      <c r="V51">
        <v>4</v>
      </c>
      <c r="W51" t="s">
        <v>3056</v>
      </c>
      <c r="X51" s="3" t="s">
        <v>3113</v>
      </c>
      <c r="Y51" s="3">
        <f t="shared" si="6"/>
        <v>44792</v>
      </c>
      <c r="Z51">
        <v>0.21179999999999999</v>
      </c>
    </row>
    <row r="52" spans="1:26" x14ac:dyDescent="0.35">
      <c r="A52" t="s">
        <v>67</v>
      </c>
      <c r="B52" t="str">
        <f t="shared" si="0"/>
        <v>OK</v>
      </c>
      <c r="C52" t="s">
        <v>1558</v>
      </c>
      <c r="D52" s="2">
        <v>21</v>
      </c>
      <c r="E52">
        <f>IF(OR(D52&lt;18, D52&gt;100),AD51,D52)</f>
        <v>21</v>
      </c>
      <c r="F52" t="s">
        <v>2992</v>
      </c>
      <c r="G52" t="str">
        <f t="shared" si="1"/>
        <v>Female</v>
      </c>
      <c r="H52" t="s">
        <v>2999</v>
      </c>
      <c r="I52" t="s">
        <v>3018</v>
      </c>
      <c r="K52" t="str">
        <f t="shared" si="2"/>
        <v>Business Owner</v>
      </c>
      <c r="L52">
        <v>28</v>
      </c>
      <c r="M52">
        <v>868725</v>
      </c>
      <c r="N52">
        <f t="shared" si="3"/>
        <v>868725</v>
      </c>
      <c r="O52">
        <v>323602</v>
      </c>
      <c r="P52">
        <v>21.58</v>
      </c>
      <c r="Q52">
        <v>24</v>
      </c>
      <c r="R52" t="s">
        <v>3050</v>
      </c>
      <c r="S52" t="str">
        <f t="shared" si="4"/>
        <v>Agriculture</v>
      </c>
      <c r="T52">
        <v>375</v>
      </c>
      <c r="U52">
        <f t="shared" si="5"/>
        <v>375</v>
      </c>
      <c r="V52">
        <v>3</v>
      </c>
      <c r="W52" t="s">
        <v>3055</v>
      </c>
      <c r="X52" s="3" t="s">
        <v>3114</v>
      </c>
      <c r="Y52" s="3">
        <f t="shared" si="6"/>
        <v>44995</v>
      </c>
      <c r="Z52">
        <v>0.3725</v>
      </c>
    </row>
    <row r="53" spans="1:26" x14ac:dyDescent="0.35">
      <c r="A53" t="s">
        <v>68</v>
      </c>
      <c r="B53" t="str">
        <f t="shared" si="0"/>
        <v>OK</v>
      </c>
      <c r="C53" t="s">
        <v>1559</v>
      </c>
      <c r="D53" s="2">
        <v>46</v>
      </c>
      <c r="E53">
        <f>IF(OR(D53&lt;18, D53&gt;100),AD52,D53)</f>
        <v>46</v>
      </c>
      <c r="F53" t="s">
        <v>2992</v>
      </c>
      <c r="G53" t="str">
        <f t="shared" si="1"/>
        <v>Female</v>
      </c>
      <c r="H53" t="s">
        <v>3003</v>
      </c>
      <c r="I53" t="s">
        <v>3020</v>
      </c>
      <c r="K53" t="str">
        <f t="shared" si="2"/>
        <v>Self-Employed</v>
      </c>
      <c r="L53">
        <v>21</v>
      </c>
      <c r="M53">
        <v>2158281</v>
      </c>
      <c r="N53">
        <f t="shared" si="3"/>
        <v>2158281</v>
      </c>
      <c r="O53">
        <v>784265</v>
      </c>
      <c r="P53">
        <v>16.350000000000001</v>
      </c>
      <c r="Q53">
        <v>60</v>
      </c>
      <c r="R53" t="s">
        <v>3051</v>
      </c>
      <c r="S53" t="str">
        <f t="shared" si="4"/>
        <v>Education</v>
      </c>
      <c r="T53">
        <v>751</v>
      </c>
      <c r="U53">
        <f t="shared" si="5"/>
        <v>751</v>
      </c>
      <c r="V53">
        <v>1</v>
      </c>
      <c r="W53" t="s">
        <v>3052</v>
      </c>
      <c r="X53" s="3" t="s">
        <v>3115</v>
      </c>
      <c r="Y53" s="3">
        <f t="shared" si="6"/>
        <v>44664</v>
      </c>
      <c r="Z53">
        <v>0.3634</v>
      </c>
    </row>
    <row r="54" spans="1:26" x14ac:dyDescent="0.35">
      <c r="A54" t="s">
        <v>69</v>
      </c>
      <c r="B54" t="str">
        <f t="shared" si="0"/>
        <v>OK</v>
      </c>
      <c r="C54" t="s">
        <v>1560</v>
      </c>
      <c r="D54" s="2">
        <v>61</v>
      </c>
      <c r="E54">
        <f>IF(OR(D54&lt;18, D54&gt;100),AD53,D54)</f>
        <v>61</v>
      </c>
      <c r="F54" t="s">
        <v>2990</v>
      </c>
      <c r="G54" t="str">
        <f t="shared" si="1"/>
        <v>Male</v>
      </c>
      <c r="H54" t="s">
        <v>3003</v>
      </c>
      <c r="I54" t="s">
        <v>3019</v>
      </c>
      <c r="K54" t="str">
        <f t="shared" si="2"/>
        <v>Employed</v>
      </c>
      <c r="L54">
        <v>5</v>
      </c>
      <c r="N54">
        <f t="shared" si="3"/>
        <v>1333224</v>
      </c>
      <c r="O54">
        <v>731111</v>
      </c>
      <c r="P54">
        <v>16.059999999999999</v>
      </c>
      <c r="Q54">
        <v>24</v>
      </c>
      <c r="R54" t="s">
        <v>3046</v>
      </c>
      <c r="S54" t="str">
        <f t="shared" si="4"/>
        <v>Medical</v>
      </c>
      <c r="U54">
        <f t="shared" si="5"/>
        <v>556</v>
      </c>
      <c r="V54">
        <v>1</v>
      </c>
      <c r="W54" t="s">
        <v>3055</v>
      </c>
      <c r="X54" s="3" t="s">
        <v>3116</v>
      </c>
      <c r="Y54" s="3">
        <f t="shared" si="6"/>
        <v>44672</v>
      </c>
      <c r="Z54">
        <v>0.60680000000000001</v>
      </c>
    </row>
    <row r="55" spans="1:26" x14ac:dyDescent="0.35">
      <c r="A55" t="s">
        <v>70</v>
      </c>
      <c r="B55" t="str">
        <f t="shared" si="0"/>
        <v>OK</v>
      </c>
      <c r="C55" t="s">
        <v>1561</v>
      </c>
      <c r="D55" s="2">
        <v>29</v>
      </c>
      <c r="E55">
        <f>IF(OR(D55&lt;18, D55&gt;100),AD54,D55)</f>
        <v>29</v>
      </c>
      <c r="F55" t="s">
        <v>2990</v>
      </c>
      <c r="G55" t="str">
        <f t="shared" si="1"/>
        <v>Male</v>
      </c>
      <c r="H55" t="s">
        <v>2998</v>
      </c>
      <c r="I55" t="s">
        <v>3018</v>
      </c>
      <c r="K55" t="str">
        <f t="shared" si="2"/>
        <v>Business Owner</v>
      </c>
      <c r="L55">
        <v>10</v>
      </c>
      <c r="M55">
        <v>2339081</v>
      </c>
      <c r="N55">
        <f t="shared" si="3"/>
        <v>2339081</v>
      </c>
      <c r="O55">
        <v>433089</v>
      </c>
      <c r="P55">
        <v>15.77</v>
      </c>
      <c r="Q55">
        <v>48</v>
      </c>
      <c r="R55" t="s">
        <v>3047</v>
      </c>
      <c r="S55" t="str">
        <f t="shared" si="4"/>
        <v>Personal</v>
      </c>
      <c r="T55">
        <v>841</v>
      </c>
      <c r="U55">
        <f t="shared" si="5"/>
        <v>841</v>
      </c>
      <c r="V55">
        <v>2</v>
      </c>
      <c r="W55" t="s">
        <v>3053</v>
      </c>
      <c r="X55" s="3" t="s">
        <v>3117</v>
      </c>
      <c r="Y55" s="3">
        <f t="shared" si="6"/>
        <v>44735</v>
      </c>
      <c r="Z55">
        <v>0.1852</v>
      </c>
    </row>
    <row r="56" spans="1:26" x14ac:dyDescent="0.35">
      <c r="A56" t="s">
        <v>71</v>
      </c>
      <c r="B56" t="str">
        <f t="shared" si="0"/>
        <v>OK</v>
      </c>
      <c r="C56" t="s">
        <v>1562</v>
      </c>
      <c r="D56" s="2">
        <v>45</v>
      </c>
      <c r="E56">
        <f>IF(OR(D56&lt;18, D56&gt;100),AD55,D56)</f>
        <v>45</v>
      </c>
      <c r="F56" t="s">
        <v>2990</v>
      </c>
      <c r="G56" t="str">
        <f t="shared" si="1"/>
        <v>Male</v>
      </c>
      <c r="H56" t="s">
        <v>3005</v>
      </c>
      <c r="I56" t="s">
        <v>3021</v>
      </c>
      <c r="K56" t="str">
        <f t="shared" si="2"/>
        <v>Unemployed</v>
      </c>
      <c r="L56">
        <v>13</v>
      </c>
      <c r="M56">
        <v>397770</v>
      </c>
      <c r="N56">
        <f t="shared" si="3"/>
        <v>397770</v>
      </c>
      <c r="O56">
        <v>498454</v>
      </c>
      <c r="P56">
        <v>26.45</v>
      </c>
      <c r="Q56">
        <v>60</v>
      </c>
      <c r="R56" t="s">
        <v>3050</v>
      </c>
      <c r="S56" t="str">
        <f t="shared" si="4"/>
        <v>Agriculture</v>
      </c>
      <c r="T56">
        <v>500</v>
      </c>
      <c r="U56">
        <f t="shared" si="5"/>
        <v>500</v>
      </c>
      <c r="V56">
        <v>2</v>
      </c>
      <c r="W56" t="s">
        <v>3053</v>
      </c>
      <c r="X56" s="3" t="s">
        <v>3118</v>
      </c>
      <c r="Y56" s="3">
        <f t="shared" si="6"/>
        <v>44329</v>
      </c>
      <c r="Z56">
        <v>1.2531000000000001</v>
      </c>
    </row>
    <row r="57" spans="1:26" x14ac:dyDescent="0.35">
      <c r="A57" t="s">
        <v>72</v>
      </c>
      <c r="B57" t="str">
        <f t="shared" si="0"/>
        <v>OK</v>
      </c>
      <c r="C57" t="s">
        <v>1563</v>
      </c>
      <c r="D57" s="2">
        <v>46</v>
      </c>
      <c r="E57">
        <f>IF(OR(D57&lt;18, D57&gt;100),AD56,D57)</f>
        <v>46</v>
      </c>
      <c r="F57" t="s">
        <v>2990</v>
      </c>
      <c r="G57" t="str">
        <f t="shared" si="1"/>
        <v>Male</v>
      </c>
      <c r="H57" t="s">
        <v>3006</v>
      </c>
      <c r="I57" t="s">
        <v>3021</v>
      </c>
      <c r="K57" t="str">
        <f t="shared" si="2"/>
        <v>Unemployed</v>
      </c>
      <c r="L57">
        <v>2</v>
      </c>
      <c r="M57">
        <v>209725</v>
      </c>
      <c r="N57">
        <f t="shared" si="3"/>
        <v>209725</v>
      </c>
      <c r="O57">
        <v>80128</v>
      </c>
      <c r="P57">
        <v>15.16</v>
      </c>
      <c r="Q57">
        <v>48</v>
      </c>
      <c r="R57" t="s">
        <v>3046</v>
      </c>
      <c r="S57" t="str">
        <f t="shared" si="4"/>
        <v>Medical</v>
      </c>
      <c r="T57">
        <v>664</v>
      </c>
      <c r="U57">
        <f t="shared" si="5"/>
        <v>664</v>
      </c>
      <c r="V57">
        <v>5</v>
      </c>
      <c r="W57" t="s">
        <v>3052</v>
      </c>
      <c r="X57" s="3" t="s">
        <v>3119</v>
      </c>
      <c r="Y57" s="3">
        <f t="shared" si="6"/>
        <v>44191</v>
      </c>
      <c r="Z57">
        <v>0.3821</v>
      </c>
    </row>
    <row r="58" spans="1:26" x14ac:dyDescent="0.35">
      <c r="A58" t="s">
        <v>73</v>
      </c>
      <c r="B58" t="str">
        <f t="shared" si="0"/>
        <v>OK</v>
      </c>
      <c r="C58" t="s">
        <v>1564</v>
      </c>
      <c r="D58" s="2">
        <v>45</v>
      </c>
      <c r="E58">
        <f>IF(OR(D58&lt;18, D58&gt;100),AD57,D58)</f>
        <v>45</v>
      </c>
      <c r="F58" t="s">
        <v>2992</v>
      </c>
      <c r="G58" t="str">
        <f t="shared" si="1"/>
        <v>Female</v>
      </c>
      <c r="H58" t="s">
        <v>3002</v>
      </c>
      <c r="I58" t="s">
        <v>3020</v>
      </c>
      <c r="K58" t="str">
        <f t="shared" si="2"/>
        <v>Self-Employed</v>
      </c>
      <c r="L58">
        <v>2</v>
      </c>
      <c r="M58">
        <v>885475</v>
      </c>
      <c r="N58">
        <f t="shared" si="3"/>
        <v>885475</v>
      </c>
      <c r="O58">
        <v>325505</v>
      </c>
      <c r="P58">
        <v>25.72</v>
      </c>
      <c r="Q58">
        <v>24</v>
      </c>
      <c r="R58" t="s">
        <v>3051</v>
      </c>
      <c r="S58" t="str">
        <f t="shared" si="4"/>
        <v>Education</v>
      </c>
      <c r="T58">
        <v>703</v>
      </c>
      <c r="U58">
        <f t="shared" si="5"/>
        <v>703</v>
      </c>
      <c r="V58">
        <v>2</v>
      </c>
      <c r="W58" t="s">
        <v>3052</v>
      </c>
      <c r="X58" s="3" t="s">
        <v>3120</v>
      </c>
      <c r="Y58" s="3">
        <f t="shared" si="6"/>
        <v>43921</v>
      </c>
      <c r="Z58">
        <v>0.36759999999999998</v>
      </c>
    </row>
    <row r="59" spans="1:26" x14ac:dyDescent="0.35">
      <c r="A59" t="s">
        <v>74</v>
      </c>
      <c r="B59" t="str">
        <f t="shared" si="0"/>
        <v>OK</v>
      </c>
      <c r="C59" t="s">
        <v>1565</v>
      </c>
      <c r="D59" s="2">
        <v>45</v>
      </c>
      <c r="E59">
        <f>IF(OR(D59&lt;18, D59&gt;100),AD58,D59)</f>
        <v>45</v>
      </c>
      <c r="F59" t="s">
        <v>2990</v>
      </c>
      <c r="G59" t="str">
        <f t="shared" si="1"/>
        <v>Male</v>
      </c>
      <c r="H59" t="s">
        <v>2999</v>
      </c>
      <c r="I59" t="s">
        <v>3020</v>
      </c>
      <c r="K59" t="str">
        <f t="shared" si="2"/>
        <v>Self-Employed</v>
      </c>
      <c r="L59">
        <v>0</v>
      </c>
      <c r="M59">
        <v>1202892</v>
      </c>
      <c r="N59">
        <f t="shared" si="3"/>
        <v>1202892</v>
      </c>
      <c r="O59">
        <v>154445</v>
      </c>
      <c r="P59">
        <v>9.06</v>
      </c>
      <c r="Q59">
        <v>36</v>
      </c>
      <c r="R59" t="s">
        <v>3046</v>
      </c>
      <c r="S59" t="str">
        <f t="shared" si="4"/>
        <v>Medical</v>
      </c>
      <c r="T59">
        <v>472</v>
      </c>
      <c r="U59">
        <f t="shared" si="5"/>
        <v>472</v>
      </c>
      <c r="V59">
        <v>3</v>
      </c>
      <c r="W59" t="s">
        <v>3054</v>
      </c>
      <c r="X59" s="3" t="s">
        <v>3121</v>
      </c>
      <c r="Y59" s="3">
        <f t="shared" si="6"/>
        <v>44219</v>
      </c>
      <c r="Z59">
        <v>0.12839999999999999</v>
      </c>
    </row>
    <row r="60" spans="1:26" x14ac:dyDescent="0.35">
      <c r="A60" t="s">
        <v>75</v>
      </c>
      <c r="B60" t="str">
        <f t="shared" si="0"/>
        <v>OK</v>
      </c>
      <c r="C60" t="s">
        <v>1566</v>
      </c>
      <c r="D60" s="2">
        <v>56</v>
      </c>
      <c r="E60">
        <f>IF(OR(D60&lt;18, D60&gt;100),AD59,D60)</f>
        <v>56</v>
      </c>
      <c r="F60" t="s">
        <v>2990</v>
      </c>
      <c r="G60" t="str">
        <f t="shared" si="1"/>
        <v>Male</v>
      </c>
      <c r="H60" t="s">
        <v>3000</v>
      </c>
      <c r="I60" t="s">
        <v>3021</v>
      </c>
      <c r="K60" t="str">
        <f t="shared" si="2"/>
        <v>Unemployed</v>
      </c>
      <c r="L60">
        <v>13</v>
      </c>
      <c r="M60">
        <v>1275426</v>
      </c>
      <c r="N60">
        <f t="shared" si="3"/>
        <v>1275426</v>
      </c>
      <c r="O60">
        <v>448745</v>
      </c>
      <c r="P60">
        <v>8.5</v>
      </c>
      <c r="Q60">
        <v>12</v>
      </c>
      <c r="R60" t="s">
        <v>3046</v>
      </c>
      <c r="S60" t="str">
        <f t="shared" si="4"/>
        <v>Medical</v>
      </c>
      <c r="T60">
        <v>353</v>
      </c>
      <c r="U60">
        <f t="shared" si="5"/>
        <v>353</v>
      </c>
      <c r="V60">
        <v>5</v>
      </c>
      <c r="W60" t="s">
        <v>3057</v>
      </c>
      <c r="X60" s="3" t="s">
        <v>3122</v>
      </c>
      <c r="Y60" s="3">
        <f t="shared" si="6"/>
        <v>44210</v>
      </c>
      <c r="Z60">
        <v>0.3518</v>
      </c>
    </row>
    <row r="61" spans="1:26" x14ac:dyDescent="0.35">
      <c r="A61" t="s">
        <v>76</v>
      </c>
      <c r="B61" t="str">
        <f t="shared" si="0"/>
        <v>OK</v>
      </c>
      <c r="C61" t="s">
        <v>1567</v>
      </c>
      <c r="D61" s="2">
        <v>59</v>
      </c>
      <c r="E61">
        <f>IF(OR(D61&lt;18, D61&gt;100),AD60,D61)</f>
        <v>59</v>
      </c>
      <c r="F61" t="s">
        <v>2992</v>
      </c>
      <c r="G61" t="str">
        <f t="shared" si="1"/>
        <v>Female</v>
      </c>
      <c r="H61" t="s">
        <v>3000</v>
      </c>
      <c r="I61" t="s">
        <v>3020</v>
      </c>
      <c r="K61" t="str">
        <f t="shared" si="2"/>
        <v>Self-Employed</v>
      </c>
      <c r="L61">
        <v>17</v>
      </c>
      <c r="M61">
        <v>465711</v>
      </c>
      <c r="N61">
        <f t="shared" si="3"/>
        <v>465711</v>
      </c>
      <c r="O61">
        <v>444671</v>
      </c>
      <c r="P61">
        <v>23.56</v>
      </c>
      <c r="Q61">
        <v>12</v>
      </c>
      <c r="R61" t="s">
        <v>3049</v>
      </c>
      <c r="S61" t="str">
        <f t="shared" si="4"/>
        <v>Business</v>
      </c>
      <c r="T61">
        <v>760</v>
      </c>
      <c r="U61">
        <f t="shared" si="5"/>
        <v>760</v>
      </c>
      <c r="V61">
        <v>5</v>
      </c>
      <c r="W61" t="s">
        <v>3052</v>
      </c>
      <c r="X61" s="3" t="s">
        <v>3123</v>
      </c>
      <c r="Y61" s="3">
        <f t="shared" si="6"/>
        <v>44603</v>
      </c>
      <c r="Z61">
        <v>0.95479999999999998</v>
      </c>
    </row>
    <row r="62" spans="1:26" x14ac:dyDescent="0.35">
      <c r="A62" t="s">
        <v>77</v>
      </c>
      <c r="B62" t="str">
        <f t="shared" si="0"/>
        <v>OK</v>
      </c>
      <c r="C62" t="s">
        <v>1568</v>
      </c>
      <c r="D62" s="2">
        <v>47</v>
      </c>
      <c r="E62">
        <f>IF(OR(D62&lt;18, D62&gt;100),AD61,D62)</f>
        <v>47</v>
      </c>
      <c r="F62" t="s">
        <v>2992</v>
      </c>
      <c r="G62" t="str">
        <f t="shared" si="1"/>
        <v>Female</v>
      </c>
      <c r="H62" t="s">
        <v>2999</v>
      </c>
      <c r="I62" t="s">
        <v>3018</v>
      </c>
      <c r="K62" t="str">
        <f t="shared" si="2"/>
        <v>Business Owner</v>
      </c>
      <c r="L62">
        <v>6</v>
      </c>
      <c r="M62">
        <v>1281928</v>
      </c>
      <c r="N62">
        <f t="shared" si="3"/>
        <v>1281928</v>
      </c>
      <c r="O62">
        <v>45991</v>
      </c>
      <c r="P62">
        <v>9.17</v>
      </c>
      <c r="Q62">
        <v>12</v>
      </c>
      <c r="R62" t="s">
        <v>3046</v>
      </c>
      <c r="S62" t="str">
        <f t="shared" si="4"/>
        <v>Medical</v>
      </c>
      <c r="T62">
        <v>346</v>
      </c>
      <c r="U62">
        <f t="shared" si="5"/>
        <v>346</v>
      </c>
      <c r="V62">
        <v>4</v>
      </c>
      <c r="W62" t="s">
        <v>3055</v>
      </c>
      <c r="X62" s="3" t="s">
        <v>3124</v>
      </c>
      <c r="Y62" s="3">
        <f t="shared" si="6"/>
        <v>44933</v>
      </c>
      <c r="Z62">
        <v>3.5900000000000001E-2</v>
      </c>
    </row>
    <row r="63" spans="1:26" x14ac:dyDescent="0.35">
      <c r="A63" t="s">
        <v>78</v>
      </c>
      <c r="B63" t="str">
        <f t="shared" si="0"/>
        <v>OK</v>
      </c>
      <c r="C63" t="s">
        <v>1569</v>
      </c>
      <c r="D63" s="2">
        <v>44</v>
      </c>
      <c r="E63">
        <f>IF(OR(D63&lt;18, D63&gt;100),AD62,D63)</f>
        <v>44</v>
      </c>
      <c r="F63" t="s">
        <v>2990</v>
      </c>
      <c r="G63" t="str">
        <f t="shared" si="1"/>
        <v>Male</v>
      </c>
      <c r="H63" t="s">
        <v>3006</v>
      </c>
      <c r="I63" t="s">
        <v>3018</v>
      </c>
      <c r="K63" t="str">
        <f t="shared" si="2"/>
        <v>Business Owner</v>
      </c>
      <c r="L63">
        <v>2</v>
      </c>
      <c r="M63">
        <v>2048388</v>
      </c>
      <c r="N63">
        <f t="shared" si="3"/>
        <v>2048388</v>
      </c>
      <c r="O63">
        <v>256187</v>
      </c>
      <c r="P63">
        <v>20.91</v>
      </c>
      <c r="Q63">
        <v>24</v>
      </c>
      <c r="R63" t="s">
        <v>3047</v>
      </c>
      <c r="S63" t="str">
        <f t="shared" si="4"/>
        <v>Personal</v>
      </c>
      <c r="T63">
        <v>741</v>
      </c>
      <c r="U63">
        <f t="shared" si="5"/>
        <v>741</v>
      </c>
      <c r="V63">
        <v>0</v>
      </c>
      <c r="W63" t="s">
        <v>3056</v>
      </c>
      <c r="X63" s="3" t="s">
        <v>3125</v>
      </c>
      <c r="Y63" s="3">
        <f t="shared" si="6"/>
        <v>45067</v>
      </c>
      <c r="Z63">
        <v>0.12509999999999999</v>
      </c>
    </row>
    <row r="64" spans="1:26" x14ac:dyDescent="0.35">
      <c r="A64" t="s">
        <v>79</v>
      </c>
      <c r="B64" t="str">
        <f t="shared" si="0"/>
        <v>OK</v>
      </c>
      <c r="C64" t="s">
        <v>1570</v>
      </c>
      <c r="D64" s="2">
        <v>51</v>
      </c>
      <c r="E64">
        <f>IF(OR(D64&lt;18, D64&gt;100),AD63,D64)</f>
        <v>51</v>
      </c>
      <c r="F64" t="s">
        <v>2991</v>
      </c>
      <c r="G64" t="str">
        <f t="shared" si="1"/>
        <v>Female</v>
      </c>
      <c r="H64" t="s">
        <v>2998</v>
      </c>
      <c r="I64" t="s">
        <v>3019</v>
      </c>
      <c r="K64" t="str">
        <f t="shared" si="2"/>
        <v>Employed</v>
      </c>
      <c r="L64">
        <v>18</v>
      </c>
      <c r="N64">
        <f t="shared" si="3"/>
        <v>1333224</v>
      </c>
      <c r="O64">
        <v>790644</v>
      </c>
      <c r="P64">
        <v>20.99</v>
      </c>
      <c r="Q64">
        <v>24</v>
      </c>
      <c r="R64" t="s">
        <v>3046</v>
      </c>
      <c r="S64" t="str">
        <f t="shared" si="4"/>
        <v>Medical</v>
      </c>
      <c r="T64">
        <v>543</v>
      </c>
      <c r="U64">
        <f t="shared" si="5"/>
        <v>543</v>
      </c>
      <c r="V64">
        <v>6</v>
      </c>
      <c r="W64" t="s">
        <v>3054</v>
      </c>
      <c r="X64" s="3" t="s">
        <v>3105</v>
      </c>
      <c r="Y64" s="3">
        <f t="shared" si="6"/>
        <v>45097</v>
      </c>
      <c r="Z64">
        <v>0.38700000000000001</v>
      </c>
    </row>
    <row r="65" spans="1:26" x14ac:dyDescent="0.35">
      <c r="A65" t="s">
        <v>80</v>
      </c>
      <c r="B65" t="str">
        <f t="shared" si="0"/>
        <v>OK</v>
      </c>
      <c r="C65" t="s">
        <v>1571</v>
      </c>
      <c r="D65" s="2">
        <v>48</v>
      </c>
      <c r="E65">
        <f>IF(OR(D65&lt;18, D65&gt;100),AD64,D65)</f>
        <v>48</v>
      </c>
      <c r="F65" t="s">
        <v>2990</v>
      </c>
      <c r="G65" t="str">
        <f t="shared" si="1"/>
        <v>Male</v>
      </c>
      <c r="H65" t="s">
        <v>3004</v>
      </c>
      <c r="I65" t="s">
        <v>3021</v>
      </c>
      <c r="K65" t="str">
        <f t="shared" si="2"/>
        <v>Unemployed</v>
      </c>
      <c r="L65">
        <v>20</v>
      </c>
      <c r="M65">
        <v>1156433</v>
      </c>
      <c r="N65">
        <f t="shared" si="3"/>
        <v>1156433</v>
      </c>
      <c r="O65">
        <v>707069</v>
      </c>
      <c r="P65">
        <v>25.15</v>
      </c>
      <c r="Q65">
        <v>36</v>
      </c>
      <c r="R65" t="s">
        <v>3048</v>
      </c>
      <c r="S65" t="str">
        <f t="shared" si="4"/>
        <v>Home Improvement</v>
      </c>
      <c r="T65">
        <v>469</v>
      </c>
      <c r="U65">
        <f t="shared" si="5"/>
        <v>469</v>
      </c>
      <c r="V65">
        <v>3</v>
      </c>
      <c r="W65" t="s">
        <v>3052</v>
      </c>
      <c r="X65" s="3" t="s">
        <v>3116</v>
      </c>
      <c r="Y65" s="3">
        <f t="shared" si="6"/>
        <v>44672</v>
      </c>
      <c r="Z65">
        <v>0.61140000000000005</v>
      </c>
    </row>
    <row r="66" spans="1:26" x14ac:dyDescent="0.35">
      <c r="A66" t="s">
        <v>81</v>
      </c>
      <c r="B66" t="str">
        <f t="shared" ref="B66:B129" si="7">IF(A66="", "MISSING", "OK")</f>
        <v>OK</v>
      </c>
      <c r="C66" t="s">
        <v>1572</v>
      </c>
      <c r="D66" s="2">
        <v>45</v>
      </c>
      <c r="E66">
        <f>IF(OR(D66&lt;18, D66&gt;100),AD65,D66)</f>
        <v>45</v>
      </c>
      <c r="F66" t="s">
        <v>2992</v>
      </c>
      <c r="G66" t="str">
        <f t="shared" si="1"/>
        <v>Female</v>
      </c>
      <c r="H66" t="s">
        <v>3002</v>
      </c>
      <c r="I66" t="s">
        <v>3020</v>
      </c>
      <c r="K66" t="str">
        <f t="shared" si="2"/>
        <v>Self-Employed</v>
      </c>
      <c r="L66">
        <v>21</v>
      </c>
      <c r="M66">
        <v>2271635</v>
      </c>
      <c r="N66">
        <f t="shared" si="3"/>
        <v>2271635</v>
      </c>
      <c r="O66">
        <v>731413</v>
      </c>
      <c r="P66">
        <v>19.5</v>
      </c>
      <c r="Q66">
        <v>36</v>
      </c>
      <c r="R66" t="s">
        <v>3047</v>
      </c>
      <c r="S66" t="str">
        <f t="shared" si="4"/>
        <v>Personal</v>
      </c>
      <c r="T66">
        <v>413</v>
      </c>
      <c r="U66">
        <f t="shared" si="5"/>
        <v>413</v>
      </c>
      <c r="V66">
        <v>0</v>
      </c>
      <c r="W66" t="s">
        <v>3057</v>
      </c>
      <c r="X66" s="3" t="s">
        <v>3126</v>
      </c>
      <c r="Y66" s="3">
        <f t="shared" si="6"/>
        <v>44309</v>
      </c>
      <c r="Z66">
        <v>0.32200000000000001</v>
      </c>
    </row>
    <row r="67" spans="1:26" x14ac:dyDescent="0.35">
      <c r="A67" t="s">
        <v>82</v>
      </c>
      <c r="B67" t="str">
        <f t="shared" si="7"/>
        <v>OK</v>
      </c>
      <c r="C67" t="s">
        <v>1573</v>
      </c>
      <c r="D67" s="2">
        <v>22</v>
      </c>
      <c r="E67">
        <f>IF(OR(D67&lt;18, D67&gt;100),AD66,D67)</f>
        <v>22</v>
      </c>
      <c r="F67" t="s">
        <v>2992</v>
      </c>
      <c r="G67" t="str">
        <f t="shared" ref="G67:G130" si="8">IF(F67="", "Unknown", IF(OR(F67="F", F67="FEMALE", F67="Female"), "Female", IF(OR(F67="M", F67="MALE", F67="Male"), "Male", "Other")))</f>
        <v>Female</v>
      </c>
      <c r="H67" t="s">
        <v>3006</v>
      </c>
      <c r="I67" t="s">
        <v>3021</v>
      </c>
      <c r="K67" t="str">
        <f t="shared" ref="K67:K130" si="9">IF(I67="", "Unknown", I67)</f>
        <v>Unemployed</v>
      </c>
      <c r="L67">
        <v>16</v>
      </c>
      <c r="M67">
        <v>2234780</v>
      </c>
      <c r="N67">
        <f t="shared" ref="N67:N130" si="10">IF(OR(M67="",M67&lt;0),$AD$3,M67)</f>
        <v>2234780</v>
      </c>
      <c r="O67">
        <v>69976</v>
      </c>
      <c r="P67">
        <v>9.1999999999999993</v>
      </c>
      <c r="Q67">
        <v>48</v>
      </c>
      <c r="R67" t="s">
        <v>3049</v>
      </c>
      <c r="S67" t="str">
        <f t="shared" ref="S67:S130" si="11">IF(R67="", "Unknown", R67)</f>
        <v>Business</v>
      </c>
      <c r="T67">
        <v>831</v>
      </c>
      <c r="U67">
        <f t="shared" ref="U67:U130" si="12">IF(OR(T67="",T67&gt;999),$AD$2,T67)</f>
        <v>831</v>
      </c>
      <c r="V67">
        <v>5</v>
      </c>
      <c r="W67" t="s">
        <v>3053</v>
      </c>
      <c r="X67" s="3" t="s">
        <v>3127</v>
      </c>
      <c r="Y67" s="3">
        <f t="shared" ref="Y67:Y130" si="13">IF(ISNUMBER(X67), X67, DATEVALUE(X67))</f>
        <v>44401</v>
      </c>
      <c r="Z67">
        <v>3.1300000000000001E-2</v>
      </c>
    </row>
    <row r="68" spans="1:26" x14ac:dyDescent="0.35">
      <c r="A68" t="s">
        <v>83</v>
      </c>
      <c r="B68" t="str">
        <f t="shared" si="7"/>
        <v>OK</v>
      </c>
      <c r="C68" t="s">
        <v>1574</v>
      </c>
      <c r="D68" s="2">
        <v>45</v>
      </c>
      <c r="E68">
        <f>IF(OR(D68&lt;18, D68&gt;100),AD67,D68)</f>
        <v>45</v>
      </c>
      <c r="F68" t="s">
        <v>2990</v>
      </c>
      <c r="G68" t="str">
        <f t="shared" si="8"/>
        <v>Male</v>
      </c>
      <c r="H68" t="s">
        <v>3006</v>
      </c>
      <c r="I68" t="s">
        <v>3019</v>
      </c>
      <c r="K68" t="str">
        <f t="shared" si="9"/>
        <v>Employed</v>
      </c>
      <c r="L68">
        <v>27</v>
      </c>
      <c r="M68">
        <v>1784642</v>
      </c>
      <c r="N68">
        <f t="shared" si="10"/>
        <v>1784642</v>
      </c>
      <c r="O68">
        <v>537039</v>
      </c>
      <c r="P68">
        <v>24.9</v>
      </c>
      <c r="Q68">
        <v>36</v>
      </c>
      <c r="R68" t="s">
        <v>3049</v>
      </c>
      <c r="S68" t="str">
        <f t="shared" si="11"/>
        <v>Business</v>
      </c>
      <c r="T68">
        <v>792</v>
      </c>
      <c r="U68">
        <f t="shared" si="12"/>
        <v>792</v>
      </c>
      <c r="V68">
        <v>5</v>
      </c>
      <c r="W68" t="s">
        <v>3052</v>
      </c>
      <c r="X68" s="3" t="s">
        <v>3128</v>
      </c>
      <c r="Y68" s="3">
        <f t="shared" si="13"/>
        <v>44580</v>
      </c>
      <c r="Z68">
        <v>0.3009</v>
      </c>
    </row>
    <row r="69" spans="1:26" x14ac:dyDescent="0.35">
      <c r="A69" t="s">
        <v>84</v>
      </c>
      <c r="B69" t="str">
        <f t="shared" si="7"/>
        <v>OK</v>
      </c>
      <c r="C69" t="s">
        <v>1575</v>
      </c>
      <c r="D69" s="2">
        <v>39</v>
      </c>
      <c r="E69">
        <f>IF(OR(D69&lt;18, D69&gt;100),AD68,D69)</f>
        <v>39</v>
      </c>
      <c r="F69" t="s">
        <v>2992</v>
      </c>
      <c r="G69" t="str">
        <f t="shared" si="8"/>
        <v>Female</v>
      </c>
      <c r="H69" t="s">
        <v>3000</v>
      </c>
      <c r="I69" t="s">
        <v>3019</v>
      </c>
      <c r="K69" t="str">
        <f t="shared" si="9"/>
        <v>Employed</v>
      </c>
      <c r="L69">
        <v>22</v>
      </c>
      <c r="M69">
        <v>2205739</v>
      </c>
      <c r="N69">
        <f t="shared" si="10"/>
        <v>2205739</v>
      </c>
      <c r="O69">
        <v>204514</v>
      </c>
      <c r="P69">
        <v>23.09</v>
      </c>
      <c r="Q69">
        <v>12</v>
      </c>
      <c r="R69" t="s">
        <v>3046</v>
      </c>
      <c r="S69" t="str">
        <f t="shared" si="11"/>
        <v>Medical</v>
      </c>
      <c r="T69">
        <v>301</v>
      </c>
      <c r="U69">
        <f t="shared" si="12"/>
        <v>301</v>
      </c>
      <c r="V69">
        <v>4</v>
      </c>
      <c r="W69" t="s">
        <v>3056</v>
      </c>
      <c r="X69" s="3" t="s">
        <v>3129</v>
      </c>
      <c r="Y69" s="3">
        <f t="shared" si="13"/>
        <v>44320</v>
      </c>
      <c r="Z69">
        <v>9.2700000000000005E-2</v>
      </c>
    </row>
    <row r="70" spans="1:26" x14ac:dyDescent="0.35">
      <c r="A70" t="s">
        <v>85</v>
      </c>
      <c r="B70" t="str">
        <f t="shared" si="7"/>
        <v>OK</v>
      </c>
      <c r="C70" t="s">
        <v>1576</v>
      </c>
      <c r="D70" s="2">
        <v>36</v>
      </c>
      <c r="E70">
        <f>IF(OR(D70&lt;18, D70&gt;100),AD69,D70)</f>
        <v>36</v>
      </c>
      <c r="F70" t="s">
        <v>2992</v>
      </c>
      <c r="G70" t="str">
        <f t="shared" si="8"/>
        <v>Female</v>
      </c>
      <c r="H70" t="s">
        <v>2999</v>
      </c>
      <c r="I70" t="s">
        <v>3020</v>
      </c>
      <c r="K70" t="str">
        <f t="shared" si="9"/>
        <v>Self-Employed</v>
      </c>
      <c r="L70">
        <v>14</v>
      </c>
      <c r="M70">
        <v>1248392</v>
      </c>
      <c r="N70">
        <f t="shared" si="10"/>
        <v>1248392</v>
      </c>
      <c r="O70">
        <v>457985</v>
      </c>
      <c r="P70">
        <v>27.16</v>
      </c>
      <c r="Q70">
        <v>12</v>
      </c>
      <c r="R70" t="s">
        <v>3048</v>
      </c>
      <c r="S70" t="str">
        <f t="shared" si="11"/>
        <v>Home Improvement</v>
      </c>
      <c r="T70">
        <v>623</v>
      </c>
      <c r="U70">
        <f t="shared" si="12"/>
        <v>623</v>
      </c>
      <c r="V70">
        <v>5</v>
      </c>
      <c r="W70" t="s">
        <v>3055</v>
      </c>
      <c r="X70" s="3" t="s">
        <v>3130</v>
      </c>
      <c r="Y70" s="3">
        <f t="shared" si="13"/>
        <v>44958</v>
      </c>
      <c r="Z70">
        <v>0.3669</v>
      </c>
    </row>
    <row r="71" spans="1:26" x14ac:dyDescent="0.35">
      <c r="A71" t="s">
        <v>86</v>
      </c>
      <c r="B71" t="str">
        <f t="shared" si="7"/>
        <v>OK</v>
      </c>
      <c r="C71" t="s">
        <v>1577</v>
      </c>
      <c r="D71" s="2">
        <v>28</v>
      </c>
      <c r="E71">
        <f>IF(OR(D71&lt;18, D71&gt;100),AD70,D71)</f>
        <v>28</v>
      </c>
      <c r="F71" t="s">
        <v>2990</v>
      </c>
      <c r="G71" t="str">
        <f t="shared" si="8"/>
        <v>Male</v>
      </c>
      <c r="H71" t="s">
        <v>3005</v>
      </c>
      <c r="I71" t="s">
        <v>3018</v>
      </c>
      <c r="K71" t="str">
        <f t="shared" si="9"/>
        <v>Business Owner</v>
      </c>
      <c r="L71">
        <v>16</v>
      </c>
      <c r="M71">
        <v>2104717</v>
      </c>
      <c r="N71">
        <f t="shared" si="10"/>
        <v>2104717</v>
      </c>
      <c r="O71">
        <v>393393</v>
      </c>
      <c r="P71">
        <v>25.32</v>
      </c>
      <c r="Q71">
        <v>48</v>
      </c>
      <c r="R71" t="s">
        <v>3049</v>
      </c>
      <c r="S71" t="str">
        <f t="shared" si="11"/>
        <v>Business</v>
      </c>
      <c r="T71">
        <v>621</v>
      </c>
      <c r="U71">
        <f t="shared" si="12"/>
        <v>621</v>
      </c>
      <c r="V71">
        <v>6</v>
      </c>
      <c r="W71" t="s">
        <v>3052</v>
      </c>
      <c r="X71" s="3" t="s">
        <v>3131</v>
      </c>
      <c r="Y71" s="3">
        <f t="shared" si="13"/>
        <v>44961</v>
      </c>
      <c r="Z71">
        <v>0.18690000000000001</v>
      </c>
    </row>
    <row r="72" spans="1:26" x14ac:dyDescent="0.35">
      <c r="A72" t="s">
        <v>87</v>
      </c>
      <c r="B72" t="str">
        <f t="shared" si="7"/>
        <v>OK</v>
      </c>
      <c r="C72" t="s">
        <v>1578</v>
      </c>
      <c r="D72" s="2">
        <v>39</v>
      </c>
      <c r="E72">
        <f>IF(OR(D72&lt;18, D72&gt;100),AD71,D72)</f>
        <v>39</v>
      </c>
      <c r="F72" t="s">
        <v>2992</v>
      </c>
      <c r="G72" t="str">
        <f t="shared" si="8"/>
        <v>Female</v>
      </c>
      <c r="H72" t="s">
        <v>2999</v>
      </c>
      <c r="I72" t="s">
        <v>3021</v>
      </c>
      <c r="K72" t="str">
        <f t="shared" si="9"/>
        <v>Unemployed</v>
      </c>
      <c r="L72">
        <v>27</v>
      </c>
      <c r="M72">
        <v>1214262</v>
      </c>
      <c r="N72">
        <f t="shared" si="10"/>
        <v>1214262</v>
      </c>
      <c r="O72">
        <v>79821</v>
      </c>
      <c r="P72">
        <v>10.46</v>
      </c>
      <c r="Q72">
        <v>24</v>
      </c>
      <c r="R72" t="s">
        <v>3050</v>
      </c>
      <c r="S72" t="str">
        <f t="shared" si="11"/>
        <v>Agriculture</v>
      </c>
      <c r="U72">
        <f t="shared" si="12"/>
        <v>556</v>
      </c>
      <c r="V72">
        <v>7</v>
      </c>
      <c r="W72" t="s">
        <v>3056</v>
      </c>
      <c r="X72" s="3" t="s">
        <v>3132</v>
      </c>
      <c r="Y72" s="3">
        <f t="shared" si="13"/>
        <v>44552</v>
      </c>
      <c r="Z72">
        <v>6.5699999999999995E-2</v>
      </c>
    </row>
    <row r="73" spans="1:26" x14ac:dyDescent="0.35">
      <c r="A73" t="s">
        <v>88</v>
      </c>
      <c r="B73" t="str">
        <f t="shared" si="7"/>
        <v>OK</v>
      </c>
      <c r="C73" t="s">
        <v>1579</v>
      </c>
      <c r="D73" s="2">
        <v>52</v>
      </c>
      <c r="E73">
        <f>IF(OR(D73&lt;18, D73&gt;100),AD72,D73)</f>
        <v>52</v>
      </c>
      <c r="F73" t="s">
        <v>2992</v>
      </c>
      <c r="G73" t="str">
        <f t="shared" si="8"/>
        <v>Female</v>
      </c>
      <c r="H73" t="s">
        <v>3001</v>
      </c>
      <c r="I73" t="s">
        <v>3020</v>
      </c>
      <c r="K73" t="str">
        <f t="shared" si="9"/>
        <v>Self-Employed</v>
      </c>
      <c r="L73">
        <v>13</v>
      </c>
      <c r="M73">
        <v>347647</v>
      </c>
      <c r="N73">
        <f t="shared" si="10"/>
        <v>347647</v>
      </c>
      <c r="O73">
        <v>718148</v>
      </c>
      <c r="P73">
        <v>20.69</v>
      </c>
      <c r="Q73">
        <v>60</v>
      </c>
      <c r="R73" t="s">
        <v>3050</v>
      </c>
      <c r="S73" t="str">
        <f t="shared" si="11"/>
        <v>Agriculture</v>
      </c>
      <c r="T73">
        <v>680</v>
      </c>
      <c r="U73">
        <f t="shared" si="12"/>
        <v>680</v>
      </c>
      <c r="V73">
        <v>0</v>
      </c>
      <c r="W73" t="s">
        <v>3054</v>
      </c>
      <c r="X73" s="3" t="s">
        <v>3133</v>
      </c>
      <c r="Y73" s="3">
        <f t="shared" si="13"/>
        <v>44585</v>
      </c>
      <c r="Z73">
        <v>2.0657000000000001</v>
      </c>
    </row>
    <row r="74" spans="1:26" x14ac:dyDescent="0.35">
      <c r="A74" t="s">
        <v>89</v>
      </c>
      <c r="B74" t="str">
        <f t="shared" si="7"/>
        <v>OK</v>
      </c>
      <c r="C74" t="s">
        <v>1580</v>
      </c>
      <c r="D74" s="2">
        <v>42</v>
      </c>
      <c r="E74">
        <f>IF(OR(D74&lt;18, D74&gt;100),AD73,D74)</f>
        <v>42</v>
      </c>
      <c r="F74" t="s">
        <v>2990</v>
      </c>
      <c r="G74" t="str">
        <f t="shared" si="8"/>
        <v>Male</v>
      </c>
      <c r="H74" t="s">
        <v>2998</v>
      </c>
      <c r="I74" t="s">
        <v>3019</v>
      </c>
      <c r="K74" t="str">
        <f t="shared" si="9"/>
        <v>Employed</v>
      </c>
      <c r="L74">
        <v>22</v>
      </c>
      <c r="M74">
        <v>2115135</v>
      </c>
      <c r="N74">
        <f t="shared" si="10"/>
        <v>2115135</v>
      </c>
      <c r="O74">
        <v>475061</v>
      </c>
      <c r="P74">
        <v>13.96</v>
      </c>
      <c r="Q74">
        <v>36</v>
      </c>
      <c r="R74" t="s">
        <v>3047</v>
      </c>
      <c r="S74" t="str">
        <f t="shared" si="11"/>
        <v>Personal</v>
      </c>
      <c r="T74">
        <v>827</v>
      </c>
      <c r="U74">
        <f t="shared" si="12"/>
        <v>827</v>
      </c>
      <c r="V74">
        <v>2</v>
      </c>
      <c r="W74" t="s">
        <v>3056</v>
      </c>
      <c r="X74" s="3" t="s">
        <v>3134</v>
      </c>
      <c r="Y74" s="3">
        <f t="shared" si="13"/>
        <v>45072</v>
      </c>
      <c r="Z74">
        <v>0.22459999999999999</v>
      </c>
    </row>
    <row r="75" spans="1:26" x14ac:dyDescent="0.35">
      <c r="A75" t="s">
        <v>90</v>
      </c>
      <c r="B75" t="str">
        <f t="shared" si="7"/>
        <v>OK</v>
      </c>
      <c r="C75" t="s">
        <v>1581</v>
      </c>
      <c r="D75" s="2">
        <v>45</v>
      </c>
      <c r="E75">
        <f>IF(OR(D75&lt;18, D75&gt;100),AD74,D75)</f>
        <v>45</v>
      </c>
      <c r="F75" t="s">
        <v>2990</v>
      </c>
      <c r="G75" t="str">
        <f t="shared" si="8"/>
        <v>Male</v>
      </c>
      <c r="H75" t="s">
        <v>3000</v>
      </c>
      <c r="I75" t="s">
        <v>3021</v>
      </c>
      <c r="K75" t="str">
        <f t="shared" si="9"/>
        <v>Unemployed</v>
      </c>
      <c r="L75">
        <v>18</v>
      </c>
      <c r="M75">
        <v>1460617</v>
      </c>
      <c r="N75">
        <f t="shared" si="10"/>
        <v>1460617</v>
      </c>
      <c r="O75">
        <v>156213</v>
      </c>
      <c r="P75">
        <v>21.96</v>
      </c>
      <c r="Q75">
        <v>24</v>
      </c>
      <c r="R75" t="s">
        <v>3049</v>
      </c>
      <c r="S75" t="str">
        <f t="shared" si="11"/>
        <v>Business</v>
      </c>
      <c r="T75">
        <v>819</v>
      </c>
      <c r="U75">
        <f t="shared" si="12"/>
        <v>819</v>
      </c>
      <c r="V75">
        <v>6</v>
      </c>
      <c r="W75" t="s">
        <v>3057</v>
      </c>
      <c r="X75" s="3" t="s">
        <v>3135</v>
      </c>
      <c r="Y75" s="3">
        <f t="shared" si="13"/>
        <v>45204</v>
      </c>
      <c r="Z75">
        <v>0.107</v>
      </c>
    </row>
    <row r="76" spans="1:26" x14ac:dyDescent="0.35">
      <c r="A76" t="s">
        <v>91</v>
      </c>
      <c r="B76" t="str">
        <f t="shared" si="7"/>
        <v>OK</v>
      </c>
      <c r="C76" t="s">
        <v>1582</v>
      </c>
      <c r="D76" s="2">
        <v>48</v>
      </c>
      <c r="E76">
        <f>IF(OR(D76&lt;18, D76&gt;100),AD75,D76)</f>
        <v>48</v>
      </c>
      <c r="F76" t="s">
        <v>2992</v>
      </c>
      <c r="G76" t="str">
        <f t="shared" si="8"/>
        <v>Female</v>
      </c>
      <c r="H76" t="s">
        <v>3006</v>
      </c>
      <c r="I76" t="s">
        <v>3018</v>
      </c>
      <c r="K76" t="str">
        <f t="shared" si="9"/>
        <v>Business Owner</v>
      </c>
      <c r="L76">
        <v>29</v>
      </c>
      <c r="M76">
        <v>1087669</v>
      </c>
      <c r="N76">
        <f t="shared" si="10"/>
        <v>1087669</v>
      </c>
      <c r="O76">
        <v>89087</v>
      </c>
      <c r="P76">
        <v>19.13</v>
      </c>
      <c r="Q76">
        <v>12</v>
      </c>
      <c r="R76" t="s">
        <v>3046</v>
      </c>
      <c r="S76" t="str">
        <f t="shared" si="11"/>
        <v>Medical</v>
      </c>
      <c r="T76">
        <v>642</v>
      </c>
      <c r="U76">
        <f t="shared" si="12"/>
        <v>642</v>
      </c>
      <c r="V76">
        <v>4</v>
      </c>
      <c r="W76" t="s">
        <v>3054</v>
      </c>
      <c r="X76" s="3" t="s">
        <v>3136</v>
      </c>
      <c r="Y76" s="3">
        <f t="shared" si="13"/>
        <v>44655</v>
      </c>
      <c r="Z76">
        <v>8.1900000000000001E-2</v>
      </c>
    </row>
    <row r="77" spans="1:26" x14ac:dyDescent="0.35">
      <c r="A77" t="s">
        <v>92</v>
      </c>
      <c r="B77" t="str">
        <f t="shared" si="7"/>
        <v>OK</v>
      </c>
      <c r="C77" t="s">
        <v>1583</v>
      </c>
      <c r="D77" s="2">
        <v>47</v>
      </c>
      <c r="E77">
        <f>IF(OR(D77&lt;18, D77&gt;100),AD76,D77)</f>
        <v>47</v>
      </c>
      <c r="F77" t="s">
        <v>2992</v>
      </c>
      <c r="G77" t="str">
        <f t="shared" si="8"/>
        <v>Female</v>
      </c>
      <c r="H77" t="s">
        <v>3004</v>
      </c>
      <c r="I77" t="s">
        <v>3018</v>
      </c>
      <c r="K77" t="str">
        <f t="shared" si="9"/>
        <v>Business Owner</v>
      </c>
      <c r="L77">
        <v>14</v>
      </c>
      <c r="M77">
        <v>1793325</v>
      </c>
      <c r="N77">
        <f t="shared" si="10"/>
        <v>1793325</v>
      </c>
      <c r="O77">
        <v>414754</v>
      </c>
      <c r="P77">
        <v>27.91</v>
      </c>
      <c r="Q77">
        <v>24</v>
      </c>
      <c r="R77" t="s">
        <v>3051</v>
      </c>
      <c r="S77" t="str">
        <f t="shared" si="11"/>
        <v>Education</v>
      </c>
      <c r="T77">
        <v>514</v>
      </c>
      <c r="U77">
        <f t="shared" si="12"/>
        <v>514</v>
      </c>
      <c r="V77">
        <v>6</v>
      </c>
      <c r="W77" t="s">
        <v>3057</v>
      </c>
      <c r="X77" s="3" t="s">
        <v>3137</v>
      </c>
      <c r="Y77" s="3">
        <f t="shared" si="13"/>
        <v>44886</v>
      </c>
      <c r="Z77">
        <v>0.23130000000000001</v>
      </c>
    </row>
    <row r="78" spans="1:26" x14ac:dyDescent="0.35">
      <c r="A78" t="s">
        <v>93</v>
      </c>
      <c r="B78" t="str">
        <f t="shared" si="7"/>
        <v>OK</v>
      </c>
      <c r="C78" t="s">
        <v>1584</v>
      </c>
      <c r="D78" s="2">
        <v>38</v>
      </c>
      <c r="E78">
        <f>IF(OR(D78&lt;18, D78&gt;100),AD77,D78)</f>
        <v>38</v>
      </c>
      <c r="F78" t="s">
        <v>2992</v>
      </c>
      <c r="G78" t="str">
        <f t="shared" si="8"/>
        <v>Female</v>
      </c>
      <c r="H78" t="s">
        <v>3003</v>
      </c>
      <c r="I78" t="s">
        <v>3018</v>
      </c>
      <c r="K78" t="str">
        <f t="shared" si="9"/>
        <v>Business Owner</v>
      </c>
      <c r="L78">
        <v>19</v>
      </c>
      <c r="M78">
        <v>1513140</v>
      </c>
      <c r="N78">
        <f t="shared" si="10"/>
        <v>1513140</v>
      </c>
      <c r="O78">
        <v>517952</v>
      </c>
      <c r="P78">
        <v>9.23</v>
      </c>
      <c r="Q78">
        <v>24</v>
      </c>
      <c r="R78" t="s">
        <v>3047</v>
      </c>
      <c r="S78" t="str">
        <f t="shared" si="11"/>
        <v>Personal</v>
      </c>
      <c r="T78">
        <v>552</v>
      </c>
      <c r="U78">
        <f t="shared" si="12"/>
        <v>552</v>
      </c>
      <c r="V78">
        <v>5</v>
      </c>
      <c r="W78" t="s">
        <v>3056</v>
      </c>
      <c r="X78" s="3" t="s">
        <v>3138</v>
      </c>
      <c r="Y78" s="3">
        <f t="shared" si="13"/>
        <v>44682</v>
      </c>
      <c r="Z78">
        <v>0.34229999999999999</v>
      </c>
    </row>
    <row r="79" spans="1:26" x14ac:dyDescent="0.35">
      <c r="A79" t="s">
        <v>94</v>
      </c>
      <c r="B79" t="str">
        <f t="shared" si="7"/>
        <v>OK</v>
      </c>
      <c r="C79" t="s">
        <v>1585</v>
      </c>
      <c r="D79" s="2">
        <v>46</v>
      </c>
      <c r="E79">
        <f>IF(OR(D79&lt;18, D79&gt;100),AD78,D79)</f>
        <v>46</v>
      </c>
      <c r="F79" t="s">
        <v>2990</v>
      </c>
      <c r="G79" t="str">
        <f t="shared" si="8"/>
        <v>Male</v>
      </c>
      <c r="H79" t="s">
        <v>3002</v>
      </c>
      <c r="I79" t="s">
        <v>3018</v>
      </c>
      <c r="K79" t="str">
        <f t="shared" si="9"/>
        <v>Business Owner</v>
      </c>
      <c r="L79">
        <v>23</v>
      </c>
      <c r="M79">
        <v>1191316</v>
      </c>
      <c r="N79">
        <f t="shared" si="10"/>
        <v>1191316</v>
      </c>
      <c r="O79">
        <v>240283</v>
      </c>
      <c r="P79">
        <v>27.65</v>
      </c>
      <c r="Q79">
        <v>12</v>
      </c>
      <c r="R79" t="s">
        <v>3048</v>
      </c>
      <c r="S79" t="str">
        <f t="shared" si="11"/>
        <v>Home Improvement</v>
      </c>
      <c r="T79">
        <v>345</v>
      </c>
      <c r="U79">
        <f t="shared" si="12"/>
        <v>345</v>
      </c>
      <c r="V79">
        <v>1</v>
      </c>
      <c r="W79" t="s">
        <v>3055</v>
      </c>
      <c r="X79" s="3" t="s">
        <v>3139</v>
      </c>
      <c r="Y79" s="3">
        <f t="shared" si="13"/>
        <v>44823</v>
      </c>
      <c r="Z79">
        <v>0.20169999999999999</v>
      </c>
    </row>
    <row r="80" spans="1:26" x14ac:dyDescent="0.35">
      <c r="A80" t="s">
        <v>95</v>
      </c>
      <c r="B80" t="str">
        <f t="shared" si="7"/>
        <v>OK</v>
      </c>
      <c r="C80" t="s">
        <v>1586</v>
      </c>
      <c r="D80" s="2">
        <v>51</v>
      </c>
      <c r="E80">
        <f>IF(OR(D80&lt;18, D80&gt;100),AD79,D80)</f>
        <v>51</v>
      </c>
      <c r="F80" t="s">
        <v>2990</v>
      </c>
      <c r="G80" t="str">
        <f t="shared" si="8"/>
        <v>Male</v>
      </c>
      <c r="H80" t="s">
        <v>2999</v>
      </c>
      <c r="I80" t="s">
        <v>3021</v>
      </c>
      <c r="K80" t="str">
        <f t="shared" si="9"/>
        <v>Unemployed</v>
      </c>
      <c r="L80">
        <v>23</v>
      </c>
      <c r="M80">
        <v>1686145</v>
      </c>
      <c r="N80">
        <f t="shared" si="10"/>
        <v>1686145</v>
      </c>
      <c r="O80">
        <v>55903</v>
      </c>
      <c r="P80">
        <v>16.93</v>
      </c>
      <c r="Q80">
        <v>60</v>
      </c>
      <c r="R80" t="s">
        <v>3048</v>
      </c>
      <c r="S80" t="str">
        <f t="shared" si="11"/>
        <v>Home Improvement</v>
      </c>
      <c r="T80">
        <v>396</v>
      </c>
      <c r="U80">
        <f t="shared" si="12"/>
        <v>396</v>
      </c>
      <c r="V80">
        <v>7</v>
      </c>
      <c r="W80" t="s">
        <v>3052</v>
      </c>
      <c r="X80" s="3" t="s">
        <v>3140</v>
      </c>
      <c r="Y80" s="3">
        <f t="shared" si="13"/>
        <v>45157</v>
      </c>
      <c r="Z80">
        <v>3.32E-2</v>
      </c>
    </row>
    <row r="81" spans="1:26" x14ac:dyDescent="0.35">
      <c r="A81" t="s">
        <v>96</v>
      </c>
      <c r="B81" t="str">
        <f t="shared" si="7"/>
        <v>OK</v>
      </c>
      <c r="C81" t="s">
        <v>1587</v>
      </c>
      <c r="D81" s="2">
        <v>29</v>
      </c>
      <c r="E81">
        <f>IF(OR(D81&lt;18, D81&gt;100),AD80,D81)</f>
        <v>29</v>
      </c>
      <c r="F81" t="s">
        <v>2992</v>
      </c>
      <c r="G81" t="str">
        <f t="shared" si="8"/>
        <v>Female</v>
      </c>
      <c r="H81" t="s">
        <v>3006</v>
      </c>
      <c r="I81" t="s">
        <v>3021</v>
      </c>
      <c r="K81" t="str">
        <f t="shared" si="9"/>
        <v>Unemployed</v>
      </c>
      <c r="L81">
        <v>28</v>
      </c>
      <c r="M81">
        <v>284555</v>
      </c>
      <c r="N81">
        <f t="shared" si="10"/>
        <v>284555</v>
      </c>
      <c r="O81">
        <v>253540</v>
      </c>
      <c r="P81">
        <v>21.69</v>
      </c>
      <c r="Q81">
        <v>60</v>
      </c>
      <c r="R81" t="s">
        <v>3048</v>
      </c>
      <c r="S81" t="str">
        <f t="shared" si="11"/>
        <v>Home Improvement</v>
      </c>
      <c r="T81">
        <v>701</v>
      </c>
      <c r="U81">
        <f t="shared" si="12"/>
        <v>701</v>
      </c>
      <c r="V81">
        <v>2</v>
      </c>
      <c r="W81" t="s">
        <v>3057</v>
      </c>
      <c r="X81" s="3" t="s">
        <v>3141</v>
      </c>
      <c r="Y81" s="3">
        <f t="shared" si="13"/>
        <v>45163</v>
      </c>
      <c r="Z81">
        <v>0.89100000000000001</v>
      </c>
    </row>
    <row r="82" spans="1:26" x14ac:dyDescent="0.35">
      <c r="A82" t="s">
        <v>97</v>
      </c>
      <c r="B82" t="str">
        <f t="shared" si="7"/>
        <v>OK</v>
      </c>
      <c r="C82" t="s">
        <v>1588</v>
      </c>
      <c r="D82" s="2">
        <v>49</v>
      </c>
      <c r="E82">
        <f>IF(OR(D82&lt;18, D82&gt;100),AD81,D82)</f>
        <v>49</v>
      </c>
      <c r="F82" t="s">
        <v>2992</v>
      </c>
      <c r="G82" t="str">
        <f t="shared" si="8"/>
        <v>Female</v>
      </c>
      <c r="H82" t="s">
        <v>3001</v>
      </c>
      <c r="I82" t="s">
        <v>3020</v>
      </c>
      <c r="K82" t="str">
        <f t="shared" si="9"/>
        <v>Self-Employed</v>
      </c>
      <c r="L82">
        <v>1</v>
      </c>
      <c r="M82">
        <v>711972</v>
      </c>
      <c r="N82">
        <f t="shared" si="10"/>
        <v>711972</v>
      </c>
      <c r="O82">
        <v>205639</v>
      </c>
      <c r="P82">
        <v>19.95</v>
      </c>
      <c r="Q82">
        <v>60</v>
      </c>
      <c r="R82" t="s">
        <v>3049</v>
      </c>
      <c r="S82" t="str">
        <f t="shared" si="11"/>
        <v>Business</v>
      </c>
      <c r="T82">
        <v>-50</v>
      </c>
      <c r="U82">
        <f t="shared" si="12"/>
        <v>-50</v>
      </c>
      <c r="V82">
        <v>5</v>
      </c>
      <c r="W82" t="s">
        <v>3056</v>
      </c>
      <c r="X82" s="3" t="s">
        <v>3142</v>
      </c>
      <c r="Y82" s="3">
        <f t="shared" si="13"/>
        <v>44937</v>
      </c>
      <c r="Z82">
        <v>0.2888</v>
      </c>
    </row>
    <row r="83" spans="1:26" x14ac:dyDescent="0.35">
      <c r="A83" t="s">
        <v>98</v>
      </c>
      <c r="B83" t="str">
        <f t="shared" si="7"/>
        <v>OK</v>
      </c>
      <c r="C83" t="s">
        <v>1589</v>
      </c>
      <c r="D83" s="2">
        <v>39</v>
      </c>
      <c r="E83">
        <f>IF(OR(D83&lt;18, D83&gt;100),AD82,D83)</f>
        <v>39</v>
      </c>
      <c r="F83" t="s">
        <v>2990</v>
      </c>
      <c r="G83" t="str">
        <f t="shared" si="8"/>
        <v>Male</v>
      </c>
      <c r="H83" t="s">
        <v>3003</v>
      </c>
      <c r="I83" t="s">
        <v>3021</v>
      </c>
      <c r="K83" t="str">
        <f t="shared" si="9"/>
        <v>Unemployed</v>
      </c>
      <c r="L83">
        <v>13</v>
      </c>
      <c r="M83">
        <v>2340682</v>
      </c>
      <c r="N83">
        <f t="shared" si="10"/>
        <v>2340682</v>
      </c>
      <c r="O83">
        <v>79778</v>
      </c>
      <c r="P83">
        <v>24.57</v>
      </c>
      <c r="Q83">
        <v>12</v>
      </c>
      <c r="R83" t="s">
        <v>3047</v>
      </c>
      <c r="S83" t="str">
        <f t="shared" si="11"/>
        <v>Personal</v>
      </c>
      <c r="T83">
        <v>681</v>
      </c>
      <c r="U83">
        <f t="shared" si="12"/>
        <v>681</v>
      </c>
      <c r="V83">
        <v>2</v>
      </c>
      <c r="W83" t="s">
        <v>3057</v>
      </c>
      <c r="X83" s="3" t="s">
        <v>3143</v>
      </c>
      <c r="Y83" s="3">
        <f t="shared" si="13"/>
        <v>44637</v>
      </c>
      <c r="Z83">
        <v>3.4099999999999998E-2</v>
      </c>
    </row>
    <row r="84" spans="1:26" x14ac:dyDescent="0.35">
      <c r="A84" t="s">
        <v>99</v>
      </c>
      <c r="B84" t="str">
        <f t="shared" si="7"/>
        <v>OK</v>
      </c>
      <c r="C84" t="s">
        <v>1590</v>
      </c>
      <c r="D84" s="2">
        <v>52</v>
      </c>
      <c r="E84">
        <f>IF(OR(D84&lt;18, D84&gt;100),AD83,D84)</f>
        <v>52</v>
      </c>
      <c r="F84" t="s">
        <v>2992</v>
      </c>
      <c r="G84" t="str">
        <f t="shared" si="8"/>
        <v>Female</v>
      </c>
      <c r="H84" t="s">
        <v>3000</v>
      </c>
      <c r="I84" t="s">
        <v>3018</v>
      </c>
      <c r="K84" t="str">
        <f t="shared" si="9"/>
        <v>Business Owner</v>
      </c>
      <c r="L84">
        <v>15</v>
      </c>
      <c r="M84">
        <v>1208494</v>
      </c>
      <c r="N84">
        <f t="shared" si="10"/>
        <v>1208494</v>
      </c>
      <c r="O84">
        <v>634553</v>
      </c>
      <c r="P84">
        <v>27.42</v>
      </c>
      <c r="Q84">
        <v>36</v>
      </c>
      <c r="R84" t="s">
        <v>3051</v>
      </c>
      <c r="S84" t="str">
        <f t="shared" si="11"/>
        <v>Education</v>
      </c>
      <c r="T84">
        <v>602</v>
      </c>
      <c r="U84">
        <f t="shared" si="12"/>
        <v>602</v>
      </c>
      <c r="V84">
        <v>3</v>
      </c>
      <c r="W84" t="s">
        <v>3057</v>
      </c>
      <c r="X84" s="3" t="s">
        <v>3144</v>
      </c>
      <c r="Y84" s="3">
        <f t="shared" si="13"/>
        <v>44203</v>
      </c>
      <c r="Z84">
        <v>0.52510000000000001</v>
      </c>
    </row>
    <row r="85" spans="1:26" x14ac:dyDescent="0.35">
      <c r="A85" t="s">
        <v>100</v>
      </c>
      <c r="B85" t="str">
        <f t="shared" si="7"/>
        <v>OK</v>
      </c>
      <c r="C85" t="s">
        <v>1591</v>
      </c>
      <c r="D85" s="2">
        <v>24</v>
      </c>
      <c r="E85">
        <f>IF(OR(D85&lt;18, D85&gt;100),AD84,D85)</f>
        <v>24</v>
      </c>
      <c r="F85" t="s">
        <v>2992</v>
      </c>
      <c r="G85" t="str">
        <f t="shared" si="8"/>
        <v>Female</v>
      </c>
      <c r="H85" t="s">
        <v>3008</v>
      </c>
      <c r="I85" t="s">
        <v>3018</v>
      </c>
      <c r="K85" t="str">
        <f t="shared" si="9"/>
        <v>Business Owner</v>
      </c>
      <c r="L85">
        <v>8</v>
      </c>
      <c r="M85">
        <v>1046183</v>
      </c>
      <c r="N85">
        <f t="shared" si="10"/>
        <v>1046183</v>
      </c>
      <c r="O85">
        <v>726291</v>
      </c>
      <c r="P85">
        <v>24.78</v>
      </c>
      <c r="Q85">
        <v>48</v>
      </c>
      <c r="R85" t="s">
        <v>3046</v>
      </c>
      <c r="S85" t="str">
        <f t="shared" si="11"/>
        <v>Medical</v>
      </c>
      <c r="T85">
        <v>457</v>
      </c>
      <c r="U85">
        <f t="shared" si="12"/>
        <v>457</v>
      </c>
      <c r="V85">
        <v>6</v>
      </c>
      <c r="W85" t="s">
        <v>3056</v>
      </c>
      <c r="X85" s="3" t="s">
        <v>3145</v>
      </c>
      <c r="Y85" s="3">
        <f t="shared" si="13"/>
        <v>44448</v>
      </c>
      <c r="Z85">
        <v>0.69420000000000004</v>
      </c>
    </row>
    <row r="86" spans="1:26" x14ac:dyDescent="0.35">
      <c r="A86" t="s">
        <v>101</v>
      </c>
      <c r="B86" t="str">
        <f t="shared" si="7"/>
        <v>OK</v>
      </c>
      <c r="C86" t="s">
        <v>1592</v>
      </c>
      <c r="D86" s="2">
        <v>32</v>
      </c>
      <c r="E86">
        <f>IF(OR(D86&lt;18, D86&gt;100),AD85,D86)</f>
        <v>32</v>
      </c>
      <c r="F86" t="s">
        <v>2992</v>
      </c>
      <c r="G86" t="str">
        <f t="shared" si="8"/>
        <v>Female</v>
      </c>
      <c r="H86" t="s">
        <v>3000</v>
      </c>
      <c r="I86" t="s">
        <v>3020</v>
      </c>
      <c r="K86" t="str">
        <f t="shared" si="9"/>
        <v>Self-Employed</v>
      </c>
      <c r="L86">
        <v>1</v>
      </c>
      <c r="N86">
        <f t="shared" si="10"/>
        <v>1333224</v>
      </c>
      <c r="O86">
        <v>400714</v>
      </c>
      <c r="P86">
        <v>16.48</v>
      </c>
      <c r="Q86">
        <v>48</v>
      </c>
      <c r="R86" t="s">
        <v>3048</v>
      </c>
      <c r="S86" t="str">
        <f t="shared" si="11"/>
        <v>Home Improvement</v>
      </c>
      <c r="T86">
        <v>772</v>
      </c>
      <c r="U86">
        <f t="shared" si="12"/>
        <v>772</v>
      </c>
      <c r="V86">
        <v>0</v>
      </c>
      <c r="W86" t="s">
        <v>3057</v>
      </c>
      <c r="X86" s="3" t="s">
        <v>3146</v>
      </c>
      <c r="Y86" s="3">
        <f t="shared" si="13"/>
        <v>44935</v>
      </c>
      <c r="Z86">
        <v>0.24690000000000001</v>
      </c>
    </row>
    <row r="87" spans="1:26" x14ac:dyDescent="0.35">
      <c r="A87" t="s">
        <v>102</v>
      </c>
      <c r="B87" t="str">
        <f t="shared" si="7"/>
        <v>OK</v>
      </c>
      <c r="C87" t="s">
        <v>1593</v>
      </c>
      <c r="D87" s="2">
        <v>54</v>
      </c>
      <c r="E87">
        <f>IF(OR(D87&lt;18, D87&gt;100),AD86,D87)</f>
        <v>54</v>
      </c>
      <c r="F87" t="s">
        <v>2990</v>
      </c>
      <c r="G87" t="str">
        <f t="shared" si="8"/>
        <v>Male</v>
      </c>
      <c r="H87" t="s">
        <v>3007</v>
      </c>
      <c r="I87" t="s">
        <v>3020</v>
      </c>
      <c r="K87" t="str">
        <f t="shared" si="9"/>
        <v>Self-Employed</v>
      </c>
      <c r="L87">
        <v>12</v>
      </c>
      <c r="M87">
        <v>1117635</v>
      </c>
      <c r="N87">
        <f t="shared" si="10"/>
        <v>1117635</v>
      </c>
      <c r="O87">
        <v>121407</v>
      </c>
      <c r="P87">
        <v>22.74</v>
      </c>
      <c r="Q87">
        <v>24</v>
      </c>
      <c r="R87" t="s">
        <v>3046</v>
      </c>
      <c r="S87" t="str">
        <f t="shared" si="11"/>
        <v>Medical</v>
      </c>
      <c r="T87">
        <v>1200</v>
      </c>
      <c r="U87">
        <f t="shared" si="12"/>
        <v>556</v>
      </c>
      <c r="V87">
        <v>5</v>
      </c>
      <c r="W87" t="s">
        <v>3056</v>
      </c>
      <c r="X87" s="3" t="s">
        <v>3147</v>
      </c>
      <c r="Y87" s="3">
        <f t="shared" si="13"/>
        <v>44564</v>
      </c>
      <c r="Z87">
        <v>0.1086</v>
      </c>
    </row>
    <row r="88" spans="1:26" x14ac:dyDescent="0.35">
      <c r="A88" t="s">
        <v>103</v>
      </c>
      <c r="B88" t="str">
        <f t="shared" si="7"/>
        <v>OK</v>
      </c>
      <c r="C88" t="s">
        <v>1594</v>
      </c>
      <c r="D88" s="2">
        <v>49</v>
      </c>
      <c r="E88">
        <f>IF(OR(D88&lt;18, D88&gt;100),AD87,D88)</f>
        <v>49</v>
      </c>
      <c r="F88" t="s">
        <v>2992</v>
      </c>
      <c r="G88" t="str">
        <f t="shared" si="8"/>
        <v>Female</v>
      </c>
      <c r="H88" t="s">
        <v>3003</v>
      </c>
      <c r="I88" t="s">
        <v>3018</v>
      </c>
      <c r="K88" t="str">
        <f t="shared" si="9"/>
        <v>Business Owner</v>
      </c>
      <c r="L88">
        <v>15</v>
      </c>
      <c r="M88">
        <v>1700943</v>
      </c>
      <c r="N88">
        <f t="shared" si="10"/>
        <v>1700943</v>
      </c>
      <c r="O88">
        <v>609421</v>
      </c>
      <c r="P88">
        <v>14.91</v>
      </c>
      <c r="Q88">
        <v>36</v>
      </c>
      <c r="R88" t="s">
        <v>3051</v>
      </c>
      <c r="S88" t="str">
        <f t="shared" si="11"/>
        <v>Education</v>
      </c>
      <c r="T88">
        <v>771</v>
      </c>
      <c r="U88">
        <f t="shared" si="12"/>
        <v>771</v>
      </c>
      <c r="V88">
        <v>2</v>
      </c>
      <c r="W88" t="s">
        <v>3054</v>
      </c>
      <c r="X88" s="3" t="s">
        <v>3148</v>
      </c>
      <c r="Y88" s="3">
        <f t="shared" si="13"/>
        <v>44799</v>
      </c>
      <c r="Z88">
        <v>0.35830000000000001</v>
      </c>
    </row>
    <row r="89" spans="1:26" x14ac:dyDescent="0.35">
      <c r="A89" t="s">
        <v>104</v>
      </c>
      <c r="B89" t="str">
        <f t="shared" si="7"/>
        <v>OK</v>
      </c>
      <c r="C89" t="s">
        <v>1595</v>
      </c>
      <c r="D89" s="2">
        <v>42</v>
      </c>
      <c r="E89">
        <f>IF(OR(D89&lt;18, D89&gt;100),AD88,D89)</f>
        <v>42</v>
      </c>
      <c r="F89" t="s">
        <v>2990</v>
      </c>
      <c r="G89" t="str">
        <f t="shared" si="8"/>
        <v>Male</v>
      </c>
      <c r="H89" t="s">
        <v>3009</v>
      </c>
      <c r="I89" t="s">
        <v>3020</v>
      </c>
      <c r="K89" t="str">
        <f t="shared" si="9"/>
        <v>Self-Employed</v>
      </c>
      <c r="L89">
        <v>23</v>
      </c>
      <c r="M89">
        <v>259973</v>
      </c>
      <c r="N89">
        <f t="shared" si="10"/>
        <v>259973</v>
      </c>
      <c r="O89">
        <v>410642</v>
      </c>
      <c r="P89">
        <v>16.52</v>
      </c>
      <c r="Q89">
        <v>24</v>
      </c>
      <c r="R89" t="s">
        <v>3049</v>
      </c>
      <c r="S89" t="str">
        <f t="shared" si="11"/>
        <v>Business</v>
      </c>
      <c r="T89">
        <v>440</v>
      </c>
      <c r="U89">
        <f t="shared" si="12"/>
        <v>440</v>
      </c>
      <c r="V89">
        <v>2</v>
      </c>
      <c r="W89" t="s">
        <v>3056</v>
      </c>
      <c r="X89" s="3" t="s">
        <v>3071</v>
      </c>
      <c r="Y89" s="3">
        <f t="shared" si="13"/>
        <v>44154</v>
      </c>
      <c r="Z89">
        <v>1.5795999999999999</v>
      </c>
    </row>
    <row r="90" spans="1:26" x14ac:dyDescent="0.35">
      <c r="A90" t="s">
        <v>105</v>
      </c>
      <c r="B90" t="str">
        <f t="shared" si="7"/>
        <v>OK</v>
      </c>
      <c r="C90" t="s">
        <v>1596</v>
      </c>
      <c r="D90" s="2">
        <v>54</v>
      </c>
      <c r="E90">
        <f>IF(OR(D90&lt;18, D90&gt;100),AD89,D90)</f>
        <v>54</v>
      </c>
      <c r="F90" t="s">
        <v>2992</v>
      </c>
      <c r="G90" t="str">
        <f t="shared" si="8"/>
        <v>Female</v>
      </c>
      <c r="H90" t="s">
        <v>3006</v>
      </c>
      <c r="I90" t="s">
        <v>3020</v>
      </c>
      <c r="K90" t="str">
        <f t="shared" si="9"/>
        <v>Self-Employed</v>
      </c>
      <c r="L90">
        <v>2</v>
      </c>
      <c r="M90">
        <v>1201318</v>
      </c>
      <c r="N90">
        <f t="shared" si="10"/>
        <v>1201318</v>
      </c>
      <c r="O90">
        <v>542154</v>
      </c>
      <c r="P90">
        <v>11.54</v>
      </c>
      <c r="Q90">
        <v>60</v>
      </c>
      <c r="R90" t="s">
        <v>3047</v>
      </c>
      <c r="S90" t="str">
        <f t="shared" si="11"/>
        <v>Personal</v>
      </c>
      <c r="T90">
        <v>749</v>
      </c>
      <c r="U90">
        <f t="shared" si="12"/>
        <v>749</v>
      </c>
      <c r="V90">
        <v>2</v>
      </c>
      <c r="W90" t="s">
        <v>3057</v>
      </c>
      <c r="X90" s="3" t="s">
        <v>3149</v>
      </c>
      <c r="Y90" s="3">
        <f t="shared" si="13"/>
        <v>43933</v>
      </c>
      <c r="Z90">
        <v>0.45129999999999998</v>
      </c>
    </row>
    <row r="91" spans="1:26" x14ac:dyDescent="0.35">
      <c r="A91" t="s">
        <v>106</v>
      </c>
      <c r="B91" t="str">
        <f t="shared" si="7"/>
        <v>OK</v>
      </c>
      <c r="C91" t="s">
        <v>1597</v>
      </c>
      <c r="D91" s="2">
        <v>52</v>
      </c>
      <c r="E91">
        <f>IF(OR(D91&lt;18, D91&gt;100),AD90,D91)</f>
        <v>52</v>
      </c>
      <c r="F91" t="s">
        <v>2990</v>
      </c>
      <c r="G91" t="str">
        <f t="shared" si="8"/>
        <v>Male</v>
      </c>
      <c r="H91" t="s">
        <v>3006</v>
      </c>
      <c r="I91" t="s">
        <v>3018</v>
      </c>
      <c r="K91" t="str">
        <f t="shared" si="9"/>
        <v>Business Owner</v>
      </c>
      <c r="L91">
        <v>14</v>
      </c>
      <c r="N91">
        <f t="shared" si="10"/>
        <v>1333224</v>
      </c>
      <c r="O91">
        <v>419371</v>
      </c>
      <c r="P91">
        <v>13.19</v>
      </c>
      <c r="Q91">
        <v>48</v>
      </c>
      <c r="S91" t="str">
        <f t="shared" si="11"/>
        <v>Unknown</v>
      </c>
      <c r="T91">
        <v>457</v>
      </c>
      <c r="U91">
        <f t="shared" si="12"/>
        <v>457</v>
      </c>
      <c r="V91">
        <v>2</v>
      </c>
      <c r="W91" t="s">
        <v>3055</v>
      </c>
      <c r="X91" s="3" t="s">
        <v>3146</v>
      </c>
      <c r="Y91" s="3">
        <f t="shared" si="13"/>
        <v>44935</v>
      </c>
      <c r="Z91">
        <v>0.20469999999999999</v>
      </c>
    </row>
    <row r="92" spans="1:26" x14ac:dyDescent="0.35">
      <c r="A92" t="s">
        <v>107</v>
      </c>
      <c r="B92" t="str">
        <f t="shared" si="7"/>
        <v>OK</v>
      </c>
      <c r="C92" t="s">
        <v>1598</v>
      </c>
      <c r="D92" s="2">
        <v>43</v>
      </c>
      <c r="E92">
        <f>IF(OR(D92&lt;18, D92&gt;100),AD91,D92)</f>
        <v>43</v>
      </c>
      <c r="F92" t="s">
        <v>2992</v>
      </c>
      <c r="G92" t="str">
        <f t="shared" si="8"/>
        <v>Female</v>
      </c>
      <c r="H92" t="s">
        <v>3001</v>
      </c>
      <c r="I92" t="s">
        <v>3018</v>
      </c>
      <c r="K92" t="str">
        <f t="shared" si="9"/>
        <v>Business Owner</v>
      </c>
      <c r="L92">
        <v>6</v>
      </c>
      <c r="M92">
        <v>1852795</v>
      </c>
      <c r="N92">
        <f t="shared" si="10"/>
        <v>1852795</v>
      </c>
      <c r="O92">
        <v>25750</v>
      </c>
      <c r="P92">
        <v>18.5</v>
      </c>
      <c r="Q92">
        <v>36</v>
      </c>
      <c r="R92" t="s">
        <v>3050</v>
      </c>
      <c r="S92" t="str">
        <f t="shared" si="11"/>
        <v>Agriculture</v>
      </c>
      <c r="T92">
        <v>726</v>
      </c>
      <c r="U92">
        <f t="shared" si="12"/>
        <v>726</v>
      </c>
      <c r="V92">
        <v>7</v>
      </c>
      <c r="W92" t="s">
        <v>3055</v>
      </c>
      <c r="X92" s="3" t="s">
        <v>3150</v>
      </c>
      <c r="Y92" s="3">
        <f t="shared" si="13"/>
        <v>44502</v>
      </c>
      <c r="Z92">
        <v>1.3899999999999999E-2</v>
      </c>
    </row>
    <row r="93" spans="1:26" x14ac:dyDescent="0.35">
      <c r="A93" t="s">
        <v>108</v>
      </c>
      <c r="B93" t="str">
        <f t="shared" si="7"/>
        <v>OK</v>
      </c>
      <c r="C93" t="s">
        <v>1599</v>
      </c>
      <c r="D93" s="2">
        <v>62</v>
      </c>
      <c r="E93">
        <f>IF(OR(D93&lt;18, D93&gt;100),AD92,D93)</f>
        <v>62</v>
      </c>
      <c r="F93" t="s">
        <v>2992</v>
      </c>
      <c r="G93" t="str">
        <f t="shared" si="8"/>
        <v>Female</v>
      </c>
      <c r="H93" t="s">
        <v>3006</v>
      </c>
      <c r="I93" t="s">
        <v>3020</v>
      </c>
      <c r="K93" t="str">
        <f t="shared" si="9"/>
        <v>Self-Employed</v>
      </c>
      <c r="L93">
        <v>11</v>
      </c>
      <c r="M93">
        <v>1139192</v>
      </c>
      <c r="N93">
        <f t="shared" si="10"/>
        <v>1139192</v>
      </c>
      <c r="O93">
        <v>161365</v>
      </c>
      <c r="P93">
        <v>21.82</v>
      </c>
      <c r="Q93">
        <v>12</v>
      </c>
      <c r="R93" t="s">
        <v>3047</v>
      </c>
      <c r="S93" t="str">
        <f t="shared" si="11"/>
        <v>Personal</v>
      </c>
      <c r="T93">
        <v>631</v>
      </c>
      <c r="U93">
        <f t="shared" si="12"/>
        <v>631</v>
      </c>
      <c r="V93">
        <v>0</v>
      </c>
      <c r="W93" t="s">
        <v>3055</v>
      </c>
      <c r="X93" s="3" t="s">
        <v>3151</v>
      </c>
      <c r="Y93" s="3">
        <f t="shared" si="13"/>
        <v>44527</v>
      </c>
      <c r="Z93">
        <v>0.1416</v>
      </c>
    </row>
    <row r="94" spans="1:26" x14ac:dyDescent="0.35">
      <c r="A94" t="s">
        <v>109</v>
      </c>
      <c r="B94" t="str">
        <f t="shared" si="7"/>
        <v>OK</v>
      </c>
      <c r="C94" t="s">
        <v>1600</v>
      </c>
      <c r="D94" s="2">
        <v>48</v>
      </c>
      <c r="E94">
        <f>IF(OR(D94&lt;18, D94&gt;100),AD93,D94)</f>
        <v>48</v>
      </c>
      <c r="F94" t="s">
        <v>2990</v>
      </c>
      <c r="G94" t="str">
        <f t="shared" si="8"/>
        <v>Male</v>
      </c>
      <c r="H94" t="s">
        <v>3007</v>
      </c>
      <c r="I94" t="s">
        <v>3020</v>
      </c>
      <c r="K94" t="str">
        <f t="shared" si="9"/>
        <v>Self-Employed</v>
      </c>
      <c r="L94">
        <v>19</v>
      </c>
      <c r="M94">
        <v>1421597</v>
      </c>
      <c r="N94">
        <f t="shared" si="10"/>
        <v>1421597</v>
      </c>
      <c r="O94">
        <v>772922</v>
      </c>
      <c r="P94">
        <v>26.69</v>
      </c>
      <c r="Q94">
        <v>36</v>
      </c>
      <c r="R94" t="s">
        <v>3047</v>
      </c>
      <c r="S94" t="str">
        <f t="shared" si="11"/>
        <v>Personal</v>
      </c>
      <c r="T94">
        <v>437</v>
      </c>
      <c r="U94">
        <f t="shared" si="12"/>
        <v>437</v>
      </c>
      <c r="V94">
        <v>5</v>
      </c>
      <c r="W94" t="s">
        <v>3054</v>
      </c>
      <c r="X94" s="3" t="s">
        <v>3152</v>
      </c>
      <c r="Y94" s="3">
        <f t="shared" si="13"/>
        <v>43989</v>
      </c>
      <c r="Z94">
        <v>0.54369999999999996</v>
      </c>
    </row>
    <row r="95" spans="1:26" x14ac:dyDescent="0.35">
      <c r="A95" t="s">
        <v>110</v>
      </c>
      <c r="B95" t="str">
        <f t="shared" si="7"/>
        <v>OK</v>
      </c>
      <c r="C95" t="s">
        <v>1601</v>
      </c>
      <c r="D95" s="2">
        <v>46</v>
      </c>
      <c r="E95">
        <f>IF(OR(D95&lt;18, D95&gt;100),AD94,D95)</f>
        <v>46</v>
      </c>
      <c r="F95" t="s">
        <v>2992</v>
      </c>
      <c r="G95" t="str">
        <f t="shared" si="8"/>
        <v>Female</v>
      </c>
      <c r="H95" t="s">
        <v>3003</v>
      </c>
      <c r="I95" t="s">
        <v>3020</v>
      </c>
      <c r="K95" t="str">
        <f t="shared" si="9"/>
        <v>Self-Employed</v>
      </c>
      <c r="L95">
        <v>23</v>
      </c>
      <c r="M95">
        <v>2255915</v>
      </c>
      <c r="N95">
        <f t="shared" si="10"/>
        <v>2255915</v>
      </c>
      <c r="O95">
        <v>719746</v>
      </c>
      <c r="P95">
        <v>15.84</v>
      </c>
      <c r="Q95">
        <v>60</v>
      </c>
      <c r="R95" t="s">
        <v>3046</v>
      </c>
      <c r="S95" t="str">
        <f t="shared" si="11"/>
        <v>Medical</v>
      </c>
      <c r="T95">
        <v>566</v>
      </c>
      <c r="U95">
        <f t="shared" si="12"/>
        <v>566</v>
      </c>
      <c r="V95">
        <v>1</v>
      </c>
      <c r="W95" t="s">
        <v>3057</v>
      </c>
      <c r="X95" s="3" t="s">
        <v>3153</v>
      </c>
      <c r="Y95" s="3">
        <f t="shared" si="13"/>
        <v>45079</v>
      </c>
      <c r="Z95">
        <v>0.31900000000000001</v>
      </c>
    </row>
    <row r="96" spans="1:26" x14ac:dyDescent="0.35">
      <c r="A96" t="s">
        <v>111</v>
      </c>
      <c r="B96" t="str">
        <f t="shared" si="7"/>
        <v>OK</v>
      </c>
      <c r="C96" t="s">
        <v>1602</v>
      </c>
      <c r="D96" s="2">
        <v>57</v>
      </c>
      <c r="E96">
        <f>IF(OR(D96&lt;18, D96&gt;100),AD95,D96)</f>
        <v>57</v>
      </c>
      <c r="F96" t="s">
        <v>2990</v>
      </c>
      <c r="G96" t="str">
        <f t="shared" si="8"/>
        <v>Male</v>
      </c>
      <c r="H96" t="s">
        <v>3004</v>
      </c>
      <c r="I96" t="s">
        <v>3020</v>
      </c>
      <c r="K96" t="str">
        <f t="shared" si="9"/>
        <v>Self-Employed</v>
      </c>
      <c r="L96">
        <v>11</v>
      </c>
      <c r="M96">
        <v>666799</v>
      </c>
      <c r="N96">
        <f t="shared" si="10"/>
        <v>666799</v>
      </c>
      <c r="O96">
        <v>37413</v>
      </c>
      <c r="P96">
        <v>11.93</v>
      </c>
      <c r="Q96">
        <v>60</v>
      </c>
      <c r="R96" t="s">
        <v>3046</v>
      </c>
      <c r="S96" t="str">
        <f t="shared" si="11"/>
        <v>Medical</v>
      </c>
      <c r="T96">
        <v>577</v>
      </c>
      <c r="U96">
        <f t="shared" si="12"/>
        <v>577</v>
      </c>
      <c r="V96">
        <v>1</v>
      </c>
      <c r="W96" t="s">
        <v>3056</v>
      </c>
      <c r="X96" s="3" t="s">
        <v>3154</v>
      </c>
      <c r="Y96" s="3">
        <f t="shared" si="13"/>
        <v>44413</v>
      </c>
      <c r="Z96">
        <v>5.6099999999999997E-2</v>
      </c>
    </row>
    <row r="97" spans="1:26" x14ac:dyDescent="0.35">
      <c r="A97" t="s">
        <v>112</v>
      </c>
      <c r="B97" t="str">
        <f t="shared" si="7"/>
        <v>OK</v>
      </c>
      <c r="C97" t="s">
        <v>1603</v>
      </c>
      <c r="D97" s="2">
        <v>56</v>
      </c>
      <c r="E97">
        <f>IF(OR(D97&lt;18, D97&gt;100),AD96,D97)</f>
        <v>56</v>
      </c>
      <c r="F97" t="s">
        <v>2990</v>
      </c>
      <c r="G97" t="str">
        <f t="shared" si="8"/>
        <v>Male</v>
      </c>
      <c r="H97" t="s">
        <v>2999</v>
      </c>
      <c r="I97" t="s">
        <v>3018</v>
      </c>
      <c r="K97" t="str">
        <f t="shared" si="9"/>
        <v>Business Owner</v>
      </c>
      <c r="L97">
        <v>0</v>
      </c>
      <c r="M97">
        <v>583322</v>
      </c>
      <c r="N97">
        <f t="shared" si="10"/>
        <v>583322</v>
      </c>
      <c r="O97">
        <v>760389</v>
      </c>
      <c r="P97">
        <v>16.53</v>
      </c>
      <c r="Q97">
        <v>60</v>
      </c>
      <c r="R97" t="s">
        <v>3051</v>
      </c>
      <c r="S97" t="str">
        <f t="shared" si="11"/>
        <v>Education</v>
      </c>
      <c r="T97">
        <v>692</v>
      </c>
      <c r="U97">
        <f t="shared" si="12"/>
        <v>692</v>
      </c>
      <c r="V97">
        <v>0</v>
      </c>
      <c r="W97" t="s">
        <v>3052</v>
      </c>
      <c r="X97" s="3" t="s">
        <v>3155</v>
      </c>
      <c r="Y97" s="3">
        <f t="shared" si="13"/>
        <v>43909</v>
      </c>
      <c r="Z97">
        <v>1.3035000000000001</v>
      </c>
    </row>
    <row r="98" spans="1:26" x14ac:dyDescent="0.35">
      <c r="A98" t="s">
        <v>113</v>
      </c>
      <c r="B98" t="str">
        <f t="shared" si="7"/>
        <v>OK</v>
      </c>
      <c r="C98" t="s">
        <v>1604</v>
      </c>
      <c r="D98" s="2">
        <v>50</v>
      </c>
      <c r="E98">
        <f>IF(OR(D98&lt;18, D98&gt;100),AD97,D98)</f>
        <v>50</v>
      </c>
      <c r="F98" t="s">
        <v>2990</v>
      </c>
      <c r="G98" t="str">
        <f t="shared" si="8"/>
        <v>Male</v>
      </c>
      <c r="H98" t="s">
        <v>3003</v>
      </c>
      <c r="I98" t="s">
        <v>3019</v>
      </c>
      <c r="K98" t="str">
        <f t="shared" si="9"/>
        <v>Employed</v>
      </c>
      <c r="L98">
        <v>29</v>
      </c>
      <c r="M98">
        <v>574274</v>
      </c>
      <c r="N98">
        <f t="shared" si="10"/>
        <v>574274</v>
      </c>
      <c r="O98">
        <v>785419</v>
      </c>
      <c r="P98">
        <v>14.17</v>
      </c>
      <c r="Q98">
        <v>12</v>
      </c>
      <c r="R98" t="s">
        <v>3046</v>
      </c>
      <c r="S98" t="str">
        <f t="shared" si="11"/>
        <v>Medical</v>
      </c>
      <c r="T98">
        <v>799</v>
      </c>
      <c r="U98">
        <f t="shared" si="12"/>
        <v>799</v>
      </c>
      <c r="V98">
        <v>7</v>
      </c>
      <c r="W98" t="s">
        <v>3057</v>
      </c>
      <c r="X98" s="3" t="s">
        <v>3156</v>
      </c>
      <c r="Y98" s="3">
        <f t="shared" si="13"/>
        <v>45186</v>
      </c>
      <c r="Z98">
        <v>1.3676999999999999</v>
      </c>
    </row>
    <row r="99" spans="1:26" x14ac:dyDescent="0.35">
      <c r="A99" t="s">
        <v>114</v>
      </c>
      <c r="B99" t="str">
        <f t="shared" si="7"/>
        <v>OK</v>
      </c>
      <c r="C99" t="s">
        <v>1605</v>
      </c>
      <c r="D99" s="2">
        <v>60</v>
      </c>
      <c r="E99">
        <f>IF(OR(D99&lt;18, D99&gt;100),AD98,D99)</f>
        <v>60</v>
      </c>
      <c r="F99" t="s">
        <v>2992</v>
      </c>
      <c r="G99" t="str">
        <f t="shared" si="8"/>
        <v>Female</v>
      </c>
      <c r="H99" t="s">
        <v>2998</v>
      </c>
      <c r="I99" t="s">
        <v>3019</v>
      </c>
      <c r="K99" t="str">
        <f t="shared" si="9"/>
        <v>Employed</v>
      </c>
      <c r="L99">
        <v>0</v>
      </c>
      <c r="M99">
        <v>1360788</v>
      </c>
      <c r="N99">
        <f t="shared" si="10"/>
        <v>1360788</v>
      </c>
      <c r="O99">
        <v>65619</v>
      </c>
      <c r="P99">
        <v>14.83</v>
      </c>
      <c r="Q99">
        <v>12</v>
      </c>
      <c r="R99" t="s">
        <v>3048</v>
      </c>
      <c r="S99" t="str">
        <f t="shared" si="11"/>
        <v>Home Improvement</v>
      </c>
      <c r="T99">
        <v>737</v>
      </c>
      <c r="U99">
        <f t="shared" si="12"/>
        <v>737</v>
      </c>
      <c r="V99">
        <v>4</v>
      </c>
      <c r="W99" t="s">
        <v>3053</v>
      </c>
      <c r="X99" s="3" t="s">
        <v>3157</v>
      </c>
      <c r="Y99" s="3">
        <f t="shared" si="13"/>
        <v>44931</v>
      </c>
      <c r="Z99">
        <v>4.82E-2</v>
      </c>
    </row>
    <row r="100" spans="1:26" x14ac:dyDescent="0.35">
      <c r="A100" t="s">
        <v>115</v>
      </c>
      <c r="B100" t="str">
        <f t="shared" si="7"/>
        <v>OK</v>
      </c>
      <c r="C100" t="s">
        <v>1606</v>
      </c>
      <c r="D100" s="2">
        <v>55</v>
      </c>
      <c r="E100">
        <f>IF(OR(D100&lt;18, D100&gt;100),AD99,D100)</f>
        <v>55</v>
      </c>
      <c r="F100" t="s">
        <v>2992</v>
      </c>
      <c r="G100" t="str">
        <f t="shared" si="8"/>
        <v>Female</v>
      </c>
      <c r="H100" t="s">
        <v>3002</v>
      </c>
      <c r="I100" t="s">
        <v>3021</v>
      </c>
      <c r="K100" t="str">
        <f t="shared" si="9"/>
        <v>Unemployed</v>
      </c>
      <c r="L100">
        <v>15</v>
      </c>
      <c r="M100">
        <v>271006</v>
      </c>
      <c r="N100">
        <f t="shared" si="10"/>
        <v>271006</v>
      </c>
      <c r="O100">
        <v>389360</v>
      </c>
      <c r="P100">
        <v>19.29</v>
      </c>
      <c r="Q100">
        <v>24</v>
      </c>
      <c r="R100" t="s">
        <v>3050</v>
      </c>
      <c r="S100" t="str">
        <f t="shared" si="11"/>
        <v>Agriculture</v>
      </c>
      <c r="T100">
        <v>312</v>
      </c>
      <c r="U100">
        <f t="shared" si="12"/>
        <v>312</v>
      </c>
      <c r="V100">
        <v>2</v>
      </c>
      <c r="W100" t="s">
        <v>3052</v>
      </c>
      <c r="X100" s="3" t="s">
        <v>3158</v>
      </c>
      <c r="Y100" s="3">
        <f t="shared" si="13"/>
        <v>44709</v>
      </c>
      <c r="Z100">
        <v>1.4367000000000001</v>
      </c>
    </row>
    <row r="101" spans="1:26" x14ac:dyDescent="0.35">
      <c r="A101" t="s">
        <v>116</v>
      </c>
      <c r="B101" t="str">
        <f t="shared" si="7"/>
        <v>OK</v>
      </c>
      <c r="C101" t="s">
        <v>1607</v>
      </c>
      <c r="D101" s="2">
        <v>33</v>
      </c>
      <c r="E101">
        <f>IF(OR(D101&lt;18, D101&gt;100),AD100,D101)</f>
        <v>33</v>
      </c>
      <c r="F101" t="s">
        <v>2992</v>
      </c>
      <c r="G101" t="str">
        <f t="shared" si="8"/>
        <v>Female</v>
      </c>
      <c r="H101" t="s">
        <v>2999</v>
      </c>
      <c r="I101" t="s">
        <v>3018</v>
      </c>
      <c r="K101" t="str">
        <f t="shared" si="9"/>
        <v>Business Owner</v>
      </c>
      <c r="L101">
        <v>4</v>
      </c>
      <c r="M101">
        <v>882436</v>
      </c>
      <c r="N101">
        <f t="shared" si="10"/>
        <v>882436</v>
      </c>
      <c r="O101">
        <v>796388</v>
      </c>
      <c r="P101">
        <v>25.67</v>
      </c>
      <c r="Q101">
        <v>60</v>
      </c>
      <c r="R101" t="s">
        <v>3050</v>
      </c>
      <c r="S101" t="str">
        <f t="shared" si="11"/>
        <v>Agriculture</v>
      </c>
      <c r="T101">
        <v>403</v>
      </c>
      <c r="U101">
        <f t="shared" si="12"/>
        <v>403</v>
      </c>
      <c r="V101">
        <v>3</v>
      </c>
      <c r="W101" t="s">
        <v>3055</v>
      </c>
      <c r="X101" s="3" t="s">
        <v>3159</v>
      </c>
      <c r="Y101" s="3">
        <f t="shared" si="13"/>
        <v>43962</v>
      </c>
      <c r="Z101">
        <v>0.90249999999999997</v>
      </c>
    </row>
    <row r="102" spans="1:26" x14ac:dyDescent="0.35">
      <c r="A102" t="s">
        <v>117</v>
      </c>
      <c r="B102" t="str">
        <f t="shared" si="7"/>
        <v>OK</v>
      </c>
      <c r="C102" t="s">
        <v>1608</v>
      </c>
      <c r="D102" s="2">
        <v>24</v>
      </c>
      <c r="E102">
        <f>IF(OR(D102&lt;18, D102&gt;100),AD101,D102)</f>
        <v>24</v>
      </c>
      <c r="F102" t="s">
        <v>2992</v>
      </c>
      <c r="G102" t="str">
        <f t="shared" si="8"/>
        <v>Female</v>
      </c>
      <c r="H102" t="s">
        <v>3003</v>
      </c>
      <c r="I102" t="s">
        <v>3020</v>
      </c>
      <c r="K102" t="str">
        <f t="shared" si="9"/>
        <v>Self-Employed</v>
      </c>
      <c r="L102">
        <v>23</v>
      </c>
      <c r="M102">
        <v>1218336</v>
      </c>
      <c r="N102">
        <f t="shared" si="10"/>
        <v>1218336</v>
      </c>
      <c r="O102">
        <v>684846</v>
      </c>
      <c r="P102">
        <v>19.16</v>
      </c>
      <c r="Q102">
        <v>24</v>
      </c>
      <c r="R102" t="s">
        <v>3046</v>
      </c>
      <c r="S102" t="str">
        <f t="shared" si="11"/>
        <v>Medical</v>
      </c>
      <c r="T102">
        <v>380</v>
      </c>
      <c r="U102">
        <f t="shared" si="12"/>
        <v>380</v>
      </c>
      <c r="V102">
        <v>3</v>
      </c>
      <c r="W102" t="s">
        <v>3055</v>
      </c>
      <c r="X102" s="3" t="s">
        <v>3160</v>
      </c>
      <c r="Y102" s="3">
        <f t="shared" si="13"/>
        <v>44188</v>
      </c>
      <c r="Z102">
        <v>0.56210000000000004</v>
      </c>
    </row>
    <row r="103" spans="1:26" x14ac:dyDescent="0.35">
      <c r="A103" t="s">
        <v>118</v>
      </c>
      <c r="B103" t="str">
        <f t="shared" si="7"/>
        <v>OK</v>
      </c>
      <c r="C103" t="s">
        <v>1609</v>
      </c>
      <c r="D103" s="2">
        <v>31</v>
      </c>
      <c r="E103">
        <f>IF(OR(D103&lt;18, D103&gt;100),AD102,D103)</f>
        <v>31</v>
      </c>
      <c r="F103" t="s">
        <v>2990</v>
      </c>
      <c r="G103" t="str">
        <f t="shared" si="8"/>
        <v>Male</v>
      </c>
      <c r="H103" t="s">
        <v>3007</v>
      </c>
      <c r="I103" t="s">
        <v>3018</v>
      </c>
      <c r="K103" t="str">
        <f t="shared" si="9"/>
        <v>Business Owner</v>
      </c>
      <c r="L103">
        <v>28</v>
      </c>
      <c r="M103">
        <v>741165</v>
      </c>
      <c r="N103">
        <f t="shared" si="10"/>
        <v>741165</v>
      </c>
      <c r="O103">
        <v>335014</v>
      </c>
      <c r="P103">
        <v>9.01</v>
      </c>
      <c r="Q103">
        <v>12</v>
      </c>
      <c r="R103" t="s">
        <v>3050</v>
      </c>
      <c r="S103" t="str">
        <f t="shared" si="11"/>
        <v>Agriculture</v>
      </c>
      <c r="T103">
        <v>407</v>
      </c>
      <c r="U103">
        <f t="shared" si="12"/>
        <v>407</v>
      </c>
      <c r="V103">
        <v>3</v>
      </c>
      <c r="W103" t="s">
        <v>3052</v>
      </c>
      <c r="X103" s="3" t="s">
        <v>3161</v>
      </c>
      <c r="Y103" s="3">
        <f t="shared" si="13"/>
        <v>44469</v>
      </c>
      <c r="Z103">
        <v>0.45200000000000001</v>
      </c>
    </row>
    <row r="104" spans="1:26" x14ac:dyDescent="0.35">
      <c r="A104" t="s">
        <v>119</v>
      </c>
      <c r="B104" t="str">
        <f t="shared" si="7"/>
        <v>OK</v>
      </c>
      <c r="C104" t="s">
        <v>1610</v>
      </c>
      <c r="D104" s="2">
        <v>53</v>
      </c>
      <c r="E104">
        <f>IF(OR(D104&lt;18, D104&gt;100),AD103,D104)</f>
        <v>53</v>
      </c>
      <c r="F104" t="s">
        <v>2992</v>
      </c>
      <c r="G104" t="str">
        <f t="shared" si="8"/>
        <v>Female</v>
      </c>
      <c r="H104" t="s">
        <v>3007</v>
      </c>
      <c r="I104" t="s">
        <v>3020</v>
      </c>
      <c r="K104" t="str">
        <f t="shared" si="9"/>
        <v>Self-Employed</v>
      </c>
      <c r="L104">
        <v>14</v>
      </c>
      <c r="M104">
        <v>1274979</v>
      </c>
      <c r="N104">
        <f t="shared" si="10"/>
        <v>1274979</v>
      </c>
      <c r="O104">
        <v>488758</v>
      </c>
      <c r="P104">
        <v>12.82</v>
      </c>
      <c r="Q104">
        <v>60</v>
      </c>
      <c r="R104" t="s">
        <v>3048</v>
      </c>
      <c r="S104" t="str">
        <f t="shared" si="11"/>
        <v>Home Improvement</v>
      </c>
      <c r="T104">
        <v>379</v>
      </c>
      <c r="U104">
        <f t="shared" si="12"/>
        <v>379</v>
      </c>
      <c r="V104">
        <v>7</v>
      </c>
      <c r="W104" t="s">
        <v>3057</v>
      </c>
      <c r="X104" s="3" t="s">
        <v>3162</v>
      </c>
      <c r="Y104" s="3">
        <f t="shared" si="13"/>
        <v>44089</v>
      </c>
      <c r="Z104">
        <v>0.38329999999999997</v>
      </c>
    </row>
    <row r="105" spans="1:26" x14ac:dyDescent="0.35">
      <c r="A105" t="s">
        <v>120</v>
      </c>
      <c r="B105" t="str">
        <f t="shared" si="7"/>
        <v>OK</v>
      </c>
      <c r="C105" t="s">
        <v>1611</v>
      </c>
      <c r="D105" s="2">
        <v>45</v>
      </c>
      <c r="E105">
        <f>IF(OR(D105&lt;18, D105&gt;100),AD104,D105)</f>
        <v>45</v>
      </c>
      <c r="F105" t="s">
        <v>2990</v>
      </c>
      <c r="G105" t="str">
        <f t="shared" si="8"/>
        <v>Male</v>
      </c>
      <c r="H105" t="s">
        <v>3002</v>
      </c>
      <c r="I105" t="s">
        <v>3021</v>
      </c>
      <c r="K105" t="str">
        <f t="shared" si="9"/>
        <v>Unemployed</v>
      </c>
      <c r="L105">
        <v>21</v>
      </c>
      <c r="M105">
        <v>1802572</v>
      </c>
      <c r="N105">
        <f t="shared" si="10"/>
        <v>1802572</v>
      </c>
      <c r="O105">
        <v>492779</v>
      </c>
      <c r="P105">
        <v>12.76</v>
      </c>
      <c r="Q105">
        <v>60</v>
      </c>
      <c r="R105" t="s">
        <v>3047</v>
      </c>
      <c r="S105" t="str">
        <f t="shared" si="11"/>
        <v>Personal</v>
      </c>
      <c r="T105">
        <v>607</v>
      </c>
      <c r="U105">
        <f t="shared" si="12"/>
        <v>607</v>
      </c>
      <c r="V105">
        <v>6</v>
      </c>
      <c r="W105" t="s">
        <v>3057</v>
      </c>
      <c r="X105" s="3" t="s">
        <v>3163</v>
      </c>
      <c r="Y105" s="3">
        <f t="shared" si="13"/>
        <v>44029</v>
      </c>
      <c r="Z105">
        <v>0.27339999999999998</v>
      </c>
    </row>
    <row r="106" spans="1:26" x14ac:dyDescent="0.35">
      <c r="A106" t="s">
        <v>121</v>
      </c>
      <c r="B106" t="str">
        <f t="shared" si="7"/>
        <v>OK</v>
      </c>
      <c r="C106" t="s">
        <v>1612</v>
      </c>
      <c r="D106" s="2">
        <v>21</v>
      </c>
      <c r="E106">
        <f>IF(OR(D106&lt;18, D106&gt;100),AD105,D106)</f>
        <v>21</v>
      </c>
      <c r="F106" t="s">
        <v>2990</v>
      </c>
      <c r="G106" t="str">
        <f t="shared" si="8"/>
        <v>Male</v>
      </c>
      <c r="H106" t="s">
        <v>3005</v>
      </c>
      <c r="I106" t="s">
        <v>3020</v>
      </c>
      <c r="K106" t="str">
        <f t="shared" si="9"/>
        <v>Self-Employed</v>
      </c>
      <c r="L106">
        <v>13</v>
      </c>
      <c r="M106">
        <v>1417715</v>
      </c>
      <c r="N106">
        <f t="shared" si="10"/>
        <v>1417715</v>
      </c>
      <c r="O106">
        <v>493146</v>
      </c>
      <c r="P106">
        <v>26.84</v>
      </c>
      <c r="Q106">
        <v>60</v>
      </c>
      <c r="R106" t="s">
        <v>3047</v>
      </c>
      <c r="S106" t="str">
        <f t="shared" si="11"/>
        <v>Personal</v>
      </c>
      <c r="T106">
        <v>368</v>
      </c>
      <c r="U106">
        <f t="shared" si="12"/>
        <v>368</v>
      </c>
      <c r="V106">
        <v>4</v>
      </c>
      <c r="W106" t="s">
        <v>3057</v>
      </c>
      <c r="X106" s="3" t="s">
        <v>3164</v>
      </c>
      <c r="Y106" s="3">
        <f t="shared" si="13"/>
        <v>44677</v>
      </c>
      <c r="Z106">
        <v>0.3478</v>
      </c>
    </row>
    <row r="107" spans="1:26" x14ac:dyDescent="0.35">
      <c r="A107" t="s">
        <v>122</v>
      </c>
      <c r="B107" t="str">
        <f t="shared" si="7"/>
        <v>OK</v>
      </c>
      <c r="C107" t="s">
        <v>1613</v>
      </c>
      <c r="D107" s="2">
        <v>58</v>
      </c>
      <c r="E107">
        <f>IF(OR(D107&lt;18, D107&gt;100),AD106,D107)</f>
        <v>58</v>
      </c>
      <c r="G107" t="str">
        <f t="shared" si="8"/>
        <v>Unknown</v>
      </c>
      <c r="H107" t="s">
        <v>2998</v>
      </c>
      <c r="I107" t="s">
        <v>3021</v>
      </c>
      <c r="K107" t="str">
        <f t="shared" si="9"/>
        <v>Unemployed</v>
      </c>
      <c r="L107">
        <v>2</v>
      </c>
      <c r="M107">
        <v>1747053</v>
      </c>
      <c r="N107">
        <f t="shared" si="10"/>
        <v>1747053</v>
      </c>
      <c r="O107">
        <v>485226</v>
      </c>
      <c r="P107">
        <v>15.58</v>
      </c>
      <c r="Q107">
        <v>24</v>
      </c>
      <c r="R107" t="s">
        <v>3047</v>
      </c>
      <c r="S107" t="str">
        <f t="shared" si="11"/>
        <v>Personal</v>
      </c>
      <c r="T107">
        <v>738</v>
      </c>
      <c r="U107">
        <f t="shared" si="12"/>
        <v>738</v>
      </c>
      <c r="V107">
        <v>2</v>
      </c>
      <c r="W107" t="s">
        <v>3055</v>
      </c>
      <c r="X107" s="3" t="s">
        <v>3165</v>
      </c>
      <c r="Y107" s="3">
        <f t="shared" si="13"/>
        <v>44374</v>
      </c>
      <c r="Z107">
        <v>0.2777</v>
      </c>
    </row>
    <row r="108" spans="1:26" x14ac:dyDescent="0.35">
      <c r="A108" t="s">
        <v>123</v>
      </c>
      <c r="B108" t="str">
        <f t="shared" si="7"/>
        <v>OK</v>
      </c>
      <c r="C108" t="s">
        <v>1614</v>
      </c>
      <c r="D108" s="2">
        <v>31</v>
      </c>
      <c r="E108">
        <f>IF(OR(D108&lt;18, D108&gt;100),AD107,D108)</f>
        <v>31</v>
      </c>
      <c r="G108" t="str">
        <f t="shared" si="8"/>
        <v>Unknown</v>
      </c>
      <c r="H108" t="s">
        <v>2998</v>
      </c>
      <c r="I108" t="s">
        <v>3018</v>
      </c>
      <c r="K108" t="str">
        <f t="shared" si="9"/>
        <v>Business Owner</v>
      </c>
      <c r="L108">
        <v>2</v>
      </c>
      <c r="M108">
        <v>1658768</v>
      </c>
      <c r="N108">
        <f t="shared" si="10"/>
        <v>1658768</v>
      </c>
      <c r="O108">
        <v>528433</v>
      </c>
      <c r="P108">
        <v>9.6999999999999993</v>
      </c>
      <c r="Q108">
        <v>36</v>
      </c>
      <c r="R108" t="s">
        <v>3047</v>
      </c>
      <c r="S108" t="str">
        <f t="shared" si="11"/>
        <v>Personal</v>
      </c>
      <c r="T108">
        <v>553</v>
      </c>
      <c r="U108">
        <f t="shared" si="12"/>
        <v>553</v>
      </c>
      <c r="V108">
        <v>7</v>
      </c>
      <c r="W108" t="s">
        <v>3056</v>
      </c>
      <c r="X108" s="3" t="s">
        <v>3166</v>
      </c>
      <c r="Y108" s="3">
        <f t="shared" si="13"/>
        <v>44398</v>
      </c>
      <c r="Z108">
        <v>0.31859999999999999</v>
      </c>
    </row>
    <row r="109" spans="1:26" x14ac:dyDescent="0.35">
      <c r="A109" t="s">
        <v>124</v>
      </c>
      <c r="B109" t="str">
        <f t="shared" si="7"/>
        <v>OK</v>
      </c>
      <c r="C109" t="s">
        <v>1615</v>
      </c>
      <c r="D109" s="2">
        <v>46</v>
      </c>
      <c r="E109">
        <f>IF(OR(D109&lt;18, D109&gt;100),AD108,D109)</f>
        <v>46</v>
      </c>
      <c r="F109" t="s">
        <v>2990</v>
      </c>
      <c r="G109" t="str">
        <f t="shared" si="8"/>
        <v>Male</v>
      </c>
      <c r="H109" t="s">
        <v>3002</v>
      </c>
      <c r="I109" t="s">
        <v>3021</v>
      </c>
      <c r="K109" t="str">
        <f t="shared" si="9"/>
        <v>Unemployed</v>
      </c>
      <c r="L109">
        <v>8</v>
      </c>
      <c r="M109">
        <v>2274945</v>
      </c>
      <c r="N109">
        <f t="shared" si="10"/>
        <v>2274945</v>
      </c>
      <c r="O109">
        <v>272388</v>
      </c>
      <c r="P109">
        <v>20.97</v>
      </c>
      <c r="Q109">
        <v>48</v>
      </c>
      <c r="R109" t="s">
        <v>3050</v>
      </c>
      <c r="S109" t="str">
        <f t="shared" si="11"/>
        <v>Agriculture</v>
      </c>
      <c r="T109">
        <v>744</v>
      </c>
      <c r="U109">
        <f t="shared" si="12"/>
        <v>744</v>
      </c>
      <c r="V109">
        <v>0</v>
      </c>
      <c r="W109" t="s">
        <v>3055</v>
      </c>
      <c r="X109" s="3" t="s">
        <v>3167</v>
      </c>
      <c r="Y109" s="3">
        <f t="shared" si="13"/>
        <v>44108</v>
      </c>
      <c r="Z109">
        <v>0.1197</v>
      </c>
    </row>
    <row r="110" spans="1:26" x14ac:dyDescent="0.35">
      <c r="A110" t="s">
        <v>125</v>
      </c>
      <c r="B110" t="str">
        <f t="shared" si="7"/>
        <v>OK</v>
      </c>
      <c r="C110" t="s">
        <v>1616</v>
      </c>
      <c r="D110" s="2">
        <v>57</v>
      </c>
      <c r="E110">
        <f>IF(OR(D110&lt;18, D110&gt;100),AD109,D110)</f>
        <v>57</v>
      </c>
      <c r="F110" t="s">
        <v>2992</v>
      </c>
      <c r="G110" t="str">
        <f t="shared" si="8"/>
        <v>Female</v>
      </c>
      <c r="H110" t="s">
        <v>3001</v>
      </c>
      <c r="I110" t="s">
        <v>3019</v>
      </c>
      <c r="K110" t="str">
        <f t="shared" si="9"/>
        <v>Employed</v>
      </c>
      <c r="L110">
        <v>26</v>
      </c>
      <c r="M110">
        <v>1166753</v>
      </c>
      <c r="N110">
        <f t="shared" si="10"/>
        <v>1166753</v>
      </c>
      <c r="O110">
        <v>173484</v>
      </c>
      <c r="P110">
        <v>27.31</v>
      </c>
      <c r="Q110">
        <v>12</v>
      </c>
      <c r="R110" t="s">
        <v>3051</v>
      </c>
      <c r="S110" t="str">
        <f t="shared" si="11"/>
        <v>Education</v>
      </c>
      <c r="T110">
        <v>370</v>
      </c>
      <c r="U110">
        <f t="shared" si="12"/>
        <v>370</v>
      </c>
      <c r="V110">
        <v>7</v>
      </c>
      <c r="W110" t="s">
        <v>3057</v>
      </c>
      <c r="X110" s="3" t="s">
        <v>3168</v>
      </c>
      <c r="Y110" s="3">
        <f t="shared" si="13"/>
        <v>44473</v>
      </c>
      <c r="Z110">
        <v>0.1487</v>
      </c>
    </row>
    <row r="111" spans="1:26" x14ac:dyDescent="0.35">
      <c r="A111" t="s">
        <v>126</v>
      </c>
      <c r="B111" t="str">
        <f t="shared" si="7"/>
        <v>OK</v>
      </c>
      <c r="C111" t="s">
        <v>1617</v>
      </c>
      <c r="D111" s="2">
        <v>57</v>
      </c>
      <c r="E111">
        <f>IF(OR(D111&lt;18, D111&gt;100),AD110,D111)</f>
        <v>57</v>
      </c>
      <c r="F111" t="s">
        <v>2992</v>
      </c>
      <c r="G111" t="str">
        <f t="shared" si="8"/>
        <v>Female</v>
      </c>
      <c r="H111" t="s">
        <v>3002</v>
      </c>
      <c r="I111" t="s">
        <v>3018</v>
      </c>
      <c r="K111" t="str">
        <f t="shared" si="9"/>
        <v>Business Owner</v>
      </c>
      <c r="L111">
        <v>6</v>
      </c>
      <c r="M111">
        <v>2104914</v>
      </c>
      <c r="N111">
        <f t="shared" si="10"/>
        <v>2104914</v>
      </c>
      <c r="O111">
        <v>694619</v>
      </c>
      <c r="P111">
        <v>10.14</v>
      </c>
      <c r="Q111">
        <v>48</v>
      </c>
      <c r="R111" t="s">
        <v>3048</v>
      </c>
      <c r="S111" t="str">
        <f t="shared" si="11"/>
        <v>Home Improvement</v>
      </c>
      <c r="T111">
        <v>433</v>
      </c>
      <c r="U111">
        <f t="shared" si="12"/>
        <v>433</v>
      </c>
      <c r="V111">
        <v>4</v>
      </c>
      <c r="W111" t="s">
        <v>3053</v>
      </c>
      <c r="X111" s="3" t="s">
        <v>3108</v>
      </c>
      <c r="Y111" s="3">
        <f t="shared" si="13"/>
        <v>45171</v>
      </c>
      <c r="Z111">
        <v>0.33</v>
      </c>
    </row>
    <row r="112" spans="1:26" x14ac:dyDescent="0.35">
      <c r="A112" t="s">
        <v>127</v>
      </c>
      <c r="B112" t="str">
        <f t="shared" si="7"/>
        <v>OK</v>
      </c>
      <c r="C112" t="s">
        <v>1618</v>
      </c>
      <c r="D112" s="2">
        <v>36</v>
      </c>
      <c r="E112">
        <f>IF(OR(D112&lt;18, D112&gt;100),AD111,D112)</f>
        <v>36</v>
      </c>
      <c r="F112" t="s">
        <v>2992</v>
      </c>
      <c r="G112" t="str">
        <f t="shared" si="8"/>
        <v>Female</v>
      </c>
      <c r="H112" t="s">
        <v>3001</v>
      </c>
      <c r="I112" t="s">
        <v>3019</v>
      </c>
      <c r="K112" t="str">
        <f t="shared" si="9"/>
        <v>Employed</v>
      </c>
      <c r="L112">
        <v>25</v>
      </c>
      <c r="M112">
        <v>1705416</v>
      </c>
      <c r="N112">
        <f t="shared" si="10"/>
        <v>1705416</v>
      </c>
      <c r="O112">
        <v>356907</v>
      </c>
      <c r="P112">
        <v>20.55</v>
      </c>
      <c r="Q112">
        <v>12</v>
      </c>
      <c r="R112" t="s">
        <v>3049</v>
      </c>
      <c r="S112" t="str">
        <f t="shared" si="11"/>
        <v>Business</v>
      </c>
      <c r="T112">
        <v>534</v>
      </c>
      <c r="U112">
        <f t="shared" si="12"/>
        <v>534</v>
      </c>
      <c r="V112">
        <v>6</v>
      </c>
      <c r="W112" t="s">
        <v>3052</v>
      </c>
      <c r="X112" s="3" t="s">
        <v>3169</v>
      </c>
      <c r="Y112" s="3">
        <f t="shared" si="13"/>
        <v>44157</v>
      </c>
      <c r="Z112">
        <v>0.20930000000000001</v>
      </c>
    </row>
    <row r="113" spans="1:26" x14ac:dyDescent="0.35">
      <c r="A113" t="s">
        <v>128</v>
      </c>
      <c r="B113" t="str">
        <f t="shared" si="7"/>
        <v>OK</v>
      </c>
      <c r="C113" t="s">
        <v>1619</v>
      </c>
      <c r="D113" s="2">
        <v>39</v>
      </c>
      <c r="E113">
        <f>IF(OR(D113&lt;18, D113&gt;100),AD112,D113)</f>
        <v>39</v>
      </c>
      <c r="F113" t="s">
        <v>2992</v>
      </c>
      <c r="G113" t="str">
        <f t="shared" si="8"/>
        <v>Female</v>
      </c>
      <c r="H113" t="s">
        <v>3004</v>
      </c>
      <c r="I113" t="s">
        <v>3021</v>
      </c>
      <c r="K113" t="str">
        <f t="shared" si="9"/>
        <v>Unemployed</v>
      </c>
      <c r="L113">
        <v>11</v>
      </c>
      <c r="M113">
        <v>1681681</v>
      </c>
      <c r="N113">
        <f t="shared" si="10"/>
        <v>1681681</v>
      </c>
      <c r="O113">
        <v>726673</v>
      </c>
      <c r="P113">
        <v>23.2</v>
      </c>
      <c r="Q113">
        <v>60</v>
      </c>
      <c r="S113" t="str">
        <f t="shared" si="11"/>
        <v>Unknown</v>
      </c>
      <c r="T113">
        <v>342</v>
      </c>
      <c r="U113">
        <f t="shared" si="12"/>
        <v>342</v>
      </c>
      <c r="V113">
        <v>2</v>
      </c>
      <c r="W113" t="s">
        <v>3054</v>
      </c>
      <c r="X113" s="3" t="s">
        <v>3170</v>
      </c>
      <c r="Y113" s="3">
        <f t="shared" si="13"/>
        <v>44262</v>
      </c>
      <c r="Z113">
        <v>0.43209999999999998</v>
      </c>
    </row>
    <row r="114" spans="1:26" x14ac:dyDescent="0.35">
      <c r="A114" t="s">
        <v>129</v>
      </c>
      <c r="B114" t="str">
        <f t="shared" si="7"/>
        <v>OK</v>
      </c>
      <c r="C114" t="s">
        <v>1620</v>
      </c>
      <c r="D114" s="2">
        <v>49</v>
      </c>
      <c r="E114">
        <f>IF(OR(D114&lt;18, D114&gt;100),AD113,D114)</f>
        <v>49</v>
      </c>
      <c r="F114" t="s">
        <v>2992</v>
      </c>
      <c r="G114" t="str">
        <f t="shared" si="8"/>
        <v>Female</v>
      </c>
      <c r="H114" t="s">
        <v>3000</v>
      </c>
      <c r="I114" t="s">
        <v>3021</v>
      </c>
      <c r="K114" t="str">
        <f t="shared" si="9"/>
        <v>Unemployed</v>
      </c>
      <c r="L114">
        <v>27</v>
      </c>
      <c r="M114">
        <v>738516</v>
      </c>
      <c r="N114">
        <f t="shared" si="10"/>
        <v>738516</v>
      </c>
      <c r="O114">
        <v>320856</v>
      </c>
      <c r="P114">
        <v>22.37</v>
      </c>
      <c r="Q114">
        <v>24</v>
      </c>
      <c r="R114" t="s">
        <v>3049</v>
      </c>
      <c r="S114" t="str">
        <f t="shared" si="11"/>
        <v>Business</v>
      </c>
      <c r="T114">
        <v>414</v>
      </c>
      <c r="U114">
        <f t="shared" si="12"/>
        <v>414</v>
      </c>
      <c r="V114">
        <v>2</v>
      </c>
      <c r="W114" t="s">
        <v>3052</v>
      </c>
      <c r="X114" s="3" t="s">
        <v>3171</v>
      </c>
      <c r="Y114" s="3">
        <f t="shared" si="13"/>
        <v>44870</v>
      </c>
      <c r="Z114">
        <v>0.4345</v>
      </c>
    </row>
    <row r="115" spans="1:26" x14ac:dyDescent="0.35">
      <c r="A115" t="s">
        <v>130</v>
      </c>
      <c r="B115" t="str">
        <f t="shared" si="7"/>
        <v>OK</v>
      </c>
      <c r="C115" t="s">
        <v>1621</v>
      </c>
      <c r="D115" s="2">
        <v>61</v>
      </c>
      <c r="E115">
        <f>IF(OR(D115&lt;18, D115&gt;100),AD114,D115)</f>
        <v>61</v>
      </c>
      <c r="F115" t="s">
        <v>2990</v>
      </c>
      <c r="G115" t="str">
        <f t="shared" si="8"/>
        <v>Male</v>
      </c>
      <c r="H115" t="s">
        <v>2999</v>
      </c>
      <c r="I115" t="s">
        <v>3021</v>
      </c>
      <c r="K115" t="str">
        <f t="shared" si="9"/>
        <v>Unemployed</v>
      </c>
      <c r="L115">
        <v>13</v>
      </c>
      <c r="M115">
        <v>2344412</v>
      </c>
      <c r="N115">
        <f t="shared" si="10"/>
        <v>2344412</v>
      </c>
      <c r="O115">
        <v>63764</v>
      </c>
      <c r="P115">
        <v>11.4</v>
      </c>
      <c r="Q115">
        <v>60</v>
      </c>
      <c r="R115" t="s">
        <v>3046</v>
      </c>
      <c r="S115" t="str">
        <f t="shared" si="11"/>
        <v>Medical</v>
      </c>
      <c r="T115">
        <v>716</v>
      </c>
      <c r="U115">
        <f t="shared" si="12"/>
        <v>716</v>
      </c>
      <c r="V115">
        <v>4</v>
      </c>
      <c r="W115" t="s">
        <v>3054</v>
      </c>
      <c r="X115" s="3" t="s">
        <v>3172</v>
      </c>
      <c r="Y115" s="3">
        <f t="shared" si="13"/>
        <v>45132</v>
      </c>
      <c r="Z115">
        <v>2.7199999999999998E-2</v>
      </c>
    </row>
    <row r="116" spans="1:26" x14ac:dyDescent="0.35">
      <c r="A116" t="s">
        <v>131</v>
      </c>
      <c r="B116" t="str">
        <f t="shared" si="7"/>
        <v>OK</v>
      </c>
      <c r="C116" t="s">
        <v>1622</v>
      </c>
      <c r="D116" s="2">
        <v>29</v>
      </c>
      <c r="E116">
        <f>IF(OR(D116&lt;18, D116&gt;100),AD115,D116)</f>
        <v>29</v>
      </c>
      <c r="F116" t="s">
        <v>2992</v>
      </c>
      <c r="G116" t="str">
        <f t="shared" si="8"/>
        <v>Female</v>
      </c>
      <c r="H116" t="s">
        <v>3008</v>
      </c>
      <c r="I116" t="s">
        <v>3019</v>
      </c>
      <c r="K116" t="str">
        <f t="shared" si="9"/>
        <v>Employed</v>
      </c>
      <c r="L116">
        <v>13</v>
      </c>
      <c r="M116">
        <v>444500</v>
      </c>
      <c r="N116">
        <f t="shared" si="10"/>
        <v>444500</v>
      </c>
      <c r="O116">
        <v>260853</v>
      </c>
      <c r="P116">
        <v>17.55</v>
      </c>
      <c r="Q116">
        <v>36</v>
      </c>
      <c r="R116" t="s">
        <v>3046</v>
      </c>
      <c r="S116" t="str">
        <f t="shared" si="11"/>
        <v>Medical</v>
      </c>
      <c r="T116">
        <v>503</v>
      </c>
      <c r="U116">
        <f t="shared" si="12"/>
        <v>503</v>
      </c>
      <c r="V116">
        <v>7</v>
      </c>
      <c r="W116" t="s">
        <v>3056</v>
      </c>
      <c r="X116" s="3" t="s">
        <v>3159</v>
      </c>
      <c r="Y116" s="3">
        <f t="shared" si="13"/>
        <v>43962</v>
      </c>
      <c r="Z116">
        <v>0.58679999999999999</v>
      </c>
    </row>
    <row r="117" spans="1:26" x14ac:dyDescent="0.35">
      <c r="A117" t="s">
        <v>132</v>
      </c>
      <c r="B117" t="str">
        <f t="shared" si="7"/>
        <v>OK</v>
      </c>
      <c r="C117" t="s">
        <v>1623</v>
      </c>
      <c r="D117" s="2">
        <v>64</v>
      </c>
      <c r="E117">
        <f>IF(OR(D117&lt;18, D117&gt;100),AD116,D117)</f>
        <v>64</v>
      </c>
      <c r="F117" t="s">
        <v>2990</v>
      </c>
      <c r="G117" t="str">
        <f t="shared" si="8"/>
        <v>Male</v>
      </c>
      <c r="H117" t="s">
        <v>3010</v>
      </c>
      <c r="I117" t="s">
        <v>3019</v>
      </c>
      <c r="K117" t="str">
        <f t="shared" si="9"/>
        <v>Employed</v>
      </c>
      <c r="L117">
        <v>16</v>
      </c>
      <c r="M117">
        <v>1670036</v>
      </c>
      <c r="N117">
        <f t="shared" si="10"/>
        <v>1670036</v>
      </c>
      <c r="O117">
        <v>515010</v>
      </c>
      <c r="P117">
        <v>22.6</v>
      </c>
      <c r="Q117">
        <v>36</v>
      </c>
      <c r="R117" t="s">
        <v>3048</v>
      </c>
      <c r="S117" t="str">
        <f t="shared" si="11"/>
        <v>Home Improvement</v>
      </c>
      <c r="U117">
        <f t="shared" si="12"/>
        <v>556</v>
      </c>
      <c r="V117">
        <v>5</v>
      </c>
      <c r="W117" t="s">
        <v>3056</v>
      </c>
      <c r="X117" s="3" t="s">
        <v>3173</v>
      </c>
      <c r="Y117" s="3">
        <f t="shared" si="13"/>
        <v>44763</v>
      </c>
      <c r="Z117">
        <v>0.30840000000000001</v>
      </c>
    </row>
    <row r="118" spans="1:26" x14ac:dyDescent="0.35">
      <c r="A118" t="s">
        <v>133</v>
      </c>
      <c r="B118" t="str">
        <f t="shared" si="7"/>
        <v>OK</v>
      </c>
      <c r="C118" t="s">
        <v>1624</v>
      </c>
      <c r="D118" s="2">
        <v>36</v>
      </c>
      <c r="E118">
        <f>IF(OR(D118&lt;18, D118&gt;100),AD117,D118)</f>
        <v>36</v>
      </c>
      <c r="F118" t="s">
        <v>2992</v>
      </c>
      <c r="G118" t="str">
        <f t="shared" si="8"/>
        <v>Female</v>
      </c>
      <c r="H118" t="s">
        <v>3002</v>
      </c>
      <c r="I118" t="s">
        <v>3021</v>
      </c>
      <c r="K118" t="str">
        <f t="shared" si="9"/>
        <v>Unemployed</v>
      </c>
      <c r="L118">
        <v>22</v>
      </c>
      <c r="M118">
        <v>863404</v>
      </c>
      <c r="N118">
        <f t="shared" si="10"/>
        <v>863404</v>
      </c>
      <c r="O118">
        <v>622801</v>
      </c>
      <c r="P118">
        <v>17.670000000000002</v>
      </c>
      <c r="Q118">
        <v>24</v>
      </c>
      <c r="R118" t="s">
        <v>3047</v>
      </c>
      <c r="S118" t="str">
        <f t="shared" si="11"/>
        <v>Personal</v>
      </c>
      <c r="T118">
        <v>410</v>
      </c>
      <c r="U118">
        <f t="shared" si="12"/>
        <v>410</v>
      </c>
      <c r="V118">
        <v>4</v>
      </c>
      <c r="W118" t="s">
        <v>3056</v>
      </c>
      <c r="X118" s="3" t="s">
        <v>3174</v>
      </c>
      <c r="Y118" s="3">
        <f t="shared" si="13"/>
        <v>44039</v>
      </c>
      <c r="Z118">
        <v>0.72130000000000005</v>
      </c>
    </row>
    <row r="119" spans="1:26" x14ac:dyDescent="0.35">
      <c r="A119" t="s">
        <v>134</v>
      </c>
      <c r="B119" t="str">
        <f t="shared" si="7"/>
        <v>OK</v>
      </c>
      <c r="C119" t="s">
        <v>1625</v>
      </c>
      <c r="D119" s="2">
        <v>22</v>
      </c>
      <c r="E119">
        <f>IF(OR(D119&lt;18, D119&gt;100),AD118,D119)</f>
        <v>22</v>
      </c>
      <c r="F119" t="s">
        <v>2990</v>
      </c>
      <c r="G119" t="str">
        <f t="shared" si="8"/>
        <v>Male</v>
      </c>
      <c r="H119" t="s">
        <v>3007</v>
      </c>
      <c r="I119" t="s">
        <v>3019</v>
      </c>
      <c r="K119" t="str">
        <f t="shared" si="9"/>
        <v>Employed</v>
      </c>
      <c r="L119">
        <v>15</v>
      </c>
      <c r="M119">
        <v>1571405</v>
      </c>
      <c r="N119">
        <f t="shared" si="10"/>
        <v>1571405</v>
      </c>
      <c r="O119">
        <v>588242</v>
      </c>
      <c r="P119">
        <v>14.58</v>
      </c>
      <c r="Q119">
        <v>60</v>
      </c>
      <c r="R119" t="s">
        <v>3046</v>
      </c>
      <c r="S119" t="str">
        <f t="shared" si="11"/>
        <v>Medical</v>
      </c>
      <c r="T119">
        <v>506</v>
      </c>
      <c r="U119">
        <f t="shared" si="12"/>
        <v>506</v>
      </c>
      <c r="V119">
        <v>7</v>
      </c>
      <c r="W119" t="s">
        <v>3055</v>
      </c>
      <c r="X119" s="3" t="s">
        <v>3175</v>
      </c>
      <c r="Y119" s="3">
        <f t="shared" si="13"/>
        <v>43873</v>
      </c>
      <c r="Z119">
        <v>0.37430000000000002</v>
      </c>
    </row>
    <row r="120" spans="1:26" x14ac:dyDescent="0.35">
      <c r="A120" t="s">
        <v>135</v>
      </c>
      <c r="B120" t="str">
        <f t="shared" si="7"/>
        <v>OK</v>
      </c>
      <c r="C120" t="s">
        <v>1626</v>
      </c>
      <c r="D120" s="2">
        <v>29</v>
      </c>
      <c r="E120">
        <f>IF(OR(D120&lt;18, D120&gt;100),AD119,D120)</f>
        <v>29</v>
      </c>
      <c r="F120" t="s">
        <v>2990</v>
      </c>
      <c r="G120" t="str">
        <f t="shared" si="8"/>
        <v>Male</v>
      </c>
      <c r="H120" t="s">
        <v>3001</v>
      </c>
      <c r="I120" t="s">
        <v>3021</v>
      </c>
      <c r="K120" t="str">
        <f t="shared" si="9"/>
        <v>Unemployed</v>
      </c>
      <c r="L120">
        <v>2</v>
      </c>
      <c r="M120">
        <v>1464294</v>
      </c>
      <c r="N120">
        <f t="shared" si="10"/>
        <v>1464294</v>
      </c>
      <c r="O120">
        <v>475150</v>
      </c>
      <c r="P120">
        <v>11.44</v>
      </c>
      <c r="Q120">
        <v>60</v>
      </c>
      <c r="R120" t="s">
        <v>3047</v>
      </c>
      <c r="S120" t="str">
        <f t="shared" si="11"/>
        <v>Personal</v>
      </c>
      <c r="T120">
        <v>711</v>
      </c>
      <c r="U120">
        <f t="shared" si="12"/>
        <v>711</v>
      </c>
      <c r="V120">
        <v>0</v>
      </c>
      <c r="W120" t="s">
        <v>3052</v>
      </c>
      <c r="X120" s="3" t="s">
        <v>3176</v>
      </c>
      <c r="Y120" s="3">
        <f t="shared" si="13"/>
        <v>44005</v>
      </c>
      <c r="Z120">
        <v>0.32450000000000001</v>
      </c>
    </row>
    <row r="121" spans="1:26" x14ac:dyDescent="0.35">
      <c r="A121" t="s">
        <v>136</v>
      </c>
      <c r="B121" t="str">
        <f t="shared" si="7"/>
        <v>OK</v>
      </c>
      <c r="C121" t="s">
        <v>1627</v>
      </c>
      <c r="D121" s="2">
        <v>61</v>
      </c>
      <c r="E121">
        <f>IF(OR(D121&lt;18, D121&gt;100),AD120,D121)</f>
        <v>61</v>
      </c>
      <c r="F121" t="s">
        <v>2990</v>
      </c>
      <c r="G121" t="str">
        <f t="shared" si="8"/>
        <v>Male</v>
      </c>
      <c r="H121" t="s">
        <v>3005</v>
      </c>
      <c r="I121" t="s">
        <v>3018</v>
      </c>
      <c r="K121" t="str">
        <f t="shared" si="9"/>
        <v>Business Owner</v>
      </c>
      <c r="L121">
        <v>7</v>
      </c>
      <c r="M121">
        <v>753441</v>
      </c>
      <c r="N121">
        <f t="shared" si="10"/>
        <v>753441</v>
      </c>
      <c r="O121">
        <v>727173</v>
      </c>
      <c r="P121">
        <v>10.33</v>
      </c>
      <c r="Q121">
        <v>24</v>
      </c>
      <c r="R121" t="s">
        <v>3047</v>
      </c>
      <c r="S121" t="str">
        <f t="shared" si="11"/>
        <v>Personal</v>
      </c>
      <c r="T121">
        <v>617</v>
      </c>
      <c r="U121">
        <f t="shared" si="12"/>
        <v>617</v>
      </c>
      <c r="V121">
        <v>2</v>
      </c>
      <c r="W121" t="s">
        <v>3059</v>
      </c>
      <c r="X121" s="3" t="s">
        <v>3177</v>
      </c>
      <c r="Y121" s="3">
        <f t="shared" si="13"/>
        <v>45078</v>
      </c>
      <c r="Z121">
        <v>0.96509999999999996</v>
      </c>
    </row>
    <row r="122" spans="1:26" x14ac:dyDescent="0.35">
      <c r="A122" t="s">
        <v>137</v>
      </c>
      <c r="B122" t="str">
        <f t="shared" si="7"/>
        <v>OK</v>
      </c>
      <c r="C122" t="s">
        <v>1628</v>
      </c>
      <c r="D122" s="2">
        <v>38</v>
      </c>
      <c r="E122">
        <f>IF(OR(D122&lt;18, D122&gt;100),AD121,D122)</f>
        <v>38</v>
      </c>
      <c r="G122" t="str">
        <f t="shared" si="8"/>
        <v>Unknown</v>
      </c>
      <c r="H122" t="s">
        <v>3007</v>
      </c>
      <c r="I122" t="s">
        <v>3018</v>
      </c>
      <c r="K122" t="str">
        <f t="shared" si="9"/>
        <v>Business Owner</v>
      </c>
      <c r="L122">
        <v>4</v>
      </c>
      <c r="M122">
        <v>1914339</v>
      </c>
      <c r="N122">
        <f t="shared" si="10"/>
        <v>1914339</v>
      </c>
      <c r="O122">
        <v>541396</v>
      </c>
      <c r="P122">
        <v>15.9</v>
      </c>
      <c r="Q122">
        <v>48</v>
      </c>
      <c r="R122" t="s">
        <v>3049</v>
      </c>
      <c r="S122" t="str">
        <f t="shared" si="11"/>
        <v>Business</v>
      </c>
      <c r="T122">
        <v>710</v>
      </c>
      <c r="U122">
        <f t="shared" si="12"/>
        <v>710</v>
      </c>
      <c r="V122">
        <v>0</v>
      </c>
      <c r="W122" t="s">
        <v>3057</v>
      </c>
      <c r="X122" s="3" t="s">
        <v>3178</v>
      </c>
      <c r="Y122" s="3">
        <f t="shared" si="13"/>
        <v>44015</v>
      </c>
      <c r="Z122">
        <v>0.2828</v>
      </c>
    </row>
    <row r="123" spans="1:26" x14ac:dyDescent="0.35">
      <c r="A123" t="s">
        <v>138</v>
      </c>
      <c r="B123" t="str">
        <f t="shared" si="7"/>
        <v>OK</v>
      </c>
      <c r="C123" t="s">
        <v>1629</v>
      </c>
      <c r="D123" s="2">
        <v>40</v>
      </c>
      <c r="E123">
        <f>IF(OR(D123&lt;18, D123&gt;100),AD122,D123)</f>
        <v>40</v>
      </c>
      <c r="F123" t="s">
        <v>2990</v>
      </c>
      <c r="G123" t="str">
        <f t="shared" si="8"/>
        <v>Male</v>
      </c>
      <c r="H123" t="s">
        <v>2999</v>
      </c>
      <c r="I123" t="s">
        <v>3019</v>
      </c>
      <c r="K123" t="str">
        <f t="shared" si="9"/>
        <v>Employed</v>
      </c>
      <c r="L123">
        <v>22</v>
      </c>
      <c r="M123">
        <v>1958539</v>
      </c>
      <c r="N123">
        <f t="shared" si="10"/>
        <v>1958539</v>
      </c>
      <c r="O123">
        <v>779785</v>
      </c>
      <c r="P123">
        <v>11.49</v>
      </c>
      <c r="Q123">
        <v>60</v>
      </c>
      <c r="R123" t="s">
        <v>3051</v>
      </c>
      <c r="S123" t="str">
        <f t="shared" si="11"/>
        <v>Education</v>
      </c>
      <c r="T123">
        <v>408</v>
      </c>
      <c r="U123">
        <f t="shared" si="12"/>
        <v>408</v>
      </c>
      <c r="V123">
        <v>2</v>
      </c>
      <c r="W123" t="s">
        <v>3056</v>
      </c>
      <c r="X123" s="3" t="s">
        <v>3179</v>
      </c>
      <c r="Y123" s="3">
        <f t="shared" si="13"/>
        <v>44429</v>
      </c>
      <c r="Z123">
        <v>0.39810000000000001</v>
      </c>
    </row>
    <row r="124" spans="1:26" x14ac:dyDescent="0.35">
      <c r="A124" t="s">
        <v>139</v>
      </c>
      <c r="B124" t="str">
        <f t="shared" si="7"/>
        <v>OK</v>
      </c>
      <c r="C124" t="s">
        <v>1630</v>
      </c>
      <c r="D124" s="2">
        <v>40</v>
      </c>
      <c r="E124">
        <f>IF(OR(D124&lt;18, D124&gt;100),AD123,D124)</f>
        <v>40</v>
      </c>
      <c r="F124" t="s">
        <v>2990</v>
      </c>
      <c r="G124" t="str">
        <f t="shared" si="8"/>
        <v>Male</v>
      </c>
      <c r="H124" t="s">
        <v>3006</v>
      </c>
      <c r="I124" t="s">
        <v>3018</v>
      </c>
      <c r="K124" t="str">
        <f t="shared" si="9"/>
        <v>Business Owner</v>
      </c>
      <c r="L124">
        <v>3</v>
      </c>
      <c r="M124">
        <v>2148541</v>
      </c>
      <c r="N124">
        <f t="shared" si="10"/>
        <v>2148541</v>
      </c>
      <c r="O124">
        <v>758096</v>
      </c>
      <c r="P124">
        <v>20.09</v>
      </c>
      <c r="Q124">
        <v>24</v>
      </c>
      <c r="R124" t="s">
        <v>3047</v>
      </c>
      <c r="S124" t="str">
        <f t="shared" si="11"/>
        <v>Personal</v>
      </c>
      <c r="T124">
        <v>794</v>
      </c>
      <c r="U124">
        <f t="shared" si="12"/>
        <v>794</v>
      </c>
      <c r="V124">
        <v>1</v>
      </c>
      <c r="W124" t="s">
        <v>3055</v>
      </c>
      <c r="X124" s="3" t="s">
        <v>3180</v>
      </c>
      <c r="Y124" s="3">
        <f t="shared" si="13"/>
        <v>44052</v>
      </c>
      <c r="Z124">
        <v>0.3528</v>
      </c>
    </row>
    <row r="125" spans="1:26" x14ac:dyDescent="0.35">
      <c r="A125" t="s">
        <v>140</v>
      </c>
      <c r="B125" t="str">
        <f t="shared" si="7"/>
        <v>OK</v>
      </c>
      <c r="C125" t="s">
        <v>1631</v>
      </c>
      <c r="D125" s="2">
        <v>22</v>
      </c>
      <c r="E125">
        <f>IF(OR(D125&lt;18, D125&gt;100),AD124,D125)</f>
        <v>22</v>
      </c>
      <c r="F125" t="s">
        <v>2990</v>
      </c>
      <c r="G125" t="str">
        <f t="shared" si="8"/>
        <v>Male</v>
      </c>
      <c r="H125" t="s">
        <v>3003</v>
      </c>
      <c r="I125" t="s">
        <v>3020</v>
      </c>
      <c r="K125" t="str">
        <f t="shared" si="9"/>
        <v>Self-Employed</v>
      </c>
      <c r="L125">
        <v>1</v>
      </c>
      <c r="M125">
        <v>395048</v>
      </c>
      <c r="N125">
        <f t="shared" si="10"/>
        <v>395048</v>
      </c>
      <c r="O125">
        <v>707605</v>
      </c>
      <c r="P125">
        <v>10.37</v>
      </c>
      <c r="Q125">
        <v>48</v>
      </c>
      <c r="R125" t="s">
        <v>3046</v>
      </c>
      <c r="S125" t="str">
        <f t="shared" si="11"/>
        <v>Medical</v>
      </c>
      <c r="T125">
        <v>461</v>
      </c>
      <c r="U125">
        <f t="shared" si="12"/>
        <v>461</v>
      </c>
      <c r="V125">
        <v>6</v>
      </c>
      <c r="W125" t="s">
        <v>3054</v>
      </c>
      <c r="X125" s="3" t="s">
        <v>3181</v>
      </c>
      <c r="Y125" s="3">
        <f t="shared" si="13"/>
        <v>43992</v>
      </c>
      <c r="Z125">
        <v>1.7911999999999999</v>
      </c>
    </row>
    <row r="126" spans="1:26" x14ac:dyDescent="0.35">
      <c r="A126" t="s">
        <v>141</v>
      </c>
      <c r="B126" t="str">
        <f t="shared" si="7"/>
        <v>OK</v>
      </c>
      <c r="C126" t="s">
        <v>1632</v>
      </c>
      <c r="D126" s="2">
        <v>64</v>
      </c>
      <c r="E126">
        <f>IF(OR(D126&lt;18, D126&gt;100),AD125,D126)</f>
        <v>64</v>
      </c>
      <c r="F126" t="s">
        <v>2992</v>
      </c>
      <c r="G126" t="str">
        <f t="shared" si="8"/>
        <v>Female</v>
      </c>
      <c r="H126" t="s">
        <v>3003</v>
      </c>
      <c r="I126" t="s">
        <v>3019</v>
      </c>
      <c r="K126" t="str">
        <f t="shared" si="9"/>
        <v>Employed</v>
      </c>
      <c r="L126">
        <v>24</v>
      </c>
      <c r="M126">
        <v>831406</v>
      </c>
      <c r="N126">
        <f t="shared" si="10"/>
        <v>831406</v>
      </c>
      <c r="O126">
        <v>458080</v>
      </c>
      <c r="P126">
        <v>25.97</v>
      </c>
      <c r="Q126">
        <v>36</v>
      </c>
      <c r="R126" t="s">
        <v>3049</v>
      </c>
      <c r="S126" t="str">
        <f t="shared" si="11"/>
        <v>Business</v>
      </c>
      <c r="T126">
        <v>520</v>
      </c>
      <c r="U126">
        <f t="shared" si="12"/>
        <v>520</v>
      </c>
      <c r="V126">
        <v>7</v>
      </c>
      <c r="W126" t="s">
        <v>3055</v>
      </c>
      <c r="X126" s="3" t="s">
        <v>3182</v>
      </c>
      <c r="Y126" s="3">
        <f t="shared" si="13"/>
        <v>44831</v>
      </c>
      <c r="Z126">
        <v>0.55100000000000005</v>
      </c>
    </row>
    <row r="127" spans="1:26" x14ac:dyDescent="0.35">
      <c r="A127" t="s">
        <v>142</v>
      </c>
      <c r="B127" t="str">
        <f t="shared" si="7"/>
        <v>OK</v>
      </c>
      <c r="C127" t="s">
        <v>1633</v>
      </c>
      <c r="D127" s="2">
        <v>62</v>
      </c>
      <c r="E127">
        <f>IF(OR(D127&lt;18, D127&gt;100),AD126,D127)</f>
        <v>62</v>
      </c>
      <c r="F127" t="s">
        <v>2990</v>
      </c>
      <c r="G127" t="str">
        <f t="shared" si="8"/>
        <v>Male</v>
      </c>
      <c r="H127" t="s">
        <v>3006</v>
      </c>
      <c r="I127" t="s">
        <v>3021</v>
      </c>
      <c r="K127" t="str">
        <f t="shared" si="9"/>
        <v>Unemployed</v>
      </c>
      <c r="L127">
        <v>8</v>
      </c>
      <c r="M127">
        <v>1130162</v>
      </c>
      <c r="N127">
        <f t="shared" si="10"/>
        <v>1130162</v>
      </c>
      <c r="O127">
        <v>104607</v>
      </c>
      <c r="P127">
        <v>15.4</v>
      </c>
      <c r="Q127">
        <v>48</v>
      </c>
      <c r="R127" t="s">
        <v>3046</v>
      </c>
      <c r="S127" t="str">
        <f t="shared" si="11"/>
        <v>Medical</v>
      </c>
      <c r="T127">
        <v>408</v>
      </c>
      <c r="U127">
        <f t="shared" si="12"/>
        <v>408</v>
      </c>
      <c r="V127">
        <v>5</v>
      </c>
      <c r="W127" t="s">
        <v>3053</v>
      </c>
      <c r="X127" s="3" t="s">
        <v>3183</v>
      </c>
      <c r="Y127" s="3">
        <f t="shared" si="13"/>
        <v>44122</v>
      </c>
      <c r="Z127">
        <v>9.2600000000000002E-2</v>
      </c>
    </row>
    <row r="128" spans="1:26" x14ac:dyDescent="0.35">
      <c r="A128" t="s">
        <v>143</v>
      </c>
      <c r="B128" t="str">
        <f t="shared" si="7"/>
        <v>OK</v>
      </c>
      <c r="C128" t="s">
        <v>1634</v>
      </c>
      <c r="D128" s="2">
        <v>43</v>
      </c>
      <c r="E128">
        <f>IF(OR(D128&lt;18, D128&gt;100),AD127,D128)</f>
        <v>43</v>
      </c>
      <c r="G128" t="str">
        <f t="shared" si="8"/>
        <v>Unknown</v>
      </c>
      <c r="H128" t="s">
        <v>3001</v>
      </c>
      <c r="I128" t="s">
        <v>3019</v>
      </c>
      <c r="K128" t="str">
        <f t="shared" si="9"/>
        <v>Employed</v>
      </c>
      <c r="L128">
        <v>22</v>
      </c>
      <c r="M128">
        <v>2026198</v>
      </c>
      <c r="N128">
        <f t="shared" si="10"/>
        <v>2026198</v>
      </c>
      <c r="O128">
        <v>429319</v>
      </c>
      <c r="P128">
        <v>20.7</v>
      </c>
      <c r="Q128">
        <v>24</v>
      </c>
      <c r="R128" t="s">
        <v>3049</v>
      </c>
      <c r="S128" t="str">
        <f t="shared" si="11"/>
        <v>Business</v>
      </c>
      <c r="T128">
        <v>556</v>
      </c>
      <c r="U128">
        <f t="shared" si="12"/>
        <v>556</v>
      </c>
      <c r="V128">
        <v>1</v>
      </c>
      <c r="W128" t="s">
        <v>3052</v>
      </c>
      <c r="X128" s="3" t="s">
        <v>3184</v>
      </c>
      <c r="Y128" s="3">
        <v>45161</v>
      </c>
      <c r="Z128">
        <v>0.21190000000000001</v>
      </c>
    </row>
    <row r="129" spans="1:26" x14ac:dyDescent="0.35">
      <c r="A129" t="s">
        <v>144</v>
      </c>
      <c r="B129" t="str">
        <f t="shared" si="7"/>
        <v>OK</v>
      </c>
      <c r="C129" t="s">
        <v>1635</v>
      </c>
      <c r="D129" s="2">
        <v>41</v>
      </c>
      <c r="E129">
        <f>IF(OR(D129&lt;18, D129&gt;100),AD128,D129)</f>
        <v>41</v>
      </c>
      <c r="F129" t="s">
        <v>2990</v>
      </c>
      <c r="G129" t="str">
        <f t="shared" si="8"/>
        <v>Male</v>
      </c>
      <c r="H129" t="s">
        <v>3000</v>
      </c>
      <c r="I129" t="s">
        <v>3018</v>
      </c>
      <c r="K129" t="str">
        <f t="shared" si="9"/>
        <v>Business Owner</v>
      </c>
      <c r="L129">
        <v>1</v>
      </c>
      <c r="M129">
        <v>2264508</v>
      </c>
      <c r="N129">
        <f t="shared" si="10"/>
        <v>2264508</v>
      </c>
      <c r="O129">
        <v>711319</v>
      </c>
      <c r="P129">
        <v>27.07</v>
      </c>
      <c r="Q129">
        <v>48</v>
      </c>
      <c r="R129" t="s">
        <v>3049</v>
      </c>
      <c r="S129" t="str">
        <f t="shared" si="11"/>
        <v>Business</v>
      </c>
      <c r="T129">
        <v>322</v>
      </c>
      <c r="U129">
        <f t="shared" si="12"/>
        <v>322</v>
      </c>
      <c r="V129">
        <v>1</v>
      </c>
      <c r="W129" t="s">
        <v>3057</v>
      </c>
      <c r="X129" s="3" t="s">
        <v>3185</v>
      </c>
      <c r="Y129" s="3">
        <f t="shared" si="13"/>
        <v>44147</v>
      </c>
      <c r="Z129">
        <v>0.31409999999999999</v>
      </c>
    </row>
    <row r="130" spans="1:26" x14ac:dyDescent="0.35">
      <c r="A130" t="s">
        <v>145</v>
      </c>
      <c r="B130" t="str">
        <f t="shared" ref="B130:B193" si="14">IF(A130="", "MISSING", "OK")</f>
        <v>OK</v>
      </c>
      <c r="C130" t="s">
        <v>1636</v>
      </c>
      <c r="D130" s="2">
        <v>43</v>
      </c>
      <c r="E130">
        <f>IF(OR(D130&lt;18, D130&gt;100),AD129,D130)</f>
        <v>43</v>
      </c>
      <c r="F130" t="s">
        <v>2992</v>
      </c>
      <c r="G130" t="str">
        <f t="shared" si="8"/>
        <v>Female</v>
      </c>
      <c r="H130" t="s">
        <v>3006</v>
      </c>
      <c r="I130" t="s">
        <v>3021</v>
      </c>
      <c r="K130" t="str">
        <f t="shared" si="9"/>
        <v>Unemployed</v>
      </c>
      <c r="L130">
        <v>15</v>
      </c>
      <c r="M130">
        <v>1750057</v>
      </c>
      <c r="N130">
        <f t="shared" si="10"/>
        <v>1750057</v>
      </c>
      <c r="O130">
        <v>655873</v>
      </c>
      <c r="P130">
        <v>14.27</v>
      </c>
      <c r="Q130">
        <v>60</v>
      </c>
      <c r="R130" t="s">
        <v>3050</v>
      </c>
      <c r="S130" t="str">
        <f t="shared" si="11"/>
        <v>Agriculture</v>
      </c>
      <c r="T130">
        <v>379</v>
      </c>
      <c r="U130">
        <f t="shared" si="12"/>
        <v>379</v>
      </c>
      <c r="V130">
        <v>4</v>
      </c>
      <c r="W130" t="s">
        <v>3057</v>
      </c>
      <c r="X130" s="3" t="s">
        <v>3186</v>
      </c>
      <c r="Y130" s="3">
        <f t="shared" si="13"/>
        <v>44950</v>
      </c>
      <c r="Z130">
        <v>0.37480000000000002</v>
      </c>
    </row>
    <row r="131" spans="1:26" x14ac:dyDescent="0.35">
      <c r="A131" t="s">
        <v>146</v>
      </c>
      <c r="B131" t="str">
        <f t="shared" si="14"/>
        <v>OK</v>
      </c>
      <c r="C131" t="s">
        <v>1637</v>
      </c>
      <c r="D131" s="2">
        <v>44</v>
      </c>
      <c r="E131">
        <f>IF(OR(D131&lt;18, D131&gt;100),AD130,D131)</f>
        <v>44</v>
      </c>
      <c r="F131" t="s">
        <v>2992</v>
      </c>
      <c r="G131" t="str">
        <f t="shared" ref="G131:G194" si="15">IF(F131="", "Unknown", IF(OR(F131="F", F131="FEMALE", F131="Female"), "Female", IF(OR(F131="M", F131="MALE", F131="Male"), "Male", "Other")))</f>
        <v>Female</v>
      </c>
      <c r="H131" t="s">
        <v>3003</v>
      </c>
      <c r="I131" t="s">
        <v>3021</v>
      </c>
      <c r="K131" t="str">
        <f t="shared" ref="K131:K194" si="16">IF(I131="", "Unknown", I131)</f>
        <v>Unemployed</v>
      </c>
      <c r="L131">
        <v>25</v>
      </c>
      <c r="M131">
        <v>1745070</v>
      </c>
      <c r="N131">
        <f t="shared" ref="N131:N194" si="17">IF(OR(M131="",M131&lt;0),$AD$3,M131)</f>
        <v>1745070</v>
      </c>
      <c r="O131">
        <v>313925</v>
      </c>
      <c r="P131">
        <v>11.23</v>
      </c>
      <c r="Q131">
        <v>60</v>
      </c>
      <c r="R131" t="s">
        <v>3046</v>
      </c>
      <c r="S131" t="str">
        <f t="shared" ref="S131:S194" si="18">IF(R131="", "Unknown", R131)</f>
        <v>Medical</v>
      </c>
      <c r="T131">
        <v>730</v>
      </c>
      <c r="U131">
        <f t="shared" ref="U131:U194" si="19">IF(OR(T131="",T131&gt;999),$AD$2,T131)</f>
        <v>730</v>
      </c>
      <c r="V131">
        <v>5</v>
      </c>
      <c r="W131" t="s">
        <v>3057</v>
      </c>
      <c r="X131" s="3" t="s">
        <v>3187</v>
      </c>
      <c r="Y131" s="3">
        <f t="shared" ref="Y131:Y194" si="20">IF(ISNUMBER(X131), X131, DATEVALUE(X131))</f>
        <v>44078</v>
      </c>
      <c r="Z131">
        <v>0.1799</v>
      </c>
    </row>
    <row r="132" spans="1:26" x14ac:dyDescent="0.35">
      <c r="A132" t="s">
        <v>147</v>
      </c>
      <c r="B132" t="str">
        <f t="shared" si="14"/>
        <v>OK</v>
      </c>
      <c r="C132" t="s">
        <v>1638</v>
      </c>
      <c r="D132" s="2">
        <v>38</v>
      </c>
      <c r="E132">
        <f>IF(OR(D132&lt;18, D132&gt;100),AD131,D132)</f>
        <v>38</v>
      </c>
      <c r="F132" t="s">
        <v>2990</v>
      </c>
      <c r="G132" t="str">
        <f t="shared" si="15"/>
        <v>Male</v>
      </c>
      <c r="H132" t="s">
        <v>3001</v>
      </c>
      <c r="I132" t="s">
        <v>3021</v>
      </c>
      <c r="K132" t="str">
        <f t="shared" si="16"/>
        <v>Unemployed</v>
      </c>
      <c r="L132">
        <v>15</v>
      </c>
      <c r="M132">
        <v>1738242</v>
      </c>
      <c r="N132">
        <f t="shared" si="17"/>
        <v>1738242</v>
      </c>
      <c r="O132">
        <v>655274</v>
      </c>
      <c r="P132">
        <v>11.8</v>
      </c>
      <c r="Q132">
        <v>60</v>
      </c>
      <c r="R132" t="s">
        <v>3050</v>
      </c>
      <c r="S132" t="str">
        <f t="shared" si="18"/>
        <v>Agriculture</v>
      </c>
      <c r="T132">
        <v>421</v>
      </c>
      <c r="U132">
        <f t="shared" si="19"/>
        <v>421</v>
      </c>
      <c r="V132">
        <v>2</v>
      </c>
      <c r="W132" t="s">
        <v>3052</v>
      </c>
      <c r="X132" s="3" t="s">
        <v>3188</v>
      </c>
      <c r="Y132" s="3">
        <f t="shared" si="20"/>
        <v>45018</v>
      </c>
      <c r="Z132">
        <v>0.377</v>
      </c>
    </row>
    <row r="133" spans="1:26" x14ac:dyDescent="0.35">
      <c r="A133" t="s">
        <v>148</v>
      </c>
      <c r="B133" t="str">
        <f t="shared" si="14"/>
        <v>OK</v>
      </c>
      <c r="C133" t="s">
        <v>1639</v>
      </c>
      <c r="D133" s="2">
        <v>23</v>
      </c>
      <c r="E133">
        <f>IF(OR(D133&lt;18, D133&gt;100),AD132,D133)</f>
        <v>23</v>
      </c>
      <c r="F133" t="s">
        <v>2990</v>
      </c>
      <c r="G133" t="str">
        <f t="shared" si="15"/>
        <v>Male</v>
      </c>
      <c r="H133" t="s">
        <v>3000</v>
      </c>
      <c r="I133" t="s">
        <v>3019</v>
      </c>
      <c r="K133" t="str">
        <f t="shared" si="16"/>
        <v>Employed</v>
      </c>
      <c r="L133">
        <v>23</v>
      </c>
      <c r="M133">
        <v>1889375</v>
      </c>
      <c r="N133">
        <f t="shared" si="17"/>
        <v>1889375</v>
      </c>
      <c r="O133">
        <v>739979</v>
      </c>
      <c r="P133">
        <v>21.45</v>
      </c>
      <c r="Q133">
        <v>24</v>
      </c>
      <c r="R133" t="s">
        <v>3048</v>
      </c>
      <c r="S133" t="str">
        <f t="shared" si="18"/>
        <v>Home Improvement</v>
      </c>
      <c r="T133">
        <v>633</v>
      </c>
      <c r="U133">
        <f t="shared" si="19"/>
        <v>633</v>
      </c>
      <c r="V133">
        <v>6</v>
      </c>
      <c r="W133" t="s">
        <v>3053</v>
      </c>
      <c r="X133" s="3" t="s">
        <v>3189</v>
      </c>
      <c r="Y133" s="3">
        <f t="shared" si="20"/>
        <v>44522</v>
      </c>
      <c r="Z133">
        <v>0.39169999999999999</v>
      </c>
    </row>
    <row r="134" spans="1:26" x14ac:dyDescent="0.35">
      <c r="A134" t="s">
        <v>149</v>
      </c>
      <c r="B134" t="str">
        <f t="shared" si="14"/>
        <v>OK</v>
      </c>
      <c r="C134" t="s">
        <v>1640</v>
      </c>
      <c r="D134" s="2">
        <v>31</v>
      </c>
      <c r="E134">
        <f>IF(OR(D134&lt;18, D134&gt;100),AD133,D134)</f>
        <v>31</v>
      </c>
      <c r="G134" t="str">
        <f t="shared" si="15"/>
        <v>Unknown</v>
      </c>
      <c r="H134" t="s">
        <v>2999</v>
      </c>
      <c r="I134" t="s">
        <v>3020</v>
      </c>
      <c r="K134" t="str">
        <f t="shared" si="16"/>
        <v>Self-Employed</v>
      </c>
      <c r="L134">
        <v>20</v>
      </c>
      <c r="M134">
        <v>1945524</v>
      </c>
      <c r="N134">
        <f t="shared" si="17"/>
        <v>1945524</v>
      </c>
      <c r="O134">
        <v>666238</v>
      </c>
      <c r="P134">
        <v>20.27</v>
      </c>
      <c r="Q134">
        <v>60</v>
      </c>
      <c r="R134" t="s">
        <v>3050</v>
      </c>
      <c r="S134" t="str">
        <f t="shared" si="18"/>
        <v>Agriculture</v>
      </c>
      <c r="T134">
        <v>458</v>
      </c>
      <c r="U134">
        <f t="shared" si="19"/>
        <v>458</v>
      </c>
      <c r="V134">
        <v>4</v>
      </c>
      <c r="W134" t="s">
        <v>3052</v>
      </c>
      <c r="X134" s="3" t="s">
        <v>3190</v>
      </c>
      <c r="Y134" s="3">
        <f t="shared" si="20"/>
        <v>45198</v>
      </c>
      <c r="Z134">
        <v>0.34239999999999998</v>
      </c>
    </row>
    <row r="135" spans="1:26" x14ac:dyDescent="0.35">
      <c r="A135" t="s">
        <v>150</v>
      </c>
      <c r="B135" t="str">
        <f t="shared" si="14"/>
        <v>OK</v>
      </c>
      <c r="C135" t="s">
        <v>1641</v>
      </c>
      <c r="D135" s="2">
        <v>27</v>
      </c>
      <c r="E135">
        <f>IF(OR(D135&lt;18, D135&gt;100),AD134,D135)</f>
        <v>27</v>
      </c>
      <c r="F135" t="s">
        <v>2990</v>
      </c>
      <c r="G135" t="str">
        <f t="shared" si="15"/>
        <v>Male</v>
      </c>
      <c r="H135" t="s">
        <v>3004</v>
      </c>
      <c r="I135" t="s">
        <v>3021</v>
      </c>
      <c r="K135" t="str">
        <f t="shared" si="16"/>
        <v>Unemployed</v>
      </c>
      <c r="L135">
        <v>0</v>
      </c>
      <c r="M135">
        <v>848755</v>
      </c>
      <c r="N135">
        <f t="shared" si="17"/>
        <v>848755</v>
      </c>
      <c r="O135">
        <v>335018</v>
      </c>
      <c r="P135">
        <v>21.3</v>
      </c>
      <c r="Q135">
        <v>48</v>
      </c>
      <c r="R135" t="s">
        <v>3051</v>
      </c>
      <c r="S135" t="str">
        <f t="shared" si="18"/>
        <v>Education</v>
      </c>
      <c r="T135">
        <v>437</v>
      </c>
      <c r="U135">
        <f t="shared" si="19"/>
        <v>437</v>
      </c>
      <c r="V135">
        <v>3</v>
      </c>
      <c r="W135" t="s">
        <v>3055</v>
      </c>
      <c r="X135" s="3" t="s">
        <v>3191</v>
      </c>
      <c r="Y135" s="3">
        <f t="shared" si="20"/>
        <v>44499</v>
      </c>
      <c r="Z135">
        <v>0.3947</v>
      </c>
    </row>
    <row r="136" spans="1:26" x14ac:dyDescent="0.35">
      <c r="A136" t="s">
        <v>151</v>
      </c>
      <c r="B136" t="str">
        <f t="shared" si="14"/>
        <v>OK</v>
      </c>
      <c r="C136" t="s">
        <v>1642</v>
      </c>
      <c r="D136" s="2">
        <v>36</v>
      </c>
      <c r="E136">
        <f>IF(OR(D136&lt;18, D136&gt;100),AD135,D136)</f>
        <v>36</v>
      </c>
      <c r="F136" t="s">
        <v>2992</v>
      </c>
      <c r="G136" t="str">
        <f t="shared" si="15"/>
        <v>Female</v>
      </c>
      <c r="H136" t="s">
        <v>3000</v>
      </c>
      <c r="I136" t="s">
        <v>3019</v>
      </c>
      <c r="K136" t="str">
        <f t="shared" si="16"/>
        <v>Employed</v>
      </c>
      <c r="L136">
        <v>11</v>
      </c>
      <c r="M136">
        <v>819282</v>
      </c>
      <c r="N136">
        <f t="shared" si="17"/>
        <v>819282</v>
      </c>
      <c r="O136">
        <v>196743</v>
      </c>
      <c r="P136">
        <v>15.25</v>
      </c>
      <c r="Q136">
        <v>48</v>
      </c>
      <c r="R136" t="s">
        <v>3046</v>
      </c>
      <c r="S136" t="str">
        <f t="shared" si="18"/>
        <v>Medical</v>
      </c>
      <c r="T136">
        <v>622</v>
      </c>
      <c r="U136">
        <f t="shared" si="19"/>
        <v>622</v>
      </c>
      <c r="V136">
        <v>0</v>
      </c>
      <c r="W136" t="s">
        <v>3054</v>
      </c>
      <c r="X136" s="3" t="s">
        <v>3192</v>
      </c>
      <c r="Y136" s="3">
        <f t="shared" si="20"/>
        <v>43874</v>
      </c>
      <c r="Z136">
        <v>0.24010000000000001</v>
      </c>
    </row>
    <row r="137" spans="1:26" x14ac:dyDescent="0.35">
      <c r="A137" t="s">
        <v>152</v>
      </c>
      <c r="B137" t="str">
        <f t="shared" si="14"/>
        <v>OK</v>
      </c>
      <c r="C137" t="s">
        <v>1643</v>
      </c>
      <c r="D137" s="2">
        <v>57</v>
      </c>
      <c r="E137">
        <f>IF(OR(D137&lt;18, D137&gt;100),AD136,D137)</f>
        <v>57</v>
      </c>
      <c r="F137" t="s">
        <v>2990</v>
      </c>
      <c r="G137" t="str">
        <f t="shared" si="15"/>
        <v>Male</v>
      </c>
      <c r="H137" t="s">
        <v>3004</v>
      </c>
      <c r="I137" t="s">
        <v>3018</v>
      </c>
      <c r="K137" t="str">
        <f t="shared" si="16"/>
        <v>Business Owner</v>
      </c>
      <c r="L137">
        <v>21</v>
      </c>
      <c r="M137">
        <v>2006525</v>
      </c>
      <c r="N137">
        <f t="shared" si="17"/>
        <v>2006525</v>
      </c>
      <c r="O137">
        <v>192257</v>
      </c>
      <c r="P137">
        <v>18.57</v>
      </c>
      <c r="Q137">
        <v>60</v>
      </c>
      <c r="R137" t="s">
        <v>3048</v>
      </c>
      <c r="S137" t="str">
        <f t="shared" si="18"/>
        <v>Home Improvement</v>
      </c>
      <c r="T137">
        <v>764</v>
      </c>
      <c r="U137">
        <f t="shared" si="19"/>
        <v>764</v>
      </c>
      <c r="V137">
        <v>3</v>
      </c>
      <c r="W137" t="s">
        <v>3055</v>
      </c>
      <c r="X137" s="3" t="s">
        <v>3193</v>
      </c>
      <c r="Y137" s="3">
        <f t="shared" si="20"/>
        <v>44273</v>
      </c>
      <c r="Z137">
        <v>9.5799999999999996E-2</v>
      </c>
    </row>
    <row r="138" spans="1:26" x14ac:dyDescent="0.35">
      <c r="A138" t="s">
        <v>153</v>
      </c>
      <c r="B138" t="str">
        <f t="shared" si="14"/>
        <v>OK</v>
      </c>
      <c r="C138" t="s">
        <v>1644</v>
      </c>
      <c r="D138" s="2">
        <v>52</v>
      </c>
      <c r="E138">
        <f>IF(OR(D138&lt;18, D138&gt;100),AD137,D138)</f>
        <v>52</v>
      </c>
      <c r="F138" t="s">
        <v>2990</v>
      </c>
      <c r="G138" t="str">
        <f t="shared" si="15"/>
        <v>Male</v>
      </c>
      <c r="H138" t="s">
        <v>3002</v>
      </c>
      <c r="I138" t="s">
        <v>3020</v>
      </c>
      <c r="K138" t="str">
        <f t="shared" si="16"/>
        <v>Self-Employed</v>
      </c>
      <c r="L138">
        <v>28</v>
      </c>
      <c r="M138">
        <v>777218</v>
      </c>
      <c r="N138">
        <f t="shared" si="17"/>
        <v>777218</v>
      </c>
      <c r="O138">
        <v>109116</v>
      </c>
      <c r="P138">
        <v>14.76</v>
      </c>
      <c r="Q138">
        <v>60</v>
      </c>
      <c r="R138" t="s">
        <v>3047</v>
      </c>
      <c r="S138" t="str">
        <f t="shared" si="18"/>
        <v>Personal</v>
      </c>
      <c r="T138">
        <v>438</v>
      </c>
      <c r="U138">
        <f t="shared" si="19"/>
        <v>438</v>
      </c>
      <c r="V138">
        <v>7</v>
      </c>
      <c r="W138" t="s">
        <v>3057</v>
      </c>
      <c r="X138" s="3" t="s">
        <v>3194</v>
      </c>
      <c r="Y138" s="3">
        <f t="shared" si="20"/>
        <v>44807</v>
      </c>
      <c r="Z138">
        <v>0.1404</v>
      </c>
    </row>
    <row r="139" spans="1:26" x14ac:dyDescent="0.35">
      <c r="A139" t="s">
        <v>154</v>
      </c>
      <c r="B139" t="str">
        <f t="shared" si="14"/>
        <v>OK</v>
      </c>
      <c r="C139" t="s">
        <v>1645</v>
      </c>
      <c r="D139" s="2">
        <v>39</v>
      </c>
      <c r="E139">
        <f>IF(OR(D139&lt;18, D139&gt;100),AD138,D139)</f>
        <v>39</v>
      </c>
      <c r="F139" t="s">
        <v>2990</v>
      </c>
      <c r="G139" t="str">
        <f t="shared" si="15"/>
        <v>Male</v>
      </c>
      <c r="H139" t="s">
        <v>3007</v>
      </c>
      <c r="I139" t="s">
        <v>3019</v>
      </c>
      <c r="K139" t="str">
        <f t="shared" si="16"/>
        <v>Employed</v>
      </c>
      <c r="L139">
        <v>14</v>
      </c>
      <c r="M139">
        <v>317478</v>
      </c>
      <c r="N139">
        <f t="shared" si="17"/>
        <v>317478</v>
      </c>
      <c r="O139">
        <v>347031</v>
      </c>
      <c r="P139">
        <v>22.6</v>
      </c>
      <c r="Q139">
        <v>48</v>
      </c>
      <c r="R139" t="s">
        <v>3046</v>
      </c>
      <c r="S139" t="str">
        <f t="shared" si="18"/>
        <v>Medical</v>
      </c>
      <c r="T139">
        <v>346</v>
      </c>
      <c r="U139">
        <f t="shared" si="19"/>
        <v>346</v>
      </c>
      <c r="V139">
        <v>0</v>
      </c>
      <c r="W139" t="s">
        <v>3053</v>
      </c>
      <c r="X139" s="3" t="s">
        <v>3195</v>
      </c>
      <c r="Y139" s="3">
        <f t="shared" si="20"/>
        <v>44480</v>
      </c>
      <c r="Z139">
        <v>1.0931</v>
      </c>
    </row>
    <row r="140" spans="1:26" x14ac:dyDescent="0.35">
      <c r="A140" t="s">
        <v>155</v>
      </c>
      <c r="B140" t="str">
        <f t="shared" si="14"/>
        <v>OK</v>
      </c>
      <c r="C140" t="s">
        <v>1646</v>
      </c>
      <c r="D140" s="2">
        <v>55</v>
      </c>
      <c r="E140">
        <f>IF(OR(D140&lt;18, D140&gt;100),AD139,D140)</f>
        <v>55</v>
      </c>
      <c r="F140" t="s">
        <v>2990</v>
      </c>
      <c r="G140" t="str">
        <f t="shared" si="15"/>
        <v>Male</v>
      </c>
      <c r="H140" t="s">
        <v>3001</v>
      </c>
      <c r="I140" t="s">
        <v>3019</v>
      </c>
      <c r="K140" t="str">
        <f t="shared" si="16"/>
        <v>Employed</v>
      </c>
      <c r="L140">
        <v>29</v>
      </c>
      <c r="M140">
        <v>345575</v>
      </c>
      <c r="N140">
        <f t="shared" si="17"/>
        <v>345575</v>
      </c>
      <c r="O140">
        <v>212029</v>
      </c>
      <c r="P140" t="s">
        <v>3023</v>
      </c>
      <c r="Q140">
        <v>36</v>
      </c>
      <c r="R140" t="s">
        <v>3049</v>
      </c>
      <c r="S140" t="str">
        <f t="shared" si="18"/>
        <v>Business</v>
      </c>
      <c r="T140">
        <v>461</v>
      </c>
      <c r="U140">
        <f t="shared" si="19"/>
        <v>461</v>
      </c>
      <c r="V140">
        <v>5</v>
      </c>
      <c r="W140" t="s">
        <v>3055</v>
      </c>
      <c r="X140" s="3" t="s">
        <v>3196</v>
      </c>
      <c r="Y140" s="3">
        <f t="shared" si="20"/>
        <v>44878</v>
      </c>
      <c r="Z140">
        <v>0.61360000000000003</v>
      </c>
    </row>
    <row r="141" spans="1:26" x14ac:dyDescent="0.35">
      <c r="A141" t="s">
        <v>156</v>
      </c>
      <c r="B141" t="str">
        <f t="shared" si="14"/>
        <v>OK</v>
      </c>
      <c r="C141" t="s">
        <v>1647</v>
      </c>
      <c r="D141" s="2">
        <v>37</v>
      </c>
      <c r="E141">
        <f>IF(OR(D141&lt;18, D141&gt;100),AD140,D141)</f>
        <v>37</v>
      </c>
      <c r="F141" t="s">
        <v>2990</v>
      </c>
      <c r="G141" t="str">
        <f t="shared" si="15"/>
        <v>Male</v>
      </c>
      <c r="H141" t="s">
        <v>3000</v>
      </c>
      <c r="I141" t="s">
        <v>3018</v>
      </c>
      <c r="K141" t="str">
        <f t="shared" si="16"/>
        <v>Business Owner</v>
      </c>
      <c r="L141">
        <v>11</v>
      </c>
      <c r="M141">
        <v>488623</v>
      </c>
      <c r="N141">
        <f t="shared" si="17"/>
        <v>488623</v>
      </c>
      <c r="O141">
        <v>339759</v>
      </c>
      <c r="P141">
        <v>21.59</v>
      </c>
      <c r="Q141">
        <v>24</v>
      </c>
      <c r="R141" t="s">
        <v>3049</v>
      </c>
      <c r="S141" t="str">
        <f t="shared" si="18"/>
        <v>Business</v>
      </c>
      <c r="T141">
        <v>507</v>
      </c>
      <c r="U141">
        <f t="shared" si="19"/>
        <v>507</v>
      </c>
      <c r="V141">
        <v>5</v>
      </c>
      <c r="W141" t="s">
        <v>3057</v>
      </c>
      <c r="X141" s="3" t="s">
        <v>3197</v>
      </c>
      <c r="Y141" s="3">
        <f t="shared" si="20"/>
        <v>43974</v>
      </c>
      <c r="Z141">
        <v>0.69530000000000003</v>
      </c>
    </row>
    <row r="142" spans="1:26" x14ac:dyDescent="0.35">
      <c r="A142" t="s">
        <v>157</v>
      </c>
      <c r="B142" t="str">
        <f t="shared" si="14"/>
        <v>OK</v>
      </c>
      <c r="C142" t="s">
        <v>1648</v>
      </c>
      <c r="D142" s="2">
        <v>49</v>
      </c>
      <c r="E142">
        <f>IF(OR(D142&lt;18, D142&gt;100),AD141,D142)</f>
        <v>49</v>
      </c>
      <c r="F142" t="s">
        <v>2992</v>
      </c>
      <c r="G142" t="str">
        <f t="shared" si="15"/>
        <v>Female</v>
      </c>
      <c r="H142" t="s">
        <v>2998</v>
      </c>
      <c r="I142" t="s">
        <v>3021</v>
      </c>
      <c r="K142" t="str">
        <f t="shared" si="16"/>
        <v>Unemployed</v>
      </c>
      <c r="L142">
        <v>1</v>
      </c>
      <c r="M142">
        <v>1404648</v>
      </c>
      <c r="N142">
        <f t="shared" si="17"/>
        <v>1404648</v>
      </c>
      <c r="O142">
        <v>104381</v>
      </c>
      <c r="P142">
        <v>20.100000000000001</v>
      </c>
      <c r="Q142">
        <v>36</v>
      </c>
      <c r="R142" t="s">
        <v>3051</v>
      </c>
      <c r="S142" t="str">
        <f t="shared" si="18"/>
        <v>Education</v>
      </c>
      <c r="T142">
        <v>475</v>
      </c>
      <c r="U142">
        <f t="shared" si="19"/>
        <v>475</v>
      </c>
      <c r="V142">
        <v>1</v>
      </c>
      <c r="W142" t="s">
        <v>3055</v>
      </c>
      <c r="X142" s="3" t="s">
        <v>3198</v>
      </c>
      <c r="Y142" s="3">
        <f t="shared" si="20"/>
        <v>44174</v>
      </c>
      <c r="Z142">
        <v>7.4300000000000005E-2</v>
      </c>
    </row>
    <row r="143" spans="1:26" x14ac:dyDescent="0.35">
      <c r="A143" t="s">
        <v>158</v>
      </c>
      <c r="B143" t="str">
        <f t="shared" si="14"/>
        <v>OK</v>
      </c>
      <c r="C143" t="s">
        <v>1649</v>
      </c>
      <c r="D143" s="2">
        <v>60</v>
      </c>
      <c r="E143">
        <f>IF(OR(D143&lt;18, D143&gt;100),AD142,D143)</f>
        <v>60</v>
      </c>
      <c r="F143" t="s">
        <v>2990</v>
      </c>
      <c r="G143" t="str">
        <f t="shared" si="15"/>
        <v>Male</v>
      </c>
      <c r="H143" t="s">
        <v>3006</v>
      </c>
      <c r="I143" t="s">
        <v>3018</v>
      </c>
      <c r="K143" t="str">
        <f t="shared" si="16"/>
        <v>Business Owner</v>
      </c>
      <c r="L143">
        <v>5</v>
      </c>
      <c r="M143">
        <v>848590</v>
      </c>
      <c r="N143">
        <f t="shared" si="17"/>
        <v>848590</v>
      </c>
      <c r="O143">
        <v>440162</v>
      </c>
      <c r="P143">
        <v>27.23</v>
      </c>
      <c r="Q143">
        <v>60</v>
      </c>
      <c r="R143" t="s">
        <v>3046</v>
      </c>
      <c r="S143" t="str">
        <f t="shared" si="18"/>
        <v>Medical</v>
      </c>
      <c r="T143">
        <v>627</v>
      </c>
      <c r="U143">
        <f t="shared" si="19"/>
        <v>627</v>
      </c>
      <c r="V143">
        <v>6</v>
      </c>
      <c r="W143" t="s">
        <v>3052</v>
      </c>
      <c r="X143" s="3" t="s">
        <v>3199</v>
      </c>
      <c r="Y143" s="3">
        <f t="shared" si="20"/>
        <v>44884</v>
      </c>
      <c r="Z143">
        <v>0.51870000000000005</v>
      </c>
    </row>
    <row r="144" spans="1:26" x14ac:dyDescent="0.35">
      <c r="A144" t="s">
        <v>159</v>
      </c>
      <c r="B144" t="str">
        <f t="shared" si="14"/>
        <v>OK</v>
      </c>
      <c r="C144" t="s">
        <v>1650</v>
      </c>
      <c r="D144" s="2">
        <v>44</v>
      </c>
      <c r="E144">
        <f>IF(OR(D144&lt;18, D144&gt;100),AD143,D144)</f>
        <v>44</v>
      </c>
      <c r="F144" t="s">
        <v>2992</v>
      </c>
      <c r="G144" t="str">
        <f t="shared" si="15"/>
        <v>Female</v>
      </c>
      <c r="H144" t="s">
        <v>3003</v>
      </c>
      <c r="I144" t="s">
        <v>3020</v>
      </c>
      <c r="K144" t="str">
        <f t="shared" si="16"/>
        <v>Self-Employed</v>
      </c>
      <c r="L144">
        <v>7</v>
      </c>
      <c r="M144">
        <v>582732</v>
      </c>
      <c r="N144">
        <f t="shared" si="17"/>
        <v>582732</v>
      </c>
      <c r="O144">
        <v>633859</v>
      </c>
      <c r="P144">
        <v>10.86</v>
      </c>
      <c r="Q144">
        <v>48</v>
      </c>
      <c r="R144" t="s">
        <v>3048</v>
      </c>
      <c r="S144" t="str">
        <f t="shared" si="18"/>
        <v>Home Improvement</v>
      </c>
      <c r="T144">
        <v>799</v>
      </c>
      <c r="U144">
        <f t="shared" si="19"/>
        <v>799</v>
      </c>
      <c r="V144">
        <v>1</v>
      </c>
      <c r="W144" t="s">
        <v>3052</v>
      </c>
      <c r="X144" s="3" t="s">
        <v>3200</v>
      </c>
      <c r="Y144" s="3">
        <f t="shared" si="20"/>
        <v>43892</v>
      </c>
      <c r="Z144">
        <v>1.0876999999999999</v>
      </c>
    </row>
    <row r="145" spans="1:26" x14ac:dyDescent="0.35">
      <c r="A145" t="s">
        <v>160</v>
      </c>
      <c r="B145" t="str">
        <f t="shared" si="14"/>
        <v>OK</v>
      </c>
      <c r="C145" t="s">
        <v>1651</v>
      </c>
      <c r="D145" s="2">
        <v>21</v>
      </c>
      <c r="E145">
        <f>IF(OR(D145&lt;18, D145&gt;100),AD144,D145)</f>
        <v>21</v>
      </c>
      <c r="F145" t="s">
        <v>2992</v>
      </c>
      <c r="G145" t="str">
        <f t="shared" si="15"/>
        <v>Female</v>
      </c>
      <c r="H145" t="s">
        <v>3005</v>
      </c>
      <c r="I145" t="s">
        <v>3021</v>
      </c>
      <c r="K145" t="str">
        <f t="shared" si="16"/>
        <v>Unemployed</v>
      </c>
      <c r="L145">
        <v>5</v>
      </c>
      <c r="N145">
        <f t="shared" si="17"/>
        <v>1333224</v>
      </c>
      <c r="O145">
        <v>596677</v>
      </c>
      <c r="P145">
        <v>11.71</v>
      </c>
      <c r="Q145">
        <v>36</v>
      </c>
      <c r="R145" t="s">
        <v>3046</v>
      </c>
      <c r="S145" t="str">
        <f t="shared" si="18"/>
        <v>Medical</v>
      </c>
      <c r="T145">
        <v>408</v>
      </c>
      <c r="U145">
        <f t="shared" si="19"/>
        <v>408</v>
      </c>
      <c r="V145">
        <v>3</v>
      </c>
      <c r="W145" t="s">
        <v>3053</v>
      </c>
      <c r="X145" s="3" t="s">
        <v>3201</v>
      </c>
      <c r="Y145" s="3">
        <f t="shared" si="20"/>
        <v>44648</v>
      </c>
      <c r="Z145">
        <v>0.30470000000000003</v>
      </c>
    </row>
    <row r="146" spans="1:26" x14ac:dyDescent="0.35">
      <c r="A146" t="s">
        <v>161</v>
      </c>
      <c r="B146" t="str">
        <f t="shared" si="14"/>
        <v>OK</v>
      </c>
      <c r="C146" t="s">
        <v>1652</v>
      </c>
      <c r="D146" s="2">
        <v>50</v>
      </c>
      <c r="E146">
        <f>IF(OR(D146&lt;18, D146&gt;100),AD145,D146)</f>
        <v>50</v>
      </c>
      <c r="F146" t="s">
        <v>2990</v>
      </c>
      <c r="G146" t="str">
        <f t="shared" si="15"/>
        <v>Male</v>
      </c>
      <c r="H146" t="s">
        <v>3004</v>
      </c>
      <c r="I146" t="s">
        <v>3018</v>
      </c>
      <c r="K146" t="str">
        <f t="shared" si="16"/>
        <v>Business Owner</v>
      </c>
      <c r="L146">
        <v>21</v>
      </c>
      <c r="M146">
        <v>302775</v>
      </c>
      <c r="N146">
        <f t="shared" si="17"/>
        <v>302775</v>
      </c>
      <c r="O146">
        <v>78692</v>
      </c>
      <c r="P146">
        <v>11.66</v>
      </c>
      <c r="Q146">
        <v>36</v>
      </c>
      <c r="R146" t="s">
        <v>3046</v>
      </c>
      <c r="S146" t="str">
        <f t="shared" si="18"/>
        <v>Medical</v>
      </c>
      <c r="T146">
        <v>502</v>
      </c>
      <c r="U146">
        <f t="shared" si="19"/>
        <v>502</v>
      </c>
      <c r="V146">
        <v>7</v>
      </c>
      <c r="W146" t="s">
        <v>3056</v>
      </c>
      <c r="X146" s="3" t="s">
        <v>3202</v>
      </c>
      <c r="Y146" s="3">
        <f t="shared" si="20"/>
        <v>44460</v>
      </c>
      <c r="Z146">
        <v>0.25990000000000002</v>
      </c>
    </row>
    <row r="147" spans="1:26" x14ac:dyDescent="0.35">
      <c r="A147" t="s">
        <v>162</v>
      </c>
      <c r="B147" t="str">
        <f t="shared" si="14"/>
        <v>OK</v>
      </c>
      <c r="C147" t="s">
        <v>1653</v>
      </c>
      <c r="D147" s="2">
        <v>46</v>
      </c>
      <c r="E147">
        <f>IF(OR(D147&lt;18, D147&gt;100),AD146,D147)</f>
        <v>46</v>
      </c>
      <c r="F147" t="s">
        <v>2990</v>
      </c>
      <c r="G147" t="str">
        <f t="shared" si="15"/>
        <v>Male</v>
      </c>
      <c r="H147" t="s">
        <v>3000</v>
      </c>
      <c r="I147" t="s">
        <v>3021</v>
      </c>
      <c r="K147" t="str">
        <f t="shared" si="16"/>
        <v>Unemployed</v>
      </c>
      <c r="L147">
        <v>9</v>
      </c>
      <c r="M147">
        <v>2183426</v>
      </c>
      <c r="N147">
        <f t="shared" si="17"/>
        <v>2183426</v>
      </c>
      <c r="O147">
        <v>437339</v>
      </c>
      <c r="P147">
        <v>15.86</v>
      </c>
      <c r="Q147">
        <v>24</v>
      </c>
      <c r="R147" t="s">
        <v>3051</v>
      </c>
      <c r="S147" t="str">
        <f t="shared" si="18"/>
        <v>Education</v>
      </c>
      <c r="T147">
        <v>789</v>
      </c>
      <c r="U147">
        <f t="shared" si="19"/>
        <v>789</v>
      </c>
      <c r="V147">
        <v>5</v>
      </c>
      <c r="W147" t="s">
        <v>3057</v>
      </c>
      <c r="X147" s="3" t="s">
        <v>3203</v>
      </c>
      <c r="Y147" s="3">
        <f t="shared" si="20"/>
        <v>44892</v>
      </c>
      <c r="Z147">
        <v>0.20030000000000001</v>
      </c>
    </row>
    <row r="148" spans="1:26" x14ac:dyDescent="0.35">
      <c r="A148" t="s">
        <v>163</v>
      </c>
      <c r="B148" t="str">
        <f t="shared" si="14"/>
        <v>OK</v>
      </c>
      <c r="C148" t="s">
        <v>1654</v>
      </c>
      <c r="D148" s="2">
        <v>49</v>
      </c>
      <c r="E148">
        <f>IF(OR(D148&lt;18, D148&gt;100),AD147,D148)</f>
        <v>49</v>
      </c>
      <c r="F148" t="s">
        <v>2992</v>
      </c>
      <c r="G148" t="str">
        <f t="shared" si="15"/>
        <v>Female</v>
      </c>
      <c r="H148" t="s">
        <v>3007</v>
      </c>
      <c r="I148" t="s">
        <v>3019</v>
      </c>
      <c r="K148" t="str">
        <f t="shared" si="16"/>
        <v>Employed</v>
      </c>
      <c r="L148">
        <v>27</v>
      </c>
      <c r="M148">
        <v>448854</v>
      </c>
      <c r="N148">
        <f t="shared" si="17"/>
        <v>448854</v>
      </c>
      <c r="O148">
        <v>131718</v>
      </c>
      <c r="P148">
        <v>9.25</v>
      </c>
      <c r="Q148">
        <v>24</v>
      </c>
      <c r="R148" t="s">
        <v>3051</v>
      </c>
      <c r="S148" t="str">
        <f t="shared" si="18"/>
        <v>Education</v>
      </c>
      <c r="T148">
        <v>346</v>
      </c>
      <c r="U148">
        <f t="shared" si="19"/>
        <v>346</v>
      </c>
      <c r="V148">
        <v>4</v>
      </c>
      <c r="W148" t="s">
        <v>3055</v>
      </c>
      <c r="X148" s="3" t="s">
        <v>3204</v>
      </c>
      <c r="Y148" s="3">
        <f t="shared" si="20"/>
        <v>44730</v>
      </c>
      <c r="Z148">
        <v>0.29349999999999998</v>
      </c>
    </row>
    <row r="149" spans="1:26" x14ac:dyDescent="0.35">
      <c r="A149" t="s">
        <v>164</v>
      </c>
      <c r="B149" t="str">
        <f t="shared" si="14"/>
        <v>OK</v>
      </c>
      <c r="C149" t="s">
        <v>1655</v>
      </c>
      <c r="D149" s="2">
        <v>41</v>
      </c>
      <c r="E149">
        <f>IF(OR(D149&lt;18, D149&gt;100),AD148,D149)</f>
        <v>41</v>
      </c>
      <c r="F149" t="s">
        <v>2992</v>
      </c>
      <c r="G149" t="str">
        <f t="shared" si="15"/>
        <v>Female</v>
      </c>
      <c r="H149" t="s">
        <v>3001</v>
      </c>
      <c r="I149" t="s">
        <v>3019</v>
      </c>
      <c r="K149" t="str">
        <f t="shared" si="16"/>
        <v>Employed</v>
      </c>
      <c r="L149">
        <v>23</v>
      </c>
      <c r="M149">
        <v>497348</v>
      </c>
      <c r="N149">
        <f t="shared" si="17"/>
        <v>497348</v>
      </c>
      <c r="O149">
        <v>273317</v>
      </c>
      <c r="P149">
        <v>16.059999999999999</v>
      </c>
      <c r="Q149">
        <v>24</v>
      </c>
      <c r="R149" t="s">
        <v>3050</v>
      </c>
      <c r="S149" t="str">
        <f t="shared" si="18"/>
        <v>Agriculture</v>
      </c>
      <c r="T149">
        <v>-50</v>
      </c>
      <c r="U149">
        <f t="shared" si="19"/>
        <v>-50</v>
      </c>
      <c r="V149">
        <v>4</v>
      </c>
      <c r="W149" t="s">
        <v>3054</v>
      </c>
      <c r="X149" s="3" t="s">
        <v>3205</v>
      </c>
      <c r="Y149" s="3">
        <f t="shared" si="20"/>
        <v>44315</v>
      </c>
      <c r="Z149">
        <v>0.54949999999999999</v>
      </c>
    </row>
    <row r="150" spans="1:26" x14ac:dyDescent="0.35">
      <c r="A150" t="s">
        <v>165</v>
      </c>
      <c r="B150" t="str">
        <f t="shared" si="14"/>
        <v>OK</v>
      </c>
      <c r="C150" t="s">
        <v>1656</v>
      </c>
      <c r="D150" s="2">
        <v>39</v>
      </c>
      <c r="E150">
        <f>IF(OR(D150&lt;18, D150&gt;100),AD149,D150)</f>
        <v>39</v>
      </c>
      <c r="F150" t="s">
        <v>2992</v>
      </c>
      <c r="G150" t="str">
        <f t="shared" si="15"/>
        <v>Female</v>
      </c>
      <c r="H150" t="s">
        <v>3004</v>
      </c>
      <c r="I150" t="s">
        <v>3021</v>
      </c>
      <c r="K150" t="str">
        <f t="shared" si="16"/>
        <v>Unemployed</v>
      </c>
      <c r="L150">
        <v>3</v>
      </c>
      <c r="M150">
        <v>337702</v>
      </c>
      <c r="N150">
        <f t="shared" si="17"/>
        <v>337702</v>
      </c>
      <c r="O150">
        <v>613849</v>
      </c>
      <c r="P150">
        <v>13.93</v>
      </c>
      <c r="Q150">
        <v>48</v>
      </c>
      <c r="R150" t="s">
        <v>3048</v>
      </c>
      <c r="S150" t="str">
        <f t="shared" si="18"/>
        <v>Home Improvement</v>
      </c>
      <c r="T150">
        <v>717</v>
      </c>
      <c r="U150">
        <f t="shared" si="19"/>
        <v>717</v>
      </c>
      <c r="V150">
        <v>0</v>
      </c>
      <c r="W150" t="s">
        <v>3054</v>
      </c>
      <c r="X150" s="3" t="s">
        <v>3206</v>
      </c>
      <c r="Y150" s="3">
        <f t="shared" si="20"/>
        <v>44911</v>
      </c>
      <c r="Z150">
        <v>1.8177000000000001</v>
      </c>
    </row>
    <row r="151" spans="1:26" x14ac:dyDescent="0.35">
      <c r="A151" t="s">
        <v>166</v>
      </c>
      <c r="B151" t="str">
        <f t="shared" si="14"/>
        <v>OK</v>
      </c>
      <c r="C151" t="s">
        <v>1657</v>
      </c>
      <c r="D151" s="2">
        <v>54</v>
      </c>
      <c r="E151">
        <f>IF(OR(D151&lt;18, D151&gt;100),AD150,D151)</f>
        <v>54</v>
      </c>
      <c r="F151" t="s">
        <v>2992</v>
      </c>
      <c r="G151" t="str">
        <f t="shared" si="15"/>
        <v>Female</v>
      </c>
      <c r="H151" t="s">
        <v>3006</v>
      </c>
      <c r="I151" t="s">
        <v>3021</v>
      </c>
      <c r="K151" t="str">
        <f t="shared" si="16"/>
        <v>Unemployed</v>
      </c>
      <c r="L151">
        <v>15</v>
      </c>
      <c r="M151">
        <v>1698087</v>
      </c>
      <c r="N151">
        <f t="shared" si="17"/>
        <v>1698087</v>
      </c>
      <c r="O151">
        <v>131541</v>
      </c>
      <c r="P151">
        <v>26.72</v>
      </c>
      <c r="Q151">
        <v>24</v>
      </c>
      <c r="R151" t="s">
        <v>3046</v>
      </c>
      <c r="S151" t="str">
        <f t="shared" si="18"/>
        <v>Medical</v>
      </c>
      <c r="T151">
        <v>315</v>
      </c>
      <c r="U151">
        <f t="shared" si="19"/>
        <v>315</v>
      </c>
      <c r="V151">
        <v>7</v>
      </c>
      <c r="W151" t="s">
        <v>3053</v>
      </c>
      <c r="X151" s="3" t="s">
        <v>3207</v>
      </c>
      <c r="Y151" s="3">
        <f t="shared" si="20"/>
        <v>44500</v>
      </c>
      <c r="Z151">
        <v>7.7499999999999999E-2</v>
      </c>
    </row>
    <row r="152" spans="1:26" x14ac:dyDescent="0.35">
      <c r="A152" t="s">
        <v>167</v>
      </c>
      <c r="B152" t="str">
        <f t="shared" si="14"/>
        <v>OK</v>
      </c>
      <c r="C152" t="s">
        <v>1658</v>
      </c>
      <c r="D152" s="2">
        <v>24</v>
      </c>
      <c r="E152">
        <f>IF(OR(D152&lt;18, D152&gt;100),AD151,D152)</f>
        <v>24</v>
      </c>
      <c r="F152" t="s">
        <v>2992</v>
      </c>
      <c r="G152" t="str">
        <f t="shared" si="15"/>
        <v>Female</v>
      </c>
      <c r="H152" t="s">
        <v>3005</v>
      </c>
      <c r="I152" t="s">
        <v>3020</v>
      </c>
      <c r="K152" t="str">
        <f t="shared" si="16"/>
        <v>Self-Employed</v>
      </c>
      <c r="L152">
        <v>28</v>
      </c>
      <c r="M152">
        <v>1681584</v>
      </c>
      <c r="N152">
        <f t="shared" si="17"/>
        <v>1681584</v>
      </c>
      <c r="O152">
        <v>317986</v>
      </c>
      <c r="P152">
        <v>17.68</v>
      </c>
      <c r="Q152">
        <v>36</v>
      </c>
      <c r="R152" t="s">
        <v>3046</v>
      </c>
      <c r="S152" t="str">
        <f t="shared" si="18"/>
        <v>Medical</v>
      </c>
      <c r="T152">
        <v>316</v>
      </c>
      <c r="U152">
        <f t="shared" si="19"/>
        <v>316</v>
      </c>
      <c r="V152">
        <v>2</v>
      </c>
      <c r="W152" t="s">
        <v>3053</v>
      </c>
      <c r="X152" s="3" t="s">
        <v>3208</v>
      </c>
      <c r="Y152" s="3">
        <f t="shared" si="20"/>
        <v>44760</v>
      </c>
      <c r="Z152">
        <v>0.18909999999999999</v>
      </c>
    </row>
    <row r="153" spans="1:26" x14ac:dyDescent="0.35">
      <c r="A153" t="s">
        <v>168</v>
      </c>
      <c r="B153" t="str">
        <f t="shared" si="14"/>
        <v>OK</v>
      </c>
      <c r="C153" t="s">
        <v>1659</v>
      </c>
      <c r="D153" s="2">
        <v>26</v>
      </c>
      <c r="E153">
        <f>IF(OR(D153&lt;18, D153&gt;100),AD152,D153)</f>
        <v>26</v>
      </c>
      <c r="F153" t="s">
        <v>2990</v>
      </c>
      <c r="G153" t="str">
        <f t="shared" si="15"/>
        <v>Male</v>
      </c>
      <c r="H153" t="s">
        <v>3003</v>
      </c>
      <c r="I153" t="s">
        <v>3020</v>
      </c>
      <c r="K153" t="str">
        <f t="shared" si="16"/>
        <v>Self-Employed</v>
      </c>
      <c r="L153">
        <v>27</v>
      </c>
      <c r="M153">
        <v>1523499</v>
      </c>
      <c r="N153">
        <f t="shared" si="17"/>
        <v>1523499</v>
      </c>
      <c r="O153">
        <v>65740</v>
      </c>
      <c r="P153">
        <v>9.0299999999999994</v>
      </c>
      <c r="Q153">
        <v>48</v>
      </c>
      <c r="R153" t="s">
        <v>3050</v>
      </c>
      <c r="S153" t="str">
        <f t="shared" si="18"/>
        <v>Agriculture</v>
      </c>
      <c r="U153">
        <f t="shared" si="19"/>
        <v>556</v>
      </c>
      <c r="V153">
        <v>6</v>
      </c>
      <c r="W153" t="s">
        <v>3056</v>
      </c>
      <c r="X153" s="3" t="s">
        <v>3209</v>
      </c>
      <c r="Y153" s="3">
        <f t="shared" si="20"/>
        <v>44106</v>
      </c>
      <c r="Z153">
        <v>4.3200000000000002E-2</v>
      </c>
    </row>
    <row r="154" spans="1:26" x14ac:dyDescent="0.35">
      <c r="A154" t="s">
        <v>169</v>
      </c>
      <c r="B154" t="str">
        <f t="shared" si="14"/>
        <v>OK</v>
      </c>
      <c r="C154" t="s">
        <v>1660</v>
      </c>
      <c r="D154" s="2">
        <v>47</v>
      </c>
      <c r="E154">
        <f>IF(OR(D154&lt;18, D154&gt;100),AD153,D154)</f>
        <v>47</v>
      </c>
      <c r="F154" t="s">
        <v>2990</v>
      </c>
      <c r="G154" t="str">
        <f t="shared" si="15"/>
        <v>Male</v>
      </c>
      <c r="H154" t="s">
        <v>2999</v>
      </c>
      <c r="I154" t="s">
        <v>3021</v>
      </c>
      <c r="K154" t="str">
        <f t="shared" si="16"/>
        <v>Unemployed</v>
      </c>
      <c r="L154">
        <v>24</v>
      </c>
      <c r="M154">
        <v>2213901</v>
      </c>
      <c r="N154">
        <f t="shared" si="17"/>
        <v>2213901</v>
      </c>
      <c r="O154">
        <v>56413</v>
      </c>
      <c r="P154">
        <v>14.34</v>
      </c>
      <c r="Q154">
        <v>12</v>
      </c>
      <c r="R154" t="s">
        <v>3051</v>
      </c>
      <c r="S154" t="str">
        <f t="shared" si="18"/>
        <v>Education</v>
      </c>
      <c r="T154">
        <v>641</v>
      </c>
      <c r="U154">
        <f t="shared" si="19"/>
        <v>641</v>
      </c>
      <c r="V154">
        <v>2</v>
      </c>
      <c r="W154" t="s">
        <v>3059</v>
      </c>
      <c r="X154" s="3" t="s">
        <v>3210</v>
      </c>
      <c r="Y154" s="3">
        <f t="shared" si="20"/>
        <v>44453</v>
      </c>
      <c r="Z154">
        <v>2.5499999999999998E-2</v>
      </c>
    </row>
    <row r="155" spans="1:26" x14ac:dyDescent="0.35">
      <c r="A155" t="s">
        <v>170</v>
      </c>
      <c r="B155" t="str">
        <f t="shared" si="14"/>
        <v>OK</v>
      </c>
      <c r="C155" t="s">
        <v>1661</v>
      </c>
      <c r="D155" s="2">
        <v>57</v>
      </c>
      <c r="E155">
        <f>IF(OR(D155&lt;18, D155&gt;100),AD154,D155)</f>
        <v>57</v>
      </c>
      <c r="F155" t="s">
        <v>2990</v>
      </c>
      <c r="G155" t="str">
        <f t="shared" si="15"/>
        <v>Male</v>
      </c>
      <c r="H155" t="s">
        <v>3007</v>
      </c>
      <c r="I155" t="s">
        <v>3018</v>
      </c>
      <c r="K155" t="str">
        <f t="shared" si="16"/>
        <v>Business Owner</v>
      </c>
      <c r="L155">
        <v>5</v>
      </c>
      <c r="M155">
        <v>1381838</v>
      </c>
      <c r="N155">
        <f t="shared" si="17"/>
        <v>1381838</v>
      </c>
      <c r="O155">
        <v>773492</v>
      </c>
      <c r="P155">
        <v>10.17</v>
      </c>
      <c r="Q155">
        <v>48</v>
      </c>
      <c r="R155" t="s">
        <v>3050</v>
      </c>
      <c r="S155" t="str">
        <f t="shared" si="18"/>
        <v>Agriculture</v>
      </c>
      <c r="T155">
        <v>360</v>
      </c>
      <c r="U155">
        <f t="shared" si="19"/>
        <v>360</v>
      </c>
      <c r="V155">
        <v>6</v>
      </c>
      <c r="W155" t="s">
        <v>3057</v>
      </c>
      <c r="X155" s="3" t="s">
        <v>3211</v>
      </c>
      <c r="Y155" s="3">
        <f t="shared" si="20"/>
        <v>44324</v>
      </c>
      <c r="Z155">
        <v>0.55979999999999996</v>
      </c>
    </row>
    <row r="156" spans="1:26" x14ac:dyDescent="0.35">
      <c r="A156" t="s">
        <v>171</v>
      </c>
      <c r="B156" t="str">
        <f t="shared" si="14"/>
        <v>OK</v>
      </c>
      <c r="C156" t="s">
        <v>1662</v>
      </c>
      <c r="D156" s="2">
        <v>58</v>
      </c>
      <c r="E156">
        <f>IF(OR(D156&lt;18, D156&gt;100),AD155,D156)</f>
        <v>58</v>
      </c>
      <c r="F156" t="s">
        <v>2992</v>
      </c>
      <c r="G156" t="str">
        <f t="shared" si="15"/>
        <v>Female</v>
      </c>
      <c r="H156" t="s">
        <v>2998</v>
      </c>
      <c r="I156" t="s">
        <v>3018</v>
      </c>
      <c r="K156" t="str">
        <f t="shared" si="16"/>
        <v>Business Owner</v>
      </c>
      <c r="L156">
        <v>28</v>
      </c>
      <c r="M156">
        <v>2154847</v>
      </c>
      <c r="N156">
        <f t="shared" si="17"/>
        <v>2154847</v>
      </c>
      <c r="O156">
        <v>390250</v>
      </c>
      <c r="P156">
        <v>22.88</v>
      </c>
      <c r="Q156">
        <v>24</v>
      </c>
      <c r="R156" t="s">
        <v>3051</v>
      </c>
      <c r="S156" t="str">
        <f t="shared" si="18"/>
        <v>Education</v>
      </c>
      <c r="T156">
        <v>371</v>
      </c>
      <c r="U156">
        <f t="shared" si="19"/>
        <v>371</v>
      </c>
      <c r="V156">
        <v>2</v>
      </c>
      <c r="W156" t="s">
        <v>3054</v>
      </c>
      <c r="X156" s="3" t="s">
        <v>3212</v>
      </c>
      <c r="Y156" s="3">
        <f t="shared" si="20"/>
        <v>44242</v>
      </c>
      <c r="Z156">
        <v>0.18110000000000001</v>
      </c>
    </row>
    <row r="157" spans="1:26" x14ac:dyDescent="0.35">
      <c r="A157" t="s">
        <v>172</v>
      </c>
      <c r="B157" t="str">
        <f t="shared" si="14"/>
        <v>OK</v>
      </c>
      <c r="C157" t="s">
        <v>1663</v>
      </c>
      <c r="D157" s="2">
        <v>40</v>
      </c>
      <c r="E157">
        <f>IF(OR(D157&lt;18, D157&gt;100),AD156,D157)</f>
        <v>40</v>
      </c>
      <c r="F157" t="s">
        <v>2990</v>
      </c>
      <c r="G157" t="str">
        <f t="shared" si="15"/>
        <v>Male</v>
      </c>
      <c r="H157" t="s">
        <v>3003</v>
      </c>
      <c r="I157" t="s">
        <v>3019</v>
      </c>
      <c r="K157" t="str">
        <f t="shared" si="16"/>
        <v>Employed</v>
      </c>
      <c r="L157">
        <v>4</v>
      </c>
      <c r="M157">
        <v>905495</v>
      </c>
      <c r="N157">
        <f t="shared" si="17"/>
        <v>905495</v>
      </c>
      <c r="O157">
        <v>0</v>
      </c>
      <c r="P157">
        <v>13.11</v>
      </c>
      <c r="Q157">
        <v>36</v>
      </c>
      <c r="R157" t="s">
        <v>3049</v>
      </c>
      <c r="S157" t="str">
        <f t="shared" si="18"/>
        <v>Business</v>
      </c>
      <c r="T157">
        <v>658</v>
      </c>
      <c r="U157">
        <f t="shared" si="19"/>
        <v>658</v>
      </c>
      <c r="V157">
        <v>1</v>
      </c>
      <c r="W157" t="s">
        <v>3053</v>
      </c>
      <c r="X157" s="3" t="s">
        <v>3213</v>
      </c>
      <c r="Y157" s="3">
        <f t="shared" si="20"/>
        <v>45154</v>
      </c>
      <c r="Z157">
        <v>0.23899999999999999</v>
      </c>
    </row>
    <row r="158" spans="1:26" x14ac:dyDescent="0.35">
      <c r="A158" t="s">
        <v>173</v>
      </c>
      <c r="B158" t="str">
        <f t="shared" si="14"/>
        <v>OK</v>
      </c>
      <c r="C158" t="s">
        <v>1664</v>
      </c>
      <c r="D158" s="2">
        <v>26</v>
      </c>
      <c r="E158">
        <f>IF(OR(D158&lt;18, D158&gt;100),AD157,D158)</f>
        <v>26</v>
      </c>
      <c r="F158" t="s">
        <v>2992</v>
      </c>
      <c r="G158" t="str">
        <f t="shared" si="15"/>
        <v>Female</v>
      </c>
      <c r="H158" t="s">
        <v>3000</v>
      </c>
      <c r="I158" t="s">
        <v>3019</v>
      </c>
      <c r="K158" t="str">
        <f t="shared" si="16"/>
        <v>Employed</v>
      </c>
      <c r="L158">
        <v>10</v>
      </c>
      <c r="M158">
        <v>1153181</v>
      </c>
      <c r="N158">
        <f t="shared" si="17"/>
        <v>1153181</v>
      </c>
      <c r="O158">
        <v>340146</v>
      </c>
      <c r="P158">
        <v>24.4</v>
      </c>
      <c r="Q158">
        <v>36</v>
      </c>
      <c r="R158" t="s">
        <v>3048</v>
      </c>
      <c r="S158" t="str">
        <f t="shared" si="18"/>
        <v>Home Improvement</v>
      </c>
      <c r="T158">
        <v>452</v>
      </c>
      <c r="U158">
        <f t="shared" si="19"/>
        <v>452</v>
      </c>
      <c r="V158">
        <v>3</v>
      </c>
      <c r="W158" t="s">
        <v>3053</v>
      </c>
      <c r="X158" s="3" t="s">
        <v>3214</v>
      </c>
      <c r="Y158" s="3">
        <f t="shared" si="20"/>
        <v>44972</v>
      </c>
      <c r="Z158">
        <v>0.29499999999999998</v>
      </c>
    </row>
    <row r="159" spans="1:26" x14ac:dyDescent="0.35">
      <c r="A159" t="s">
        <v>174</v>
      </c>
      <c r="B159" t="str">
        <f t="shared" si="14"/>
        <v>OK</v>
      </c>
      <c r="C159" t="s">
        <v>1665</v>
      </c>
      <c r="D159" s="2">
        <v>25</v>
      </c>
      <c r="E159">
        <f>IF(OR(D159&lt;18, D159&gt;100),AD158,D159)</f>
        <v>25</v>
      </c>
      <c r="F159" t="s">
        <v>2990</v>
      </c>
      <c r="G159" t="str">
        <f t="shared" si="15"/>
        <v>Male</v>
      </c>
      <c r="H159" t="s">
        <v>3004</v>
      </c>
      <c r="I159" t="s">
        <v>3021</v>
      </c>
      <c r="K159" t="str">
        <f t="shared" si="16"/>
        <v>Unemployed</v>
      </c>
      <c r="L159">
        <v>12</v>
      </c>
      <c r="M159">
        <v>1480035</v>
      </c>
      <c r="N159">
        <f t="shared" si="17"/>
        <v>1480035</v>
      </c>
      <c r="O159">
        <v>434170</v>
      </c>
      <c r="P159">
        <v>24.37</v>
      </c>
      <c r="Q159">
        <v>60</v>
      </c>
      <c r="R159" t="s">
        <v>3050</v>
      </c>
      <c r="S159" t="str">
        <f t="shared" si="18"/>
        <v>Agriculture</v>
      </c>
      <c r="T159">
        <v>692</v>
      </c>
      <c r="U159">
        <f t="shared" si="19"/>
        <v>692</v>
      </c>
      <c r="V159">
        <v>5</v>
      </c>
      <c r="W159" t="s">
        <v>3056</v>
      </c>
      <c r="X159" s="3" t="s">
        <v>3205</v>
      </c>
      <c r="Y159" s="3">
        <f t="shared" si="20"/>
        <v>44315</v>
      </c>
      <c r="Z159">
        <v>0.29339999999999999</v>
      </c>
    </row>
    <row r="160" spans="1:26" x14ac:dyDescent="0.35">
      <c r="A160" t="s">
        <v>175</v>
      </c>
      <c r="B160" t="str">
        <f t="shared" si="14"/>
        <v>OK</v>
      </c>
      <c r="C160" t="s">
        <v>1666</v>
      </c>
      <c r="D160" s="2">
        <v>49</v>
      </c>
      <c r="E160">
        <f>IF(OR(D160&lt;18, D160&gt;100),AD159,D160)</f>
        <v>49</v>
      </c>
      <c r="F160" t="s">
        <v>2992</v>
      </c>
      <c r="G160" t="str">
        <f t="shared" si="15"/>
        <v>Female</v>
      </c>
      <c r="H160" t="s">
        <v>2998</v>
      </c>
      <c r="I160" t="s">
        <v>3020</v>
      </c>
      <c r="K160" t="str">
        <f t="shared" si="16"/>
        <v>Self-Employed</v>
      </c>
      <c r="L160">
        <v>28</v>
      </c>
      <c r="M160">
        <v>459215</v>
      </c>
      <c r="N160">
        <f t="shared" si="17"/>
        <v>459215</v>
      </c>
      <c r="O160">
        <v>71831</v>
      </c>
      <c r="P160">
        <v>10.4</v>
      </c>
      <c r="Q160">
        <v>48</v>
      </c>
      <c r="R160" t="s">
        <v>3046</v>
      </c>
      <c r="S160" t="str">
        <f t="shared" si="18"/>
        <v>Medical</v>
      </c>
      <c r="T160">
        <v>301</v>
      </c>
      <c r="U160">
        <f t="shared" si="19"/>
        <v>301</v>
      </c>
      <c r="V160">
        <v>0</v>
      </c>
      <c r="W160" t="s">
        <v>3054</v>
      </c>
      <c r="X160" s="3" t="s">
        <v>3215</v>
      </c>
      <c r="Y160" s="3">
        <f t="shared" si="20"/>
        <v>43883</v>
      </c>
      <c r="Z160">
        <v>0.15640000000000001</v>
      </c>
    </row>
    <row r="161" spans="1:26" x14ac:dyDescent="0.35">
      <c r="A161" t="s">
        <v>176</v>
      </c>
      <c r="B161" t="str">
        <f t="shared" si="14"/>
        <v>OK</v>
      </c>
      <c r="C161" t="s">
        <v>1667</v>
      </c>
      <c r="D161" s="2">
        <v>32</v>
      </c>
      <c r="E161">
        <f>IF(OR(D161&lt;18, D161&gt;100),AD160,D161)</f>
        <v>32</v>
      </c>
      <c r="F161" t="s">
        <v>2992</v>
      </c>
      <c r="G161" t="str">
        <f t="shared" si="15"/>
        <v>Female</v>
      </c>
      <c r="H161" t="s">
        <v>3005</v>
      </c>
      <c r="I161" t="s">
        <v>3020</v>
      </c>
      <c r="K161" t="str">
        <f t="shared" si="16"/>
        <v>Self-Employed</v>
      </c>
      <c r="L161">
        <v>11</v>
      </c>
      <c r="M161">
        <v>1970008</v>
      </c>
      <c r="N161">
        <f t="shared" si="17"/>
        <v>1970008</v>
      </c>
      <c r="O161">
        <v>665303</v>
      </c>
      <c r="P161">
        <v>17.8</v>
      </c>
      <c r="Q161">
        <v>48</v>
      </c>
      <c r="R161" t="s">
        <v>3050</v>
      </c>
      <c r="S161" t="str">
        <f t="shared" si="18"/>
        <v>Agriculture</v>
      </c>
      <c r="T161">
        <v>358</v>
      </c>
      <c r="U161">
        <f t="shared" si="19"/>
        <v>358</v>
      </c>
      <c r="V161">
        <v>1</v>
      </c>
      <c r="W161" t="s">
        <v>3057</v>
      </c>
      <c r="X161" s="3" t="s">
        <v>3216</v>
      </c>
      <c r="Y161" s="3">
        <f t="shared" si="20"/>
        <v>45031</v>
      </c>
      <c r="Z161">
        <v>0.3377</v>
      </c>
    </row>
    <row r="162" spans="1:26" x14ac:dyDescent="0.35">
      <c r="A162" t="s">
        <v>177</v>
      </c>
      <c r="B162" t="str">
        <f t="shared" si="14"/>
        <v>OK</v>
      </c>
      <c r="C162" t="s">
        <v>1668</v>
      </c>
      <c r="D162" s="2">
        <v>26</v>
      </c>
      <c r="E162">
        <f>IF(OR(D162&lt;18, D162&gt;100),AD161,D162)</f>
        <v>26</v>
      </c>
      <c r="F162" t="s">
        <v>2992</v>
      </c>
      <c r="G162" t="str">
        <f t="shared" si="15"/>
        <v>Female</v>
      </c>
      <c r="H162" t="s">
        <v>3000</v>
      </c>
      <c r="I162" t="s">
        <v>3020</v>
      </c>
      <c r="K162" t="str">
        <f t="shared" si="16"/>
        <v>Self-Employed</v>
      </c>
      <c r="L162">
        <v>29</v>
      </c>
      <c r="M162">
        <v>1057611</v>
      </c>
      <c r="N162">
        <f t="shared" si="17"/>
        <v>1057611</v>
      </c>
      <c r="O162">
        <v>90463</v>
      </c>
      <c r="P162">
        <v>13.38</v>
      </c>
      <c r="Q162">
        <v>12</v>
      </c>
      <c r="R162" t="s">
        <v>3049</v>
      </c>
      <c r="S162" t="str">
        <f t="shared" si="18"/>
        <v>Business</v>
      </c>
      <c r="T162">
        <v>586</v>
      </c>
      <c r="U162">
        <f t="shared" si="19"/>
        <v>586</v>
      </c>
      <c r="V162">
        <v>0</v>
      </c>
      <c r="W162" t="s">
        <v>3052</v>
      </c>
      <c r="X162" s="3" t="s">
        <v>3098</v>
      </c>
      <c r="Y162" s="3">
        <f t="shared" si="20"/>
        <v>44291</v>
      </c>
      <c r="Z162">
        <v>8.5500000000000007E-2</v>
      </c>
    </row>
    <row r="163" spans="1:26" x14ac:dyDescent="0.35">
      <c r="A163" t="s">
        <v>178</v>
      </c>
      <c r="B163" t="str">
        <f t="shared" si="14"/>
        <v>OK</v>
      </c>
      <c r="C163" t="s">
        <v>1669</v>
      </c>
      <c r="D163" s="2">
        <v>47</v>
      </c>
      <c r="E163">
        <f>IF(OR(D163&lt;18, D163&gt;100),AD162,D163)</f>
        <v>47</v>
      </c>
      <c r="F163" t="s">
        <v>2992</v>
      </c>
      <c r="G163" t="str">
        <f t="shared" si="15"/>
        <v>Female</v>
      </c>
      <c r="H163" t="s">
        <v>3002</v>
      </c>
      <c r="I163" t="s">
        <v>3020</v>
      </c>
      <c r="K163" t="str">
        <f t="shared" si="16"/>
        <v>Self-Employed</v>
      </c>
      <c r="L163">
        <v>21</v>
      </c>
      <c r="M163">
        <v>1226914</v>
      </c>
      <c r="N163">
        <f t="shared" si="17"/>
        <v>1226914</v>
      </c>
      <c r="O163">
        <v>726528</v>
      </c>
      <c r="P163">
        <v>11.26</v>
      </c>
      <c r="Q163">
        <v>60</v>
      </c>
      <c r="R163" t="s">
        <v>3046</v>
      </c>
      <c r="S163" t="str">
        <f t="shared" si="18"/>
        <v>Medical</v>
      </c>
      <c r="T163">
        <v>0</v>
      </c>
      <c r="U163">
        <f t="shared" si="19"/>
        <v>0</v>
      </c>
      <c r="V163">
        <v>5</v>
      </c>
      <c r="W163" t="s">
        <v>3052</v>
      </c>
      <c r="X163" s="3" t="s">
        <v>3217</v>
      </c>
      <c r="Y163" s="3">
        <f t="shared" si="20"/>
        <v>44841</v>
      </c>
      <c r="Z163">
        <v>0.59219999999999995</v>
      </c>
    </row>
    <row r="164" spans="1:26" x14ac:dyDescent="0.35">
      <c r="A164" t="s">
        <v>179</v>
      </c>
      <c r="B164" t="str">
        <f t="shared" si="14"/>
        <v>OK</v>
      </c>
      <c r="C164" t="s">
        <v>1670</v>
      </c>
      <c r="D164" s="2">
        <v>46</v>
      </c>
      <c r="E164">
        <f>IF(OR(D164&lt;18, D164&gt;100),AD163,D164)</f>
        <v>46</v>
      </c>
      <c r="F164" t="s">
        <v>2990</v>
      </c>
      <c r="G164" t="str">
        <f t="shared" si="15"/>
        <v>Male</v>
      </c>
      <c r="H164" t="s">
        <v>3006</v>
      </c>
      <c r="I164" t="s">
        <v>3021</v>
      </c>
      <c r="K164" t="str">
        <f t="shared" si="16"/>
        <v>Unemployed</v>
      </c>
      <c r="L164">
        <v>14</v>
      </c>
      <c r="M164">
        <v>399780</v>
      </c>
      <c r="N164">
        <f t="shared" si="17"/>
        <v>399780</v>
      </c>
      <c r="O164">
        <v>536479</v>
      </c>
      <c r="P164">
        <v>24.98</v>
      </c>
      <c r="Q164">
        <v>36</v>
      </c>
      <c r="R164" t="s">
        <v>3050</v>
      </c>
      <c r="S164" t="str">
        <f t="shared" si="18"/>
        <v>Agriculture</v>
      </c>
      <c r="T164">
        <v>684</v>
      </c>
      <c r="U164">
        <f t="shared" si="19"/>
        <v>684</v>
      </c>
      <c r="V164">
        <v>3</v>
      </c>
      <c r="W164" t="s">
        <v>3052</v>
      </c>
      <c r="X164" s="3" t="s">
        <v>3218</v>
      </c>
      <c r="Y164" s="3">
        <f t="shared" si="20"/>
        <v>44793</v>
      </c>
      <c r="Z164">
        <v>1.3419000000000001</v>
      </c>
    </row>
    <row r="165" spans="1:26" x14ac:dyDescent="0.35">
      <c r="A165" t="s">
        <v>180</v>
      </c>
      <c r="B165" t="str">
        <f t="shared" si="14"/>
        <v>OK</v>
      </c>
      <c r="C165" t="s">
        <v>1671</v>
      </c>
      <c r="D165" s="2">
        <v>61</v>
      </c>
      <c r="E165">
        <f>IF(OR(D165&lt;18, D165&gt;100),AD164,D165)</f>
        <v>61</v>
      </c>
      <c r="F165" t="s">
        <v>2990</v>
      </c>
      <c r="G165" t="str">
        <f t="shared" si="15"/>
        <v>Male</v>
      </c>
      <c r="H165" t="s">
        <v>3002</v>
      </c>
      <c r="I165" t="s">
        <v>3019</v>
      </c>
      <c r="K165" t="str">
        <f t="shared" si="16"/>
        <v>Employed</v>
      </c>
      <c r="L165">
        <v>29</v>
      </c>
      <c r="M165">
        <v>1567784</v>
      </c>
      <c r="N165">
        <f t="shared" si="17"/>
        <v>1567784</v>
      </c>
      <c r="O165">
        <v>575667</v>
      </c>
      <c r="P165">
        <v>17.5</v>
      </c>
      <c r="Q165">
        <v>60</v>
      </c>
      <c r="R165" t="s">
        <v>3051</v>
      </c>
      <c r="S165" t="str">
        <f t="shared" si="18"/>
        <v>Education</v>
      </c>
      <c r="T165">
        <v>506</v>
      </c>
      <c r="U165">
        <f t="shared" si="19"/>
        <v>506</v>
      </c>
      <c r="V165">
        <v>1</v>
      </c>
      <c r="W165" t="s">
        <v>3054</v>
      </c>
      <c r="X165" s="3" t="s">
        <v>3219</v>
      </c>
      <c r="Y165" s="3">
        <f t="shared" si="20"/>
        <v>45036</v>
      </c>
      <c r="Z165">
        <v>0.36720000000000003</v>
      </c>
    </row>
    <row r="166" spans="1:26" x14ac:dyDescent="0.35">
      <c r="A166" t="s">
        <v>181</v>
      </c>
      <c r="B166" t="str">
        <f t="shared" si="14"/>
        <v>OK</v>
      </c>
      <c r="C166" t="s">
        <v>1672</v>
      </c>
      <c r="D166" s="2">
        <v>22</v>
      </c>
      <c r="E166">
        <f>IF(OR(D166&lt;18, D166&gt;100),AD165,D166)</f>
        <v>22</v>
      </c>
      <c r="F166" t="s">
        <v>2990</v>
      </c>
      <c r="G166" t="str">
        <f t="shared" si="15"/>
        <v>Male</v>
      </c>
      <c r="H166" t="s">
        <v>3007</v>
      </c>
      <c r="I166" t="s">
        <v>3021</v>
      </c>
      <c r="K166" t="str">
        <f t="shared" si="16"/>
        <v>Unemployed</v>
      </c>
      <c r="L166">
        <v>0</v>
      </c>
      <c r="M166">
        <v>1932374</v>
      </c>
      <c r="N166">
        <f t="shared" si="17"/>
        <v>1932374</v>
      </c>
      <c r="O166">
        <v>197718</v>
      </c>
      <c r="P166">
        <v>17.38</v>
      </c>
      <c r="Q166">
        <v>12</v>
      </c>
      <c r="R166" t="s">
        <v>3047</v>
      </c>
      <c r="S166" t="str">
        <f t="shared" si="18"/>
        <v>Personal</v>
      </c>
      <c r="T166">
        <v>611</v>
      </c>
      <c r="U166">
        <f t="shared" si="19"/>
        <v>611</v>
      </c>
      <c r="V166">
        <v>5</v>
      </c>
      <c r="W166" t="s">
        <v>3052</v>
      </c>
      <c r="X166" s="3" t="s">
        <v>3220</v>
      </c>
      <c r="Y166" s="3">
        <f t="shared" si="20"/>
        <v>44316</v>
      </c>
      <c r="Z166">
        <v>0.1023</v>
      </c>
    </row>
    <row r="167" spans="1:26" x14ac:dyDescent="0.35">
      <c r="A167" t="s">
        <v>182</v>
      </c>
      <c r="B167" t="str">
        <f t="shared" si="14"/>
        <v>OK</v>
      </c>
      <c r="C167" t="s">
        <v>1673</v>
      </c>
      <c r="D167" s="2">
        <v>34</v>
      </c>
      <c r="E167">
        <f>IF(OR(D167&lt;18, D167&gt;100),AD166,D167)</f>
        <v>34</v>
      </c>
      <c r="F167" t="s">
        <v>2992</v>
      </c>
      <c r="G167" t="str">
        <f t="shared" si="15"/>
        <v>Female</v>
      </c>
      <c r="H167" t="s">
        <v>2998</v>
      </c>
      <c r="I167" t="s">
        <v>3020</v>
      </c>
      <c r="K167" t="str">
        <f t="shared" si="16"/>
        <v>Self-Employed</v>
      </c>
      <c r="L167">
        <v>22</v>
      </c>
      <c r="M167">
        <v>510817</v>
      </c>
      <c r="N167">
        <f t="shared" si="17"/>
        <v>510817</v>
      </c>
      <c r="O167">
        <v>327086</v>
      </c>
      <c r="P167">
        <v>12.78</v>
      </c>
      <c r="Q167">
        <v>48</v>
      </c>
      <c r="R167" t="s">
        <v>3049</v>
      </c>
      <c r="S167" t="str">
        <f t="shared" si="18"/>
        <v>Business</v>
      </c>
      <c r="T167">
        <v>422</v>
      </c>
      <c r="U167">
        <f t="shared" si="19"/>
        <v>422</v>
      </c>
      <c r="V167">
        <v>2</v>
      </c>
      <c r="W167" t="s">
        <v>3056</v>
      </c>
      <c r="X167" s="3" t="s">
        <v>3221</v>
      </c>
      <c r="Y167" s="3">
        <f t="shared" si="20"/>
        <v>43984</v>
      </c>
      <c r="Z167">
        <v>0.64029999999999998</v>
      </c>
    </row>
    <row r="168" spans="1:26" x14ac:dyDescent="0.35">
      <c r="A168" t="s">
        <v>183</v>
      </c>
      <c r="B168" t="str">
        <f t="shared" si="14"/>
        <v>OK</v>
      </c>
      <c r="C168" t="s">
        <v>1674</v>
      </c>
      <c r="D168" s="2">
        <v>47</v>
      </c>
      <c r="E168">
        <f>IF(OR(D168&lt;18, D168&gt;100),AD167,D168)</f>
        <v>47</v>
      </c>
      <c r="F168" t="s">
        <v>2990</v>
      </c>
      <c r="G168" t="str">
        <f t="shared" si="15"/>
        <v>Male</v>
      </c>
      <c r="H168" t="s">
        <v>3002</v>
      </c>
      <c r="I168" t="s">
        <v>3020</v>
      </c>
      <c r="K168" t="str">
        <f t="shared" si="16"/>
        <v>Self-Employed</v>
      </c>
      <c r="L168">
        <v>22</v>
      </c>
      <c r="M168">
        <v>286022</v>
      </c>
      <c r="N168">
        <f t="shared" si="17"/>
        <v>286022</v>
      </c>
      <c r="O168">
        <v>710955</v>
      </c>
      <c r="P168">
        <v>10.65</v>
      </c>
      <c r="Q168">
        <v>48</v>
      </c>
      <c r="R168" t="s">
        <v>3050</v>
      </c>
      <c r="S168" t="str">
        <f t="shared" si="18"/>
        <v>Agriculture</v>
      </c>
      <c r="T168">
        <v>732</v>
      </c>
      <c r="U168">
        <f t="shared" si="19"/>
        <v>732</v>
      </c>
      <c r="V168">
        <v>3</v>
      </c>
      <c r="W168" t="s">
        <v>3056</v>
      </c>
      <c r="X168" s="3" t="s">
        <v>3222</v>
      </c>
      <c r="Y168" s="3">
        <f t="shared" si="20"/>
        <v>45139</v>
      </c>
      <c r="Z168">
        <v>2.4857</v>
      </c>
    </row>
    <row r="169" spans="1:26" x14ac:dyDescent="0.35">
      <c r="A169" t="s">
        <v>184</v>
      </c>
      <c r="B169" t="str">
        <f t="shared" si="14"/>
        <v>OK</v>
      </c>
      <c r="C169" t="s">
        <v>1675</v>
      </c>
      <c r="D169" s="2">
        <v>24</v>
      </c>
      <c r="E169">
        <f>IF(OR(D169&lt;18, D169&gt;100),AD168,D169)</f>
        <v>24</v>
      </c>
      <c r="F169" t="s">
        <v>2992</v>
      </c>
      <c r="G169" t="str">
        <f t="shared" si="15"/>
        <v>Female</v>
      </c>
      <c r="H169" t="s">
        <v>3002</v>
      </c>
      <c r="I169" t="s">
        <v>3020</v>
      </c>
      <c r="K169" t="str">
        <f t="shared" si="16"/>
        <v>Self-Employed</v>
      </c>
      <c r="L169">
        <v>19</v>
      </c>
      <c r="M169">
        <v>615423</v>
      </c>
      <c r="N169">
        <f t="shared" si="17"/>
        <v>615423</v>
      </c>
      <c r="O169">
        <v>204456</v>
      </c>
      <c r="P169">
        <v>26.21</v>
      </c>
      <c r="Q169">
        <v>48</v>
      </c>
      <c r="R169" t="s">
        <v>3046</v>
      </c>
      <c r="S169" t="str">
        <f t="shared" si="18"/>
        <v>Medical</v>
      </c>
      <c r="T169">
        <v>311</v>
      </c>
      <c r="U169">
        <f t="shared" si="19"/>
        <v>311</v>
      </c>
      <c r="V169">
        <v>2</v>
      </c>
      <c r="W169" t="s">
        <v>3057</v>
      </c>
      <c r="X169" s="3" t="s">
        <v>3223</v>
      </c>
      <c r="Y169" s="3">
        <f t="shared" si="20"/>
        <v>43973</v>
      </c>
      <c r="Z169">
        <v>0.3322</v>
      </c>
    </row>
    <row r="170" spans="1:26" x14ac:dyDescent="0.35">
      <c r="A170" t="s">
        <v>185</v>
      </c>
      <c r="B170" t="str">
        <f t="shared" si="14"/>
        <v>OK</v>
      </c>
      <c r="C170" t="s">
        <v>1676</v>
      </c>
      <c r="D170" s="2">
        <v>43</v>
      </c>
      <c r="E170">
        <f>IF(OR(D170&lt;18, D170&gt;100),AD169,D170)</f>
        <v>43</v>
      </c>
      <c r="G170" t="str">
        <f t="shared" si="15"/>
        <v>Unknown</v>
      </c>
      <c r="H170" t="s">
        <v>3002</v>
      </c>
      <c r="I170" t="s">
        <v>3019</v>
      </c>
      <c r="K170" t="str">
        <f t="shared" si="16"/>
        <v>Employed</v>
      </c>
      <c r="L170">
        <v>4</v>
      </c>
      <c r="M170">
        <v>1736518</v>
      </c>
      <c r="N170">
        <f t="shared" si="17"/>
        <v>1736518</v>
      </c>
      <c r="O170">
        <v>313125</v>
      </c>
      <c r="P170">
        <v>15.73</v>
      </c>
      <c r="Q170">
        <v>12</v>
      </c>
      <c r="R170" t="s">
        <v>3051</v>
      </c>
      <c r="S170" t="str">
        <f t="shared" si="18"/>
        <v>Education</v>
      </c>
      <c r="T170">
        <v>675</v>
      </c>
      <c r="U170">
        <f t="shared" si="19"/>
        <v>675</v>
      </c>
      <c r="V170">
        <v>6</v>
      </c>
      <c r="W170" t="s">
        <v>3052</v>
      </c>
      <c r="X170" s="3" t="s">
        <v>3224</v>
      </c>
      <c r="Y170" s="3">
        <f t="shared" si="20"/>
        <v>45043</v>
      </c>
      <c r="Z170">
        <v>0.18029999999999999</v>
      </c>
    </row>
    <row r="171" spans="1:26" x14ac:dyDescent="0.35">
      <c r="A171" t="s">
        <v>186</v>
      </c>
      <c r="B171" t="str">
        <f t="shared" si="14"/>
        <v>OK</v>
      </c>
      <c r="C171" t="s">
        <v>1677</v>
      </c>
      <c r="D171" s="2">
        <v>42</v>
      </c>
      <c r="E171">
        <f>IF(OR(D171&lt;18, D171&gt;100),AD170,D171)</f>
        <v>42</v>
      </c>
      <c r="F171" t="s">
        <v>2990</v>
      </c>
      <c r="G171" t="str">
        <f t="shared" si="15"/>
        <v>Male</v>
      </c>
      <c r="H171" t="s">
        <v>2999</v>
      </c>
      <c r="I171" t="s">
        <v>3019</v>
      </c>
      <c r="K171" t="str">
        <f t="shared" si="16"/>
        <v>Employed</v>
      </c>
      <c r="L171">
        <v>8</v>
      </c>
      <c r="M171">
        <v>1869755</v>
      </c>
      <c r="N171">
        <f t="shared" si="17"/>
        <v>1869755</v>
      </c>
      <c r="O171">
        <v>768778</v>
      </c>
      <c r="P171">
        <v>24.66</v>
      </c>
      <c r="Q171">
        <v>48</v>
      </c>
      <c r="R171" t="s">
        <v>3050</v>
      </c>
      <c r="S171" t="str">
        <f t="shared" si="18"/>
        <v>Agriculture</v>
      </c>
      <c r="T171">
        <v>351</v>
      </c>
      <c r="U171">
        <f t="shared" si="19"/>
        <v>351</v>
      </c>
      <c r="V171">
        <v>5</v>
      </c>
      <c r="W171" t="s">
        <v>3055</v>
      </c>
      <c r="X171" s="3" t="s">
        <v>3225</v>
      </c>
      <c r="Y171" s="3">
        <f t="shared" si="20"/>
        <v>44168</v>
      </c>
      <c r="Z171">
        <v>0.41120000000000001</v>
      </c>
    </row>
    <row r="172" spans="1:26" x14ac:dyDescent="0.35">
      <c r="A172" t="s">
        <v>187</v>
      </c>
      <c r="B172" t="str">
        <f t="shared" si="14"/>
        <v>OK</v>
      </c>
      <c r="C172" t="s">
        <v>1678</v>
      </c>
      <c r="D172" s="2">
        <v>22</v>
      </c>
      <c r="E172">
        <f>IF(OR(D172&lt;18, D172&gt;100),AD171,D172)</f>
        <v>22</v>
      </c>
      <c r="F172" t="s">
        <v>2992</v>
      </c>
      <c r="G172" t="str">
        <f t="shared" si="15"/>
        <v>Female</v>
      </c>
      <c r="H172" t="s">
        <v>3005</v>
      </c>
      <c r="I172" t="s">
        <v>3018</v>
      </c>
      <c r="K172" t="str">
        <f t="shared" si="16"/>
        <v>Business Owner</v>
      </c>
      <c r="L172">
        <v>17</v>
      </c>
      <c r="M172">
        <v>264080</v>
      </c>
      <c r="N172">
        <f t="shared" si="17"/>
        <v>264080</v>
      </c>
      <c r="O172">
        <v>621160</v>
      </c>
      <c r="P172">
        <v>9.6</v>
      </c>
      <c r="Q172">
        <v>24</v>
      </c>
      <c r="S172" t="str">
        <f t="shared" si="18"/>
        <v>Unknown</v>
      </c>
      <c r="T172">
        <v>786</v>
      </c>
      <c r="U172">
        <f t="shared" si="19"/>
        <v>786</v>
      </c>
      <c r="V172">
        <v>0</v>
      </c>
      <c r="W172" t="s">
        <v>3053</v>
      </c>
      <c r="X172" s="3" t="s">
        <v>3226</v>
      </c>
      <c r="Y172" s="3">
        <f t="shared" si="20"/>
        <v>45218</v>
      </c>
      <c r="Z172">
        <v>2.3521999999999998</v>
      </c>
    </row>
    <row r="173" spans="1:26" x14ac:dyDescent="0.35">
      <c r="A173" t="s">
        <v>188</v>
      </c>
      <c r="B173" t="str">
        <f t="shared" si="14"/>
        <v>OK</v>
      </c>
      <c r="C173" t="s">
        <v>1679</v>
      </c>
      <c r="D173" s="2">
        <v>39</v>
      </c>
      <c r="E173">
        <f>IF(OR(D173&lt;18, D173&gt;100),AD172,D173)</f>
        <v>39</v>
      </c>
      <c r="F173" t="s">
        <v>2992</v>
      </c>
      <c r="G173" t="str">
        <f t="shared" si="15"/>
        <v>Female</v>
      </c>
      <c r="H173" t="s">
        <v>3007</v>
      </c>
      <c r="I173" t="s">
        <v>3019</v>
      </c>
      <c r="K173" t="str">
        <f t="shared" si="16"/>
        <v>Employed</v>
      </c>
      <c r="L173">
        <v>12</v>
      </c>
      <c r="M173">
        <v>1926688</v>
      </c>
      <c r="N173">
        <f t="shared" si="17"/>
        <v>1926688</v>
      </c>
      <c r="O173">
        <v>372156</v>
      </c>
      <c r="P173">
        <v>9.41</v>
      </c>
      <c r="Q173">
        <v>48</v>
      </c>
      <c r="R173" t="s">
        <v>3049</v>
      </c>
      <c r="S173" t="str">
        <f t="shared" si="18"/>
        <v>Business</v>
      </c>
      <c r="T173">
        <v>832</v>
      </c>
      <c r="U173">
        <f t="shared" si="19"/>
        <v>832</v>
      </c>
      <c r="V173">
        <v>3</v>
      </c>
      <c r="W173" t="s">
        <v>3053</v>
      </c>
      <c r="X173" s="3" t="s">
        <v>3227</v>
      </c>
      <c r="Y173" s="3">
        <f t="shared" si="20"/>
        <v>44503</v>
      </c>
      <c r="Z173">
        <v>0.19320000000000001</v>
      </c>
    </row>
    <row r="174" spans="1:26" x14ac:dyDescent="0.35">
      <c r="A174" t="s">
        <v>189</v>
      </c>
      <c r="B174" t="str">
        <f t="shared" si="14"/>
        <v>OK</v>
      </c>
      <c r="C174" t="s">
        <v>1680</v>
      </c>
      <c r="D174" s="2">
        <v>34</v>
      </c>
      <c r="E174">
        <f>IF(OR(D174&lt;18, D174&gt;100),AD173,D174)</f>
        <v>34</v>
      </c>
      <c r="F174" t="s">
        <v>2992</v>
      </c>
      <c r="G174" t="str">
        <f t="shared" si="15"/>
        <v>Female</v>
      </c>
      <c r="H174" t="s">
        <v>3003</v>
      </c>
      <c r="I174" t="s">
        <v>3018</v>
      </c>
      <c r="K174" t="str">
        <f t="shared" si="16"/>
        <v>Business Owner</v>
      </c>
      <c r="L174">
        <v>22</v>
      </c>
      <c r="M174">
        <v>889662</v>
      </c>
      <c r="N174">
        <f t="shared" si="17"/>
        <v>889662</v>
      </c>
      <c r="O174">
        <v>461904</v>
      </c>
      <c r="P174">
        <v>26.17</v>
      </c>
      <c r="Q174">
        <v>36</v>
      </c>
      <c r="S174" t="str">
        <f t="shared" si="18"/>
        <v>Unknown</v>
      </c>
      <c r="T174">
        <v>673</v>
      </c>
      <c r="U174">
        <f t="shared" si="19"/>
        <v>673</v>
      </c>
      <c r="V174">
        <v>3</v>
      </c>
      <c r="W174" t="s">
        <v>3054</v>
      </c>
      <c r="X174" s="3" t="s">
        <v>3228</v>
      </c>
      <c r="Y174" s="3">
        <f t="shared" si="20"/>
        <v>44566</v>
      </c>
      <c r="Z174">
        <v>0.51919999999999999</v>
      </c>
    </row>
    <row r="175" spans="1:26" x14ac:dyDescent="0.35">
      <c r="A175" t="s">
        <v>190</v>
      </c>
      <c r="B175" t="str">
        <f t="shared" si="14"/>
        <v>OK</v>
      </c>
      <c r="C175" t="s">
        <v>1681</v>
      </c>
      <c r="D175" s="2">
        <v>23</v>
      </c>
      <c r="E175">
        <f>IF(OR(D175&lt;18, D175&gt;100),AD174,D175)</f>
        <v>23</v>
      </c>
      <c r="F175" t="s">
        <v>2990</v>
      </c>
      <c r="G175" t="str">
        <f t="shared" si="15"/>
        <v>Male</v>
      </c>
      <c r="H175" t="s">
        <v>3001</v>
      </c>
      <c r="I175" t="s">
        <v>3021</v>
      </c>
      <c r="K175" t="str">
        <f t="shared" si="16"/>
        <v>Unemployed</v>
      </c>
      <c r="L175">
        <v>20</v>
      </c>
      <c r="M175">
        <v>1115772</v>
      </c>
      <c r="N175">
        <f t="shared" si="17"/>
        <v>1115772</v>
      </c>
      <c r="O175">
        <v>392047</v>
      </c>
      <c r="P175">
        <v>9.14</v>
      </c>
      <c r="Q175">
        <v>48</v>
      </c>
      <c r="R175" t="s">
        <v>3050</v>
      </c>
      <c r="S175" t="str">
        <f t="shared" si="18"/>
        <v>Agriculture</v>
      </c>
      <c r="T175">
        <v>444</v>
      </c>
      <c r="U175">
        <f t="shared" si="19"/>
        <v>444</v>
      </c>
      <c r="V175">
        <v>7</v>
      </c>
      <c r="W175" t="s">
        <v>3055</v>
      </c>
      <c r="X175" s="3" t="s">
        <v>3229</v>
      </c>
      <c r="Y175" s="3">
        <f t="shared" si="20"/>
        <v>44279</v>
      </c>
      <c r="Z175">
        <v>0.35139999999999999</v>
      </c>
    </row>
    <row r="176" spans="1:26" x14ac:dyDescent="0.35">
      <c r="A176" t="s">
        <v>191</v>
      </c>
      <c r="B176" t="str">
        <f t="shared" si="14"/>
        <v>OK</v>
      </c>
      <c r="C176" t="s">
        <v>1682</v>
      </c>
      <c r="D176" s="2">
        <v>26</v>
      </c>
      <c r="E176">
        <f>IF(OR(D176&lt;18, D176&gt;100),AD175,D176)</f>
        <v>26</v>
      </c>
      <c r="F176" t="s">
        <v>2992</v>
      </c>
      <c r="G176" t="str">
        <f t="shared" si="15"/>
        <v>Female</v>
      </c>
      <c r="H176" t="s">
        <v>3004</v>
      </c>
      <c r="I176" t="s">
        <v>3021</v>
      </c>
      <c r="K176" t="str">
        <f t="shared" si="16"/>
        <v>Unemployed</v>
      </c>
      <c r="L176">
        <v>13</v>
      </c>
      <c r="M176">
        <v>1599541</v>
      </c>
      <c r="N176">
        <f t="shared" si="17"/>
        <v>1599541</v>
      </c>
      <c r="O176">
        <v>738316</v>
      </c>
      <c r="P176">
        <v>24.84</v>
      </c>
      <c r="Q176">
        <v>36</v>
      </c>
      <c r="R176" t="s">
        <v>3050</v>
      </c>
      <c r="S176" t="str">
        <f t="shared" si="18"/>
        <v>Agriculture</v>
      </c>
      <c r="T176">
        <v>692</v>
      </c>
      <c r="U176">
        <f t="shared" si="19"/>
        <v>692</v>
      </c>
      <c r="V176">
        <v>3</v>
      </c>
      <c r="W176" t="s">
        <v>3057</v>
      </c>
      <c r="X176" s="3" t="s">
        <v>3230</v>
      </c>
      <c r="Y176" s="3">
        <f t="shared" si="20"/>
        <v>44047</v>
      </c>
      <c r="Z176">
        <v>0.46160000000000001</v>
      </c>
    </row>
    <row r="177" spans="1:26" x14ac:dyDescent="0.35">
      <c r="A177" t="s">
        <v>192</v>
      </c>
      <c r="B177" t="str">
        <f t="shared" si="14"/>
        <v>OK</v>
      </c>
      <c r="C177" t="s">
        <v>1683</v>
      </c>
      <c r="D177" s="2">
        <v>22</v>
      </c>
      <c r="E177">
        <f>IF(OR(D177&lt;18, D177&gt;100),AD176,D177)</f>
        <v>22</v>
      </c>
      <c r="F177" t="s">
        <v>2992</v>
      </c>
      <c r="G177" t="str">
        <f t="shared" si="15"/>
        <v>Female</v>
      </c>
      <c r="H177" t="s">
        <v>3004</v>
      </c>
      <c r="I177" t="s">
        <v>3018</v>
      </c>
      <c r="K177" t="str">
        <f t="shared" si="16"/>
        <v>Business Owner</v>
      </c>
      <c r="L177">
        <v>16</v>
      </c>
      <c r="M177">
        <v>1678492</v>
      </c>
      <c r="N177">
        <f t="shared" si="17"/>
        <v>1678492</v>
      </c>
      <c r="O177">
        <v>163279</v>
      </c>
      <c r="P177">
        <v>14.24</v>
      </c>
      <c r="Q177">
        <v>48</v>
      </c>
      <c r="R177" t="s">
        <v>3050</v>
      </c>
      <c r="S177" t="str">
        <f t="shared" si="18"/>
        <v>Agriculture</v>
      </c>
      <c r="T177">
        <v>633</v>
      </c>
      <c r="U177">
        <f t="shared" si="19"/>
        <v>633</v>
      </c>
      <c r="V177">
        <v>1</v>
      </c>
      <c r="W177" t="s">
        <v>3056</v>
      </c>
      <c r="X177" s="3" t="s">
        <v>3231</v>
      </c>
      <c r="Y177" s="3">
        <f t="shared" si="20"/>
        <v>45038</v>
      </c>
      <c r="Z177">
        <v>9.7299999999999998E-2</v>
      </c>
    </row>
    <row r="178" spans="1:26" x14ac:dyDescent="0.35">
      <c r="A178" t="s">
        <v>193</v>
      </c>
      <c r="B178" t="str">
        <f t="shared" si="14"/>
        <v>OK</v>
      </c>
      <c r="C178" t="s">
        <v>1684</v>
      </c>
      <c r="D178" s="2">
        <v>64</v>
      </c>
      <c r="E178">
        <f>IF(OR(D178&lt;18, D178&gt;100),AD177,D178)</f>
        <v>64</v>
      </c>
      <c r="F178" t="s">
        <v>2992</v>
      </c>
      <c r="G178" t="str">
        <f t="shared" si="15"/>
        <v>Female</v>
      </c>
      <c r="H178" t="s">
        <v>3006</v>
      </c>
      <c r="I178" t="s">
        <v>3021</v>
      </c>
      <c r="K178" t="str">
        <f t="shared" si="16"/>
        <v>Unemployed</v>
      </c>
      <c r="L178">
        <v>21</v>
      </c>
      <c r="M178">
        <v>1671633</v>
      </c>
      <c r="N178">
        <f t="shared" si="17"/>
        <v>1671633</v>
      </c>
      <c r="O178">
        <v>317675</v>
      </c>
      <c r="P178" t="s">
        <v>3024</v>
      </c>
      <c r="Q178">
        <v>24</v>
      </c>
      <c r="R178" t="s">
        <v>3051</v>
      </c>
      <c r="S178" t="str">
        <f t="shared" si="18"/>
        <v>Education</v>
      </c>
      <c r="T178">
        <v>403</v>
      </c>
      <c r="U178">
        <f t="shared" si="19"/>
        <v>403</v>
      </c>
      <c r="V178">
        <v>0</v>
      </c>
      <c r="W178" t="s">
        <v>3056</v>
      </c>
      <c r="X178" s="3" t="s">
        <v>3232</v>
      </c>
      <c r="Y178" s="3">
        <f t="shared" si="20"/>
        <v>44341</v>
      </c>
      <c r="Z178">
        <v>0.19</v>
      </c>
    </row>
    <row r="179" spans="1:26" x14ac:dyDescent="0.35">
      <c r="A179" t="s">
        <v>194</v>
      </c>
      <c r="B179" t="str">
        <f t="shared" si="14"/>
        <v>OK</v>
      </c>
      <c r="C179" t="s">
        <v>1685</v>
      </c>
      <c r="D179" s="2">
        <v>35</v>
      </c>
      <c r="E179">
        <f>IF(OR(D179&lt;18, D179&gt;100),AD178,D179)</f>
        <v>35</v>
      </c>
      <c r="F179" t="s">
        <v>2992</v>
      </c>
      <c r="G179" t="str">
        <f t="shared" si="15"/>
        <v>Female</v>
      </c>
      <c r="H179" t="s">
        <v>3004</v>
      </c>
      <c r="I179" t="s">
        <v>3019</v>
      </c>
      <c r="K179" t="str">
        <f t="shared" si="16"/>
        <v>Employed</v>
      </c>
      <c r="L179">
        <v>12</v>
      </c>
      <c r="M179">
        <v>1682025</v>
      </c>
      <c r="N179">
        <f t="shared" si="17"/>
        <v>1682025</v>
      </c>
      <c r="O179">
        <v>466790</v>
      </c>
      <c r="P179">
        <v>12.52</v>
      </c>
      <c r="Q179">
        <v>24</v>
      </c>
      <c r="R179" t="s">
        <v>3051</v>
      </c>
      <c r="S179" t="str">
        <f t="shared" si="18"/>
        <v>Education</v>
      </c>
      <c r="T179">
        <v>483</v>
      </c>
      <c r="U179">
        <f t="shared" si="19"/>
        <v>483</v>
      </c>
      <c r="V179">
        <v>3</v>
      </c>
      <c r="W179" t="s">
        <v>3054</v>
      </c>
      <c r="X179" s="3" t="s">
        <v>3233</v>
      </c>
      <c r="Y179" s="3">
        <f t="shared" si="20"/>
        <v>44450</v>
      </c>
      <c r="Z179">
        <v>0.27750000000000002</v>
      </c>
    </row>
    <row r="180" spans="1:26" x14ac:dyDescent="0.35">
      <c r="A180" t="s">
        <v>195</v>
      </c>
      <c r="B180" t="str">
        <f t="shared" si="14"/>
        <v>OK</v>
      </c>
      <c r="C180" t="s">
        <v>1686</v>
      </c>
      <c r="D180" s="2">
        <v>45</v>
      </c>
      <c r="E180">
        <f>IF(OR(D180&lt;18, D180&gt;100),AD179,D180)</f>
        <v>45</v>
      </c>
      <c r="F180" t="s">
        <v>2992</v>
      </c>
      <c r="G180" t="str">
        <f t="shared" si="15"/>
        <v>Female</v>
      </c>
      <c r="H180" t="s">
        <v>3004</v>
      </c>
      <c r="I180" t="s">
        <v>3021</v>
      </c>
      <c r="K180" t="str">
        <f t="shared" si="16"/>
        <v>Unemployed</v>
      </c>
      <c r="L180">
        <v>23</v>
      </c>
      <c r="M180">
        <v>903035</v>
      </c>
      <c r="N180">
        <f t="shared" si="17"/>
        <v>903035</v>
      </c>
      <c r="O180">
        <v>366371</v>
      </c>
      <c r="P180">
        <v>13.26</v>
      </c>
      <c r="Q180">
        <v>60</v>
      </c>
      <c r="R180" t="s">
        <v>3048</v>
      </c>
      <c r="S180" t="str">
        <f t="shared" si="18"/>
        <v>Home Improvement</v>
      </c>
      <c r="T180">
        <v>451</v>
      </c>
      <c r="U180">
        <f t="shared" si="19"/>
        <v>451</v>
      </c>
      <c r="V180">
        <v>3</v>
      </c>
      <c r="W180" t="s">
        <v>3052</v>
      </c>
      <c r="X180" s="3" t="s">
        <v>3234</v>
      </c>
      <c r="Y180" s="3">
        <f t="shared" si="20"/>
        <v>44750</v>
      </c>
      <c r="Z180">
        <v>0.40570000000000001</v>
      </c>
    </row>
    <row r="181" spans="1:26" x14ac:dyDescent="0.35">
      <c r="A181" t="s">
        <v>196</v>
      </c>
      <c r="B181" t="str">
        <f t="shared" si="14"/>
        <v>OK</v>
      </c>
      <c r="C181" t="s">
        <v>1687</v>
      </c>
      <c r="D181" s="2">
        <v>57</v>
      </c>
      <c r="E181">
        <f>IF(OR(D181&lt;18, D181&gt;100),AD180,D181)</f>
        <v>57</v>
      </c>
      <c r="F181" t="s">
        <v>2992</v>
      </c>
      <c r="G181" t="str">
        <f t="shared" si="15"/>
        <v>Female</v>
      </c>
      <c r="H181" t="s">
        <v>3002</v>
      </c>
      <c r="I181" t="s">
        <v>3019</v>
      </c>
      <c r="K181" t="str">
        <f t="shared" si="16"/>
        <v>Employed</v>
      </c>
      <c r="L181">
        <v>5</v>
      </c>
      <c r="M181">
        <v>934950</v>
      </c>
      <c r="N181">
        <f t="shared" si="17"/>
        <v>934950</v>
      </c>
      <c r="O181">
        <v>735339</v>
      </c>
      <c r="P181">
        <v>22.76</v>
      </c>
      <c r="Q181">
        <v>60</v>
      </c>
      <c r="R181" t="s">
        <v>3051</v>
      </c>
      <c r="S181" t="str">
        <f t="shared" si="18"/>
        <v>Education</v>
      </c>
      <c r="T181">
        <v>837</v>
      </c>
      <c r="U181">
        <f t="shared" si="19"/>
        <v>837</v>
      </c>
      <c r="V181">
        <v>4</v>
      </c>
      <c r="W181" t="s">
        <v>3053</v>
      </c>
      <c r="X181" s="3" t="s">
        <v>3235</v>
      </c>
      <c r="Y181" s="3">
        <f t="shared" si="20"/>
        <v>43850</v>
      </c>
      <c r="Z181">
        <v>0.78649999999999998</v>
      </c>
    </row>
    <row r="182" spans="1:26" x14ac:dyDescent="0.35">
      <c r="A182" t="s">
        <v>197</v>
      </c>
      <c r="B182" t="str">
        <f t="shared" si="14"/>
        <v>OK</v>
      </c>
      <c r="C182" t="s">
        <v>1688</v>
      </c>
      <c r="D182" s="2">
        <v>23</v>
      </c>
      <c r="E182">
        <f>IF(OR(D182&lt;18, D182&gt;100),AD181,D182)</f>
        <v>23</v>
      </c>
      <c r="F182" t="s">
        <v>2990</v>
      </c>
      <c r="G182" t="str">
        <f t="shared" si="15"/>
        <v>Male</v>
      </c>
      <c r="H182" t="s">
        <v>3002</v>
      </c>
      <c r="I182" t="s">
        <v>3021</v>
      </c>
      <c r="K182" t="str">
        <f t="shared" si="16"/>
        <v>Unemployed</v>
      </c>
      <c r="L182">
        <v>11</v>
      </c>
      <c r="M182">
        <v>2139406</v>
      </c>
      <c r="N182">
        <f t="shared" si="17"/>
        <v>2139406</v>
      </c>
      <c r="O182">
        <v>88431</v>
      </c>
      <c r="P182">
        <v>12.45</v>
      </c>
      <c r="Q182">
        <v>60</v>
      </c>
      <c r="R182" t="s">
        <v>3046</v>
      </c>
      <c r="S182" t="str">
        <f t="shared" si="18"/>
        <v>Medical</v>
      </c>
      <c r="T182">
        <v>710</v>
      </c>
      <c r="U182">
        <f t="shared" si="19"/>
        <v>710</v>
      </c>
      <c r="V182">
        <v>0</v>
      </c>
      <c r="W182" t="s">
        <v>3054</v>
      </c>
      <c r="X182" s="3" t="s">
        <v>3236</v>
      </c>
      <c r="Y182" s="3">
        <f t="shared" si="20"/>
        <v>44312</v>
      </c>
      <c r="Z182">
        <v>4.1300000000000003E-2</v>
      </c>
    </row>
    <row r="183" spans="1:26" x14ac:dyDescent="0.35">
      <c r="A183" t="s">
        <v>198</v>
      </c>
      <c r="B183" t="str">
        <f t="shared" si="14"/>
        <v>OK</v>
      </c>
      <c r="C183" t="s">
        <v>1689</v>
      </c>
      <c r="D183" s="2">
        <v>32</v>
      </c>
      <c r="E183">
        <f>IF(OR(D183&lt;18, D183&gt;100),AD182,D183)</f>
        <v>32</v>
      </c>
      <c r="F183" t="s">
        <v>2992</v>
      </c>
      <c r="G183" t="str">
        <f t="shared" si="15"/>
        <v>Female</v>
      </c>
      <c r="H183" t="s">
        <v>3000</v>
      </c>
      <c r="I183" t="s">
        <v>3018</v>
      </c>
      <c r="K183" t="str">
        <f t="shared" si="16"/>
        <v>Business Owner</v>
      </c>
      <c r="L183">
        <v>10</v>
      </c>
      <c r="M183">
        <v>1280500</v>
      </c>
      <c r="N183">
        <f t="shared" si="17"/>
        <v>1280500</v>
      </c>
      <c r="O183">
        <v>781282</v>
      </c>
      <c r="P183">
        <v>15.95</v>
      </c>
      <c r="Q183">
        <v>36</v>
      </c>
      <c r="R183" t="s">
        <v>3051</v>
      </c>
      <c r="S183" t="str">
        <f t="shared" si="18"/>
        <v>Education</v>
      </c>
      <c r="T183">
        <v>545</v>
      </c>
      <c r="U183">
        <f t="shared" si="19"/>
        <v>545</v>
      </c>
      <c r="V183">
        <v>1</v>
      </c>
      <c r="W183" t="s">
        <v>3053</v>
      </c>
      <c r="X183" s="3" t="s">
        <v>3237</v>
      </c>
      <c r="Y183" s="3">
        <f t="shared" si="20"/>
        <v>44932</v>
      </c>
      <c r="Z183">
        <v>0.61009999999999998</v>
      </c>
    </row>
    <row r="184" spans="1:26" x14ac:dyDescent="0.35">
      <c r="A184" t="s">
        <v>199</v>
      </c>
      <c r="B184" t="str">
        <f t="shared" si="14"/>
        <v>OK</v>
      </c>
      <c r="C184" t="s">
        <v>1690</v>
      </c>
      <c r="D184" s="2">
        <v>47</v>
      </c>
      <c r="E184">
        <f>IF(OR(D184&lt;18, D184&gt;100),AD183,D184)</f>
        <v>47</v>
      </c>
      <c r="F184" t="s">
        <v>2990</v>
      </c>
      <c r="G184" t="str">
        <f t="shared" si="15"/>
        <v>Male</v>
      </c>
      <c r="H184" t="s">
        <v>3002</v>
      </c>
      <c r="I184" t="s">
        <v>3018</v>
      </c>
      <c r="K184" t="str">
        <f t="shared" si="16"/>
        <v>Business Owner</v>
      </c>
      <c r="L184">
        <v>21</v>
      </c>
      <c r="M184">
        <v>1314106</v>
      </c>
      <c r="N184">
        <f t="shared" si="17"/>
        <v>1314106</v>
      </c>
      <c r="O184">
        <v>700332</v>
      </c>
      <c r="P184">
        <v>14.8</v>
      </c>
      <c r="Q184">
        <v>36</v>
      </c>
      <c r="R184" t="s">
        <v>3049</v>
      </c>
      <c r="S184" t="str">
        <f t="shared" si="18"/>
        <v>Business</v>
      </c>
      <c r="T184">
        <v>598</v>
      </c>
      <c r="U184">
        <f t="shared" si="19"/>
        <v>598</v>
      </c>
      <c r="V184">
        <v>3</v>
      </c>
      <c r="W184" t="s">
        <v>3056</v>
      </c>
      <c r="X184" s="3" t="s">
        <v>3238</v>
      </c>
      <c r="Y184" s="3">
        <f t="shared" si="20"/>
        <v>44336</v>
      </c>
      <c r="Z184">
        <v>0.53290000000000004</v>
      </c>
    </row>
    <row r="185" spans="1:26" x14ac:dyDescent="0.35">
      <c r="A185" t="s">
        <v>200</v>
      </c>
      <c r="B185" t="str">
        <f t="shared" si="14"/>
        <v>OK</v>
      </c>
      <c r="C185" t="s">
        <v>1691</v>
      </c>
      <c r="D185" s="2">
        <v>25</v>
      </c>
      <c r="E185">
        <f>IF(OR(D185&lt;18, D185&gt;100),AD184,D185)</f>
        <v>25</v>
      </c>
      <c r="F185" t="s">
        <v>2990</v>
      </c>
      <c r="G185" t="str">
        <f t="shared" si="15"/>
        <v>Male</v>
      </c>
      <c r="H185" t="s">
        <v>3003</v>
      </c>
      <c r="I185" t="s">
        <v>3020</v>
      </c>
      <c r="K185" t="str">
        <f t="shared" si="16"/>
        <v>Self-Employed</v>
      </c>
      <c r="L185">
        <v>28</v>
      </c>
      <c r="M185">
        <v>2139669</v>
      </c>
      <c r="N185">
        <f t="shared" si="17"/>
        <v>2139669</v>
      </c>
      <c r="O185">
        <v>446488</v>
      </c>
      <c r="P185">
        <v>24.05</v>
      </c>
      <c r="Q185">
        <v>36</v>
      </c>
      <c r="R185" t="s">
        <v>3046</v>
      </c>
      <c r="S185" t="str">
        <f t="shared" si="18"/>
        <v>Medical</v>
      </c>
      <c r="T185">
        <v>655</v>
      </c>
      <c r="U185">
        <f t="shared" si="19"/>
        <v>655</v>
      </c>
      <c r="V185">
        <v>0</v>
      </c>
      <c r="W185" t="s">
        <v>3054</v>
      </c>
      <c r="X185" s="3" t="s">
        <v>3239</v>
      </c>
      <c r="Y185" s="3">
        <f t="shared" si="20"/>
        <v>44299</v>
      </c>
      <c r="Z185">
        <v>0.2087</v>
      </c>
    </row>
    <row r="186" spans="1:26" x14ac:dyDescent="0.35">
      <c r="A186" t="s">
        <v>201</v>
      </c>
      <c r="B186" t="str">
        <f t="shared" si="14"/>
        <v>OK</v>
      </c>
      <c r="C186" t="s">
        <v>1692</v>
      </c>
      <c r="D186" s="2">
        <v>42</v>
      </c>
      <c r="E186">
        <f>IF(OR(D186&lt;18, D186&gt;100),AD185,D186)</f>
        <v>42</v>
      </c>
      <c r="F186" t="s">
        <v>2990</v>
      </c>
      <c r="G186" t="str">
        <f t="shared" si="15"/>
        <v>Male</v>
      </c>
      <c r="H186" t="s">
        <v>3005</v>
      </c>
      <c r="I186" t="s">
        <v>3021</v>
      </c>
      <c r="K186" t="str">
        <f t="shared" si="16"/>
        <v>Unemployed</v>
      </c>
      <c r="L186">
        <v>20</v>
      </c>
      <c r="M186">
        <v>1365111</v>
      </c>
      <c r="N186">
        <f t="shared" si="17"/>
        <v>1365111</v>
      </c>
      <c r="O186">
        <v>343258</v>
      </c>
      <c r="P186">
        <v>11.2</v>
      </c>
      <c r="Q186">
        <v>12</v>
      </c>
      <c r="R186" t="s">
        <v>3049</v>
      </c>
      <c r="S186" t="str">
        <f t="shared" si="18"/>
        <v>Business</v>
      </c>
      <c r="U186">
        <f t="shared" si="19"/>
        <v>556</v>
      </c>
      <c r="V186">
        <v>3</v>
      </c>
      <c r="W186" t="s">
        <v>3052</v>
      </c>
      <c r="X186" s="3" t="s">
        <v>3240</v>
      </c>
      <c r="Y186" s="3">
        <f t="shared" si="20"/>
        <v>45252</v>
      </c>
      <c r="Z186">
        <v>0.2515</v>
      </c>
    </row>
    <row r="187" spans="1:26" x14ac:dyDescent="0.35">
      <c r="A187" t="s">
        <v>202</v>
      </c>
      <c r="B187" t="str">
        <f t="shared" si="14"/>
        <v>OK</v>
      </c>
      <c r="C187" t="s">
        <v>1693</v>
      </c>
      <c r="D187" s="2">
        <v>50</v>
      </c>
      <c r="E187">
        <f>IF(OR(D187&lt;18, D187&gt;100),AD186,D187)</f>
        <v>50</v>
      </c>
      <c r="F187" t="s">
        <v>2990</v>
      </c>
      <c r="G187" t="str">
        <f t="shared" si="15"/>
        <v>Male</v>
      </c>
      <c r="H187" t="s">
        <v>3006</v>
      </c>
      <c r="I187" t="s">
        <v>3021</v>
      </c>
      <c r="K187" t="str">
        <f t="shared" si="16"/>
        <v>Unemployed</v>
      </c>
      <c r="L187">
        <v>14</v>
      </c>
      <c r="M187">
        <v>2143571</v>
      </c>
      <c r="N187">
        <f t="shared" si="17"/>
        <v>2143571</v>
      </c>
      <c r="O187">
        <v>539570</v>
      </c>
      <c r="P187">
        <v>11.03</v>
      </c>
      <c r="Q187">
        <v>24</v>
      </c>
      <c r="R187" t="s">
        <v>3049</v>
      </c>
      <c r="S187" t="str">
        <f t="shared" si="18"/>
        <v>Business</v>
      </c>
      <c r="T187">
        <v>535</v>
      </c>
      <c r="U187">
        <f t="shared" si="19"/>
        <v>535</v>
      </c>
      <c r="V187">
        <v>4</v>
      </c>
      <c r="W187" t="s">
        <v>3055</v>
      </c>
      <c r="X187" s="3" t="s">
        <v>3241</v>
      </c>
      <c r="Y187" s="3">
        <f t="shared" si="20"/>
        <v>45027</v>
      </c>
      <c r="Z187">
        <v>0.25169999999999998</v>
      </c>
    </row>
    <row r="188" spans="1:26" x14ac:dyDescent="0.35">
      <c r="A188" t="s">
        <v>203</v>
      </c>
      <c r="B188" t="str">
        <f t="shared" si="14"/>
        <v>OK</v>
      </c>
      <c r="C188" t="s">
        <v>1694</v>
      </c>
      <c r="D188" s="2">
        <v>28</v>
      </c>
      <c r="E188">
        <f>IF(OR(D188&lt;18, D188&gt;100),AD187,D188)</f>
        <v>28</v>
      </c>
      <c r="F188" t="s">
        <v>2990</v>
      </c>
      <c r="G188" t="str">
        <f t="shared" si="15"/>
        <v>Male</v>
      </c>
      <c r="H188" t="s">
        <v>2999</v>
      </c>
      <c r="I188" t="s">
        <v>3020</v>
      </c>
      <c r="K188" t="str">
        <f t="shared" si="16"/>
        <v>Self-Employed</v>
      </c>
      <c r="L188">
        <v>12</v>
      </c>
      <c r="M188">
        <v>1973795</v>
      </c>
      <c r="N188">
        <f t="shared" si="17"/>
        <v>1973795</v>
      </c>
      <c r="O188">
        <v>459439</v>
      </c>
      <c r="P188">
        <v>14.84</v>
      </c>
      <c r="Q188">
        <v>60</v>
      </c>
      <c r="R188" t="s">
        <v>3046</v>
      </c>
      <c r="S188" t="str">
        <f t="shared" si="18"/>
        <v>Medical</v>
      </c>
      <c r="T188">
        <v>649</v>
      </c>
      <c r="U188">
        <f t="shared" si="19"/>
        <v>649</v>
      </c>
      <c r="V188">
        <v>7</v>
      </c>
      <c r="W188" t="s">
        <v>3054</v>
      </c>
      <c r="X188" s="3" t="s">
        <v>3242</v>
      </c>
      <c r="Y188" s="3">
        <f t="shared" si="20"/>
        <v>44066</v>
      </c>
      <c r="Z188">
        <v>0.23280000000000001</v>
      </c>
    </row>
    <row r="189" spans="1:26" x14ac:dyDescent="0.35">
      <c r="A189" t="s">
        <v>204</v>
      </c>
      <c r="B189" t="str">
        <f t="shared" si="14"/>
        <v>OK</v>
      </c>
      <c r="C189" t="s">
        <v>1695</v>
      </c>
      <c r="D189" s="2">
        <v>38</v>
      </c>
      <c r="E189">
        <f>IF(OR(D189&lt;18, D189&gt;100),AD188,D189)</f>
        <v>38</v>
      </c>
      <c r="F189" t="s">
        <v>2992</v>
      </c>
      <c r="G189" t="str">
        <f t="shared" si="15"/>
        <v>Female</v>
      </c>
      <c r="H189" t="s">
        <v>3006</v>
      </c>
      <c r="I189" t="s">
        <v>3020</v>
      </c>
      <c r="K189" t="str">
        <f t="shared" si="16"/>
        <v>Self-Employed</v>
      </c>
      <c r="L189">
        <v>4</v>
      </c>
      <c r="M189">
        <v>1728075</v>
      </c>
      <c r="N189">
        <f t="shared" si="17"/>
        <v>1728075</v>
      </c>
      <c r="O189">
        <v>569999</v>
      </c>
      <c r="P189">
        <v>9.39</v>
      </c>
      <c r="Q189">
        <v>36</v>
      </c>
      <c r="R189" t="s">
        <v>3047</v>
      </c>
      <c r="S189" t="str">
        <f t="shared" si="18"/>
        <v>Personal</v>
      </c>
      <c r="T189">
        <v>359</v>
      </c>
      <c r="U189">
        <f t="shared" si="19"/>
        <v>359</v>
      </c>
      <c r="V189">
        <v>1</v>
      </c>
      <c r="W189" t="s">
        <v>3053</v>
      </c>
      <c r="X189" s="3" t="s">
        <v>3243</v>
      </c>
      <c r="Y189" s="3">
        <f t="shared" si="20"/>
        <v>45011</v>
      </c>
      <c r="Z189">
        <v>0.32979999999999998</v>
      </c>
    </row>
    <row r="190" spans="1:26" x14ac:dyDescent="0.35">
      <c r="A190" t="s">
        <v>205</v>
      </c>
      <c r="B190" t="str">
        <f t="shared" si="14"/>
        <v>OK</v>
      </c>
      <c r="C190" t="s">
        <v>1696</v>
      </c>
      <c r="D190" s="2">
        <v>34</v>
      </c>
      <c r="E190">
        <f>IF(OR(D190&lt;18, D190&gt;100),AD189,D190)</f>
        <v>34</v>
      </c>
      <c r="F190" t="s">
        <v>2990</v>
      </c>
      <c r="G190" t="str">
        <f t="shared" si="15"/>
        <v>Male</v>
      </c>
      <c r="H190" t="s">
        <v>3006</v>
      </c>
      <c r="I190" t="s">
        <v>3018</v>
      </c>
      <c r="K190" t="str">
        <f t="shared" si="16"/>
        <v>Business Owner</v>
      </c>
      <c r="L190">
        <v>16</v>
      </c>
      <c r="M190">
        <v>1423085</v>
      </c>
      <c r="N190">
        <f t="shared" si="17"/>
        <v>1423085</v>
      </c>
      <c r="O190">
        <v>657431</v>
      </c>
      <c r="P190">
        <v>12.74</v>
      </c>
      <c r="Q190">
        <v>12</v>
      </c>
      <c r="R190" t="s">
        <v>3051</v>
      </c>
      <c r="S190" t="str">
        <f t="shared" si="18"/>
        <v>Education</v>
      </c>
      <c r="T190">
        <v>446</v>
      </c>
      <c r="U190">
        <f t="shared" si="19"/>
        <v>446</v>
      </c>
      <c r="V190">
        <v>3</v>
      </c>
      <c r="W190" t="s">
        <v>3053</v>
      </c>
      <c r="X190" s="3" t="s">
        <v>3244</v>
      </c>
      <c r="Y190" s="3">
        <f t="shared" si="20"/>
        <v>43889</v>
      </c>
      <c r="Z190">
        <v>0.46200000000000002</v>
      </c>
    </row>
    <row r="191" spans="1:26" x14ac:dyDescent="0.35">
      <c r="A191" t="s">
        <v>206</v>
      </c>
      <c r="B191" t="str">
        <f t="shared" si="14"/>
        <v>OK</v>
      </c>
      <c r="C191" t="s">
        <v>1697</v>
      </c>
      <c r="D191" s="2">
        <v>62</v>
      </c>
      <c r="E191">
        <f>IF(OR(D191&lt;18, D191&gt;100),AD190,D191)</f>
        <v>62</v>
      </c>
      <c r="F191" t="s">
        <v>2992</v>
      </c>
      <c r="G191" t="str">
        <f t="shared" si="15"/>
        <v>Female</v>
      </c>
      <c r="H191" t="s">
        <v>3007</v>
      </c>
      <c r="I191" t="s">
        <v>3019</v>
      </c>
      <c r="K191" t="str">
        <f t="shared" si="16"/>
        <v>Employed</v>
      </c>
      <c r="L191">
        <v>24</v>
      </c>
      <c r="M191">
        <v>1270668</v>
      </c>
      <c r="N191">
        <f t="shared" si="17"/>
        <v>1270668</v>
      </c>
      <c r="O191">
        <v>328362</v>
      </c>
      <c r="P191">
        <v>27.93</v>
      </c>
      <c r="Q191">
        <v>60</v>
      </c>
      <c r="R191" t="s">
        <v>3049</v>
      </c>
      <c r="S191" t="str">
        <f t="shared" si="18"/>
        <v>Business</v>
      </c>
      <c r="T191">
        <v>402</v>
      </c>
      <c r="U191">
        <f t="shared" si="19"/>
        <v>402</v>
      </c>
      <c r="V191">
        <v>6</v>
      </c>
      <c r="W191" t="s">
        <v>3057</v>
      </c>
      <c r="X191" s="3" t="s">
        <v>3245</v>
      </c>
      <c r="Y191" s="3">
        <f t="shared" si="20"/>
        <v>44458</v>
      </c>
      <c r="Z191">
        <v>0.25840000000000002</v>
      </c>
    </row>
    <row r="192" spans="1:26" x14ac:dyDescent="0.35">
      <c r="A192" t="s">
        <v>207</v>
      </c>
      <c r="B192" t="str">
        <f t="shared" si="14"/>
        <v>OK</v>
      </c>
      <c r="C192" t="s">
        <v>1698</v>
      </c>
      <c r="D192" s="2">
        <v>54</v>
      </c>
      <c r="E192">
        <f>IF(OR(D192&lt;18, D192&gt;100),AD191,D192)</f>
        <v>54</v>
      </c>
      <c r="F192" t="s">
        <v>2992</v>
      </c>
      <c r="G192" t="str">
        <f t="shared" si="15"/>
        <v>Female</v>
      </c>
      <c r="H192" t="s">
        <v>3001</v>
      </c>
      <c r="I192" t="s">
        <v>3020</v>
      </c>
      <c r="K192" t="str">
        <f t="shared" si="16"/>
        <v>Self-Employed</v>
      </c>
      <c r="L192">
        <v>0</v>
      </c>
      <c r="M192">
        <v>1474929</v>
      </c>
      <c r="N192">
        <f t="shared" si="17"/>
        <v>1474929</v>
      </c>
      <c r="O192">
        <v>242542</v>
      </c>
      <c r="P192">
        <v>10.8</v>
      </c>
      <c r="Q192">
        <v>48</v>
      </c>
      <c r="R192" t="s">
        <v>3048</v>
      </c>
      <c r="S192" t="str">
        <f t="shared" si="18"/>
        <v>Home Improvement</v>
      </c>
      <c r="T192">
        <v>392</v>
      </c>
      <c r="U192">
        <f t="shared" si="19"/>
        <v>392</v>
      </c>
      <c r="V192">
        <v>1</v>
      </c>
      <c r="W192" t="s">
        <v>3053</v>
      </c>
      <c r="X192" s="3" t="s">
        <v>3246</v>
      </c>
      <c r="Y192" s="3">
        <f t="shared" si="20"/>
        <v>44433</v>
      </c>
      <c r="Z192">
        <v>0.16439999999999999</v>
      </c>
    </row>
    <row r="193" spans="1:26" x14ac:dyDescent="0.35">
      <c r="A193" t="s">
        <v>208</v>
      </c>
      <c r="B193" t="str">
        <f t="shared" si="14"/>
        <v>OK</v>
      </c>
      <c r="C193" t="s">
        <v>1699</v>
      </c>
      <c r="D193" s="2">
        <v>29</v>
      </c>
      <c r="E193">
        <f>IF(OR(D193&lt;18, D193&gt;100),AD192,D193)</f>
        <v>29</v>
      </c>
      <c r="F193" t="s">
        <v>2990</v>
      </c>
      <c r="G193" t="str">
        <f t="shared" si="15"/>
        <v>Male</v>
      </c>
      <c r="H193" t="s">
        <v>3002</v>
      </c>
      <c r="I193" t="s">
        <v>3021</v>
      </c>
      <c r="K193" t="str">
        <f t="shared" si="16"/>
        <v>Unemployed</v>
      </c>
      <c r="L193">
        <v>1</v>
      </c>
      <c r="M193">
        <v>1590706</v>
      </c>
      <c r="N193">
        <f t="shared" si="17"/>
        <v>1590706</v>
      </c>
      <c r="O193">
        <v>500808</v>
      </c>
      <c r="P193">
        <v>26.94</v>
      </c>
      <c r="Q193">
        <v>48</v>
      </c>
      <c r="R193" t="s">
        <v>3050</v>
      </c>
      <c r="S193" t="str">
        <f t="shared" si="18"/>
        <v>Agriculture</v>
      </c>
      <c r="T193">
        <v>844</v>
      </c>
      <c r="U193">
        <f t="shared" si="19"/>
        <v>844</v>
      </c>
      <c r="V193">
        <v>2</v>
      </c>
      <c r="W193" t="s">
        <v>3053</v>
      </c>
      <c r="X193" s="3" t="s">
        <v>3247</v>
      </c>
      <c r="Y193" s="3">
        <f t="shared" si="20"/>
        <v>44263</v>
      </c>
      <c r="Z193">
        <v>0.31480000000000002</v>
      </c>
    </row>
    <row r="194" spans="1:26" x14ac:dyDescent="0.35">
      <c r="A194" t="s">
        <v>209</v>
      </c>
      <c r="B194" t="str">
        <f t="shared" ref="B194:B257" si="21">IF(A194="", "MISSING", "OK")</f>
        <v>OK</v>
      </c>
      <c r="C194" t="s">
        <v>1700</v>
      </c>
      <c r="D194" s="2">
        <v>26</v>
      </c>
      <c r="E194">
        <f>IF(OR(D194&lt;18, D194&gt;100),AD193,D194)</f>
        <v>26</v>
      </c>
      <c r="F194" t="s">
        <v>2990</v>
      </c>
      <c r="G194" t="str">
        <f t="shared" si="15"/>
        <v>Male</v>
      </c>
      <c r="H194" t="s">
        <v>3011</v>
      </c>
      <c r="I194" t="s">
        <v>3020</v>
      </c>
      <c r="K194" t="str">
        <f t="shared" si="16"/>
        <v>Self-Employed</v>
      </c>
      <c r="L194">
        <v>19</v>
      </c>
      <c r="M194">
        <v>1364446</v>
      </c>
      <c r="N194">
        <f t="shared" si="17"/>
        <v>1364446</v>
      </c>
      <c r="O194">
        <v>503779</v>
      </c>
      <c r="P194">
        <v>20.96</v>
      </c>
      <c r="Q194">
        <v>24</v>
      </c>
      <c r="R194" t="s">
        <v>3051</v>
      </c>
      <c r="S194" t="str">
        <f t="shared" si="18"/>
        <v>Education</v>
      </c>
      <c r="T194">
        <v>580</v>
      </c>
      <c r="U194">
        <f t="shared" si="19"/>
        <v>580</v>
      </c>
      <c r="V194">
        <v>2</v>
      </c>
      <c r="W194" t="s">
        <v>3054</v>
      </c>
      <c r="X194" s="3" t="s">
        <v>3248</v>
      </c>
      <c r="Y194" s="3">
        <f t="shared" si="20"/>
        <v>44785</v>
      </c>
      <c r="Z194">
        <v>0.36919999999999997</v>
      </c>
    </row>
    <row r="195" spans="1:26" x14ac:dyDescent="0.35">
      <c r="A195" t="s">
        <v>210</v>
      </c>
      <c r="B195" t="str">
        <f t="shared" si="21"/>
        <v>OK</v>
      </c>
      <c r="C195" t="s">
        <v>1701</v>
      </c>
      <c r="D195" s="2">
        <v>59</v>
      </c>
      <c r="E195">
        <f>IF(OR(D195&lt;18, D195&gt;100),AD194,D195)</f>
        <v>59</v>
      </c>
      <c r="F195" t="s">
        <v>2992</v>
      </c>
      <c r="G195" t="str">
        <f t="shared" ref="G195:G258" si="22">IF(F195="", "Unknown", IF(OR(F195="F", F195="FEMALE", F195="Female"), "Female", IF(OR(F195="M", F195="MALE", F195="Male"), "Male", "Other")))</f>
        <v>Female</v>
      </c>
      <c r="H195" t="s">
        <v>3004</v>
      </c>
      <c r="I195" t="s">
        <v>3021</v>
      </c>
      <c r="K195" t="str">
        <f t="shared" ref="K195:K258" si="23">IF(I195="", "Unknown", I195)</f>
        <v>Unemployed</v>
      </c>
      <c r="L195">
        <v>24</v>
      </c>
      <c r="M195">
        <v>1036101</v>
      </c>
      <c r="N195">
        <f t="shared" ref="N195:N258" si="24">IF(OR(M195="",M195&lt;0),$AD$3,M195)</f>
        <v>1036101</v>
      </c>
      <c r="O195">
        <v>406328</v>
      </c>
      <c r="P195">
        <v>13.57</v>
      </c>
      <c r="Q195">
        <v>36</v>
      </c>
      <c r="R195" t="s">
        <v>3046</v>
      </c>
      <c r="S195" t="str">
        <f t="shared" ref="S195:S258" si="25">IF(R195="", "Unknown", R195)</f>
        <v>Medical</v>
      </c>
      <c r="T195">
        <v>305</v>
      </c>
      <c r="U195">
        <f t="shared" ref="U195:U258" si="26">IF(OR(T195="",T195&gt;999),$AD$2,T195)</f>
        <v>305</v>
      </c>
      <c r="V195">
        <v>3</v>
      </c>
      <c r="W195" t="s">
        <v>3056</v>
      </c>
      <c r="X195" s="3" t="s">
        <v>3249</v>
      </c>
      <c r="Y195" s="3">
        <f t="shared" ref="Y195:Y258" si="27">IF(ISNUMBER(X195), X195, DATEVALUE(X195))</f>
        <v>44116</v>
      </c>
      <c r="Z195">
        <v>0.39219999999999999</v>
      </c>
    </row>
    <row r="196" spans="1:26" x14ac:dyDescent="0.35">
      <c r="A196" t="s">
        <v>211</v>
      </c>
      <c r="B196" t="str">
        <f t="shared" si="21"/>
        <v>OK</v>
      </c>
      <c r="C196" t="s">
        <v>1702</v>
      </c>
      <c r="D196" s="2">
        <v>5</v>
      </c>
      <c r="E196">
        <f>IF(OR(D196&lt;18, D196&gt;100),AD195,D196)</f>
        <v>0</v>
      </c>
      <c r="F196" t="s">
        <v>2990</v>
      </c>
      <c r="G196" t="str">
        <f t="shared" si="22"/>
        <v>Male</v>
      </c>
      <c r="H196" t="s">
        <v>3003</v>
      </c>
      <c r="I196" t="s">
        <v>3019</v>
      </c>
      <c r="K196" t="str">
        <f t="shared" si="23"/>
        <v>Employed</v>
      </c>
      <c r="L196">
        <v>25</v>
      </c>
      <c r="M196">
        <v>987744</v>
      </c>
      <c r="N196">
        <f t="shared" si="24"/>
        <v>987744</v>
      </c>
      <c r="O196">
        <v>679987</v>
      </c>
      <c r="P196">
        <v>26.33</v>
      </c>
      <c r="Q196">
        <v>36</v>
      </c>
      <c r="R196" t="s">
        <v>3049</v>
      </c>
      <c r="S196" t="str">
        <f t="shared" si="25"/>
        <v>Business</v>
      </c>
      <c r="T196">
        <v>780</v>
      </c>
      <c r="U196">
        <f t="shared" si="26"/>
        <v>780</v>
      </c>
      <c r="V196">
        <v>3</v>
      </c>
      <c r="W196" t="s">
        <v>3052</v>
      </c>
      <c r="X196" s="3" t="s">
        <v>3213</v>
      </c>
      <c r="Y196" s="3">
        <f t="shared" si="27"/>
        <v>45154</v>
      </c>
      <c r="Z196">
        <v>0.68840000000000001</v>
      </c>
    </row>
    <row r="197" spans="1:26" x14ac:dyDescent="0.35">
      <c r="A197" t="s">
        <v>212</v>
      </c>
      <c r="B197" t="str">
        <f t="shared" si="21"/>
        <v>OK</v>
      </c>
      <c r="C197" t="s">
        <v>1703</v>
      </c>
      <c r="D197" s="2">
        <v>53</v>
      </c>
      <c r="E197">
        <f>IF(OR(D197&lt;18, D197&gt;100),AD196,D197)</f>
        <v>53</v>
      </c>
      <c r="F197" t="s">
        <v>2992</v>
      </c>
      <c r="G197" t="str">
        <f t="shared" si="22"/>
        <v>Female</v>
      </c>
      <c r="H197" t="s">
        <v>3002</v>
      </c>
      <c r="I197" t="s">
        <v>3020</v>
      </c>
      <c r="K197" t="str">
        <f t="shared" si="23"/>
        <v>Self-Employed</v>
      </c>
      <c r="L197">
        <v>22</v>
      </c>
      <c r="M197">
        <v>2391738</v>
      </c>
      <c r="N197">
        <f t="shared" si="24"/>
        <v>2391738</v>
      </c>
      <c r="O197">
        <v>745084</v>
      </c>
      <c r="P197">
        <v>18.09</v>
      </c>
      <c r="Q197">
        <v>24</v>
      </c>
      <c r="R197" t="s">
        <v>3047</v>
      </c>
      <c r="S197" t="str">
        <f t="shared" si="25"/>
        <v>Personal</v>
      </c>
      <c r="T197">
        <v>658</v>
      </c>
      <c r="U197">
        <f t="shared" si="26"/>
        <v>658</v>
      </c>
      <c r="V197">
        <v>4</v>
      </c>
      <c r="W197" t="s">
        <v>3053</v>
      </c>
      <c r="X197" s="3" t="s">
        <v>3250</v>
      </c>
      <c r="Y197" s="3">
        <f t="shared" si="27"/>
        <v>45111</v>
      </c>
      <c r="Z197">
        <v>0.3115</v>
      </c>
    </row>
    <row r="198" spans="1:26" x14ac:dyDescent="0.35">
      <c r="A198" t="s">
        <v>213</v>
      </c>
      <c r="B198" t="str">
        <f t="shared" si="21"/>
        <v>OK</v>
      </c>
      <c r="C198" t="s">
        <v>1704</v>
      </c>
      <c r="D198" s="2">
        <v>60</v>
      </c>
      <c r="E198">
        <f>IF(OR(D198&lt;18, D198&gt;100),AD197,D198)</f>
        <v>60</v>
      </c>
      <c r="F198" t="s">
        <v>2992</v>
      </c>
      <c r="G198" t="str">
        <f t="shared" si="22"/>
        <v>Female</v>
      </c>
      <c r="H198" t="s">
        <v>3007</v>
      </c>
      <c r="I198" t="s">
        <v>3021</v>
      </c>
      <c r="K198" t="str">
        <f t="shared" si="23"/>
        <v>Unemployed</v>
      </c>
      <c r="L198">
        <v>20</v>
      </c>
      <c r="M198">
        <v>2206683</v>
      </c>
      <c r="N198">
        <f t="shared" si="24"/>
        <v>2206683</v>
      </c>
      <c r="O198">
        <v>175489</v>
      </c>
      <c r="P198">
        <v>18.97</v>
      </c>
      <c r="Q198">
        <v>24</v>
      </c>
      <c r="R198" t="s">
        <v>3048</v>
      </c>
      <c r="S198" t="str">
        <f t="shared" si="25"/>
        <v>Home Improvement</v>
      </c>
      <c r="U198">
        <f t="shared" si="26"/>
        <v>556</v>
      </c>
      <c r="V198">
        <v>4</v>
      </c>
      <c r="W198" t="s">
        <v>3053</v>
      </c>
      <c r="X198" s="3" t="s">
        <v>3251</v>
      </c>
      <c r="Y198" s="3">
        <f t="shared" si="27"/>
        <v>44659</v>
      </c>
      <c r="Z198">
        <v>7.9500000000000001E-2</v>
      </c>
    </row>
    <row r="199" spans="1:26" x14ac:dyDescent="0.35">
      <c r="A199" t="s">
        <v>214</v>
      </c>
      <c r="B199" t="str">
        <f t="shared" si="21"/>
        <v>OK</v>
      </c>
      <c r="C199" t="s">
        <v>1705</v>
      </c>
      <c r="D199" s="2">
        <v>9</v>
      </c>
      <c r="E199">
        <f>IF(OR(D199&lt;18, D199&gt;100),AD198,D199)</f>
        <v>0</v>
      </c>
      <c r="F199" t="s">
        <v>2990</v>
      </c>
      <c r="G199" t="str">
        <f t="shared" si="22"/>
        <v>Male</v>
      </c>
      <c r="H199" t="s">
        <v>3001</v>
      </c>
      <c r="I199" t="s">
        <v>3019</v>
      </c>
      <c r="K199" t="str">
        <f t="shared" si="23"/>
        <v>Employed</v>
      </c>
      <c r="L199">
        <v>28</v>
      </c>
      <c r="M199">
        <v>2064276</v>
      </c>
      <c r="N199">
        <f t="shared" si="24"/>
        <v>2064276</v>
      </c>
      <c r="O199">
        <v>329735</v>
      </c>
      <c r="P199">
        <v>9.11</v>
      </c>
      <c r="Q199">
        <v>60</v>
      </c>
      <c r="R199" t="s">
        <v>3049</v>
      </c>
      <c r="S199" t="str">
        <f t="shared" si="25"/>
        <v>Business</v>
      </c>
      <c r="T199">
        <v>827</v>
      </c>
      <c r="U199">
        <f t="shared" si="26"/>
        <v>827</v>
      </c>
      <c r="V199">
        <v>3</v>
      </c>
      <c r="W199" t="s">
        <v>3053</v>
      </c>
      <c r="X199" s="3" t="s">
        <v>3252</v>
      </c>
      <c r="Y199" s="3">
        <f t="shared" si="27"/>
        <v>44914</v>
      </c>
      <c r="Z199">
        <v>0.15970000000000001</v>
      </c>
    </row>
    <row r="200" spans="1:26" x14ac:dyDescent="0.35">
      <c r="A200" t="s">
        <v>215</v>
      </c>
      <c r="B200" t="str">
        <f t="shared" si="21"/>
        <v>OK</v>
      </c>
      <c r="C200" t="s">
        <v>1706</v>
      </c>
      <c r="D200" s="2">
        <v>55</v>
      </c>
      <c r="E200">
        <f>IF(OR(D200&lt;18, D200&gt;100),AD199,D200)</f>
        <v>55</v>
      </c>
      <c r="F200" t="s">
        <v>2990</v>
      </c>
      <c r="G200" t="str">
        <f t="shared" si="22"/>
        <v>Male</v>
      </c>
      <c r="H200" t="s">
        <v>3007</v>
      </c>
      <c r="I200" t="s">
        <v>3019</v>
      </c>
      <c r="K200" t="str">
        <f t="shared" si="23"/>
        <v>Employed</v>
      </c>
      <c r="L200">
        <v>10</v>
      </c>
      <c r="M200">
        <v>874780</v>
      </c>
      <c r="N200">
        <f t="shared" si="24"/>
        <v>874780</v>
      </c>
      <c r="O200">
        <v>632242</v>
      </c>
      <c r="P200">
        <v>8.02</v>
      </c>
      <c r="Q200">
        <v>12</v>
      </c>
      <c r="R200" t="s">
        <v>3046</v>
      </c>
      <c r="S200" t="str">
        <f t="shared" si="25"/>
        <v>Medical</v>
      </c>
      <c r="T200">
        <v>564</v>
      </c>
      <c r="U200">
        <f t="shared" si="26"/>
        <v>564</v>
      </c>
      <c r="V200">
        <v>4</v>
      </c>
      <c r="W200" t="s">
        <v>3055</v>
      </c>
      <c r="X200" s="3" t="s">
        <v>3253</v>
      </c>
      <c r="Y200" s="3">
        <f t="shared" si="27"/>
        <v>44781</v>
      </c>
      <c r="Z200">
        <v>0.72270000000000001</v>
      </c>
    </row>
    <row r="201" spans="1:26" x14ac:dyDescent="0.35">
      <c r="A201" t="s">
        <v>216</v>
      </c>
      <c r="B201" t="str">
        <f t="shared" si="21"/>
        <v>OK</v>
      </c>
      <c r="C201" t="s">
        <v>1707</v>
      </c>
      <c r="D201" s="2">
        <v>30</v>
      </c>
      <c r="E201">
        <f>IF(OR(D201&lt;18, D201&gt;100),AD200,D201)</f>
        <v>30</v>
      </c>
      <c r="F201" t="s">
        <v>2990</v>
      </c>
      <c r="G201" t="str">
        <f t="shared" si="22"/>
        <v>Male</v>
      </c>
      <c r="H201" t="s">
        <v>3000</v>
      </c>
      <c r="I201" t="s">
        <v>3021</v>
      </c>
      <c r="K201" t="str">
        <f t="shared" si="23"/>
        <v>Unemployed</v>
      </c>
      <c r="L201">
        <v>13</v>
      </c>
      <c r="M201">
        <v>2287037</v>
      </c>
      <c r="N201">
        <f t="shared" si="24"/>
        <v>2287037</v>
      </c>
      <c r="O201">
        <v>646926</v>
      </c>
      <c r="P201">
        <v>27.74</v>
      </c>
      <c r="Q201">
        <v>12</v>
      </c>
      <c r="R201" t="s">
        <v>3047</v>
      </c>
      <c r="S201" t="str">
        <f t="shared" si="25"/>
        <v>Personal</v>
      </c>
      <c r="T201">
        <v>678</v>
      </c>
      <c r="U201">
        <f t="shared" si="26"/>
        <v>678</v>
      </c>
      <c r="V201">
        <v>6</v>
      </c>
      <c r="W201" t="s">
        <v>3053</v>
      </c>
      <c r="X201" s="3" t="s">
        <v>3254</v>
      </c>
      <c r="Y201" s="3">
        <f t="shared" si="27"/>
        <v>45259</v>
      </c>
      <c r="Z201">
        <v>0.28289999999999998</v>
      </c>
    </row>
    <row r="202" spans="1:26" x14ac:dyDescent="0.35">
      <c r="A202" t="s">
        <v>217</v>
      </c>
      <c r="B202" t="str">
        <f t="shared" si="21"/>
        <v>OK</v>
      </c>
      <c r="C202" t="s">
        <v>1708</v>
      </c>
      <c r="D202" s="2">
        <v>41</v>
      </c>
      <c r="E202">
        <f>IF(OR(D202&lt;18, D202&gt;100),AD201,D202)</f>
        <v>41</v>
      </c>
      <c r="F202" t="s">
        <v>2990</v>
      </c>
      <c r="G202" t="str">
        <f t="shared" si="22"/>
        <v>Male</v>
      </c>
      <c r="H202" t="s">
        <v>2999</v>
      </c>
      <c r="I202" t="s">
        <v>3018</v>
      </c>
      <c r="K202" t="str">
        <f t="shared" si="23"/>
        <v>Business Owner</v>
      </c>
      <c r="L202">
        <v>21</v>
      </c>
      <c r="M202">
        <v>1836321</v>
      </c>
      <c r="N202">
        <f t="shared" si="24"/>
        <v>1836321</v>
      </c>
      <c r="O202">
        <v>351310</v>
      </c>
      <c r="P202">
        <v>10.76</v>
      </c>
      <c r="Q202">
        <v>24</v>
      </c>
      <c r="R202" t="s">
        <v>3049</v>
      </c>
      <c r="S202" t="str">
        <f t="shared" si="25"/>
        <v>Business</v>
      </c>
      <c r="T202">
        <v>791</v>
      </c>
      <c r="U202">
        <f t="shared" si="26"/>
        <v>791</v>
      </c>
      <c r="V202">
        <v>0</v>
      </c>
      <c r="W202" t="s">
        <v>3057</v>
      </c>
      <c r="X202" s="3" t="s">
        <v>3255</v>
      </c>
      <c r="Y202" s="3">
        <f t="shared" si="27"/>
        <v>44152</v>
      </c>
      <c r="Z202">
        <v>0.1913</v>
      </c>
    </row>
    <row r="203" spans="1:26" x14ac:dyDescent="0.35">
      <c r="A203" t="s">
        <v>218</v>
      </c>
      <c r="B203" t="str">
        <f t="shared" si="21"/>
        <v>OK</v>
      </c>
      <c r="C203" t="s">
        <v>1709</v>
      </c>
      <c r="D203" s="2">
        <v>42</v>
      </c>
      <c r="E203">
        <f>IF(OR(D203&lt;18, D203&gt;100),AD202,D203)</f>
        <v>42</v>
      </c>
      <c r="F203" t="s">
        <v>2992</v>
      </c>
      <c r="G203" t="str">
        <f t="shared" si="22"/>
        <v>Female</v>
      </c>
      <c r="H203" t="s">
        <v>3003</v>
      </c>
      <c r="I203" t="s">
        <v>3021</v>
      </c>
      <c r="K203" t="str">
        <f t="shared" si="23"/>
        <v>Unemployed</v>
      </c>
      <c r="L203">
        <v>4</v>
      </c>
      <c r="M203">
        <v>1103160</v>
      </c>
      <c r="N203">
        <f t="shared" si="24"/>
        <v>1103160</v>
      </c>
      <c r="O203">
        <v>357369</v>
      </c>
      <c r="P203">
        <v>10.66</v>
      </c>
      <c r="Q203">
        <v>12</v>
      </c>
      <c r="R203" t="s">
        <v>3050</v>
      </c>
      <c r="S203" t="str">
        <f t="shared" si="25"/>
        <v>Agriculture</v>
      </c>
      <c r="T203">
        <v>300</v>
      </c>
      <c r="U203">
        <f t="shared" si="26"/>
        <v>300</v>
      </c>
      <c r="V203">
        <v>7</v>
      </c>
      <c r="W203" t="s">
        <v>3052</v>
      </c>
      <c r="X203" s="3" t="s">
        <v>3098</v>
      </c>
      <c r="Y203" s="3">
        <f t="shared" si="27"/>
        <v>44291</v>
      </c>
      <c r="Z203">
        <v>0.32400000000000001</v>
      </c>
    </row>
    <row r="204" spans="1:26" x14ac:dyDescent="0.35">
      <c r="A204" t="s">
        <v>219</v>
      </c>
      <c r="B204" t="str">
        <f t="shared" si="21"/>
        <v>OK</v>
      </c>
      <c r="C204" t="s">
        <v>1710</v>
      </c>
      <c r="D204" s="2">
        <v>46</v>
      </c>
      <c r="E204">
        <f>IF(OR(D204&lt;18, D204&gt;100),AD203,D204)</f>
        <v>46</v>
      </c>
      <c r="F204" t="s">
        <v>2992</v>
      </c>
      <c r="G204" t="str">
        <f t="shared" si="22"/>
        <v>Female</v>
      </c>
      <c r="H204" t="s">
        <v>3002</v>
      </c>
      <c r="I204" t="s">
        <v>3020</v>
      </c>
      <c r="K204" t="str">
        <f t="shared" si="23"/>
        <v>Self-Employed</v>
      </c>
      <c r="L204">
        <v>13</v>
      </c>
      <c r="M204">
        <v>846165</v>
      </c>
      <c r="N204">
        <f t="shared" si="24"/>
        <v>846165</v>
      </c>
      <c r="O204">
        <v>297068</v>
      </c>
      <c r="P204">
        <v>15.86</v>
      </c>
      <c r="Q204">
        <v>36</v>
      </c>
      <c r="R204" t="s">
        <v>3048</v>
      </c>
      <c r="S204" t="str">
        <f t="shared" si="25"/>
        <v>Home Improvement</v>
      </c>
      <c r="T204">
        <v>782</v>
      </c>
      <c r="U204">
        <f t="shared" si="26"/>
        <v>782</v>
      </c>
      <c r="V204">
        <v>3</v>
      </c>
      <c r="W204" t="s">
        <v>3056</v>
      </c>
      <c r="X204" s="3" t="s">
        <v>3256</v>
      </c>
      <c r="Y204" s="3">
        <f t="shared" si="27"/>
        <v>44519</v>
      </c>
      <c r="Z204">
        <v>0.35110000000000002</v>
      </c>
    </row>
    <row r="205" spans="1:26" x14ac:dyDescent="0.35">
      <c r="A205" t="s">
        <v>220</v>
      </c>
      <c r="B205" t="str">
        <f t="shared" si="21"/>
        <v>OK</v>
      </c>
      <c r="C205" t="s">
        <v>1711</v>
      </c>
      <c r="D205" s="2">
        <v>52</v>
      </c>
      <c r="E205">
        <f>IF(OR(D205&lt;18, D205&gt;100),AD204,D205)</f>
        <v>52</v>
      </c>
      <c r="F205" t="s">
        <v>2992</v>
      </c>
      <c r="G205" t="str">
        <f t="shared" si="22"/>
        <v>Female</v>
      </c>
      <c r="H205" t="s">
        <v>3006</v>
      </c>
      <c r="I205" t="s">
        <v>3020</v>
      </c>
      <c r="K205" t="str">
        <f t="shared" si="23"/>
        <v>Self-Employed</v>
      </c>
      <c r="L205">
        <v>25</v>
      </c>
      <c r="M205">
        <v>451830</v>
      </c>
      <c r="N205">
        <f t="shared" si="24"/>
        <v>451830</v>
      </c>
      <c r="O205">
        <v>383898</v>
      </c>
      <c r="P205">
        <v>16.13</v>
      </c>
      <c r="Q205">
        <v>24</v>
      </c>
      <c r="R205" t="s">
        <v>3048</v>
      </c>
      <c r="S205" t="str">
        <f t="shared" si="25"/>
        <v>Home Improvement</v>
      </c>
      <c r="T205">
        <v>648</v>
      </c>
      <c r="U205">
        <f t="shared" si="26"/>
        <v>648</v>
      </c>
      <c r="V205">
        <v>3</v>
      </c>
      <c r="W205" t="s">
        <v>3052</v>
      </c>
      <c r="X205" s="3" t="s">
        <v>3257</v>
      </c>
      <c r="Y205" s="3">
        <f t="shared" si="27"/>
        <v>44724</v>
      </c>
      <c r="Z205">
        <v>0.84970000000000001</v>
      </c>
    </row>
    <row r="206" spans="1:26" x14ac:dyDescent="0.35">
      <c r="A206" t="s">
        <v>221</v>
      </c>
      <c r="B206" t="str">
        <f t="shared" si="21"/>
        <v>OK</v>
      </c>
      <c r="C206" t="s">
        <v>1712</v>
      </c>
      <c r="D206" s="2">
        <v>56</v>
      </c>
      <c r="E206">
        <f>IF(OR(D206&lt;18, D206&gt;100),AD205,D206)</f>
        <v>56</v>
      </c>
      <c r="F206" t="s">
        <v>2992</v>
      </c>
      <c r="G206" t="str">
        <f t="shared" si="22"/>
        <v>Female</v>
      </c>
      <c r="H206" t="s">
        <v>3005</v>
      </c>
      <c r="I206" t="s">
        <v>3020</v>
      </c>
      <c r="K206" t="str">
        <f t="shared" si="23"/>
        <v>Self-Employed</v>
      </c>
      <c r="L206">
        <v>13</v>
      </c>
      <c r="M206">
        <v>1315564</v>
      </c>
      <c r="N206">
        <f t="shared" si="24"/>
        <v>1315564</v>
      </c>
      <c r="O206">
        <v>404073</v>
      </c>
      <c r="P206">
        <v>27.4</v>
      </c>
      <c r="Q206">
        <v>60</v>
      </c>
      <c r="R206" t="s">
        <v>3049</v>
      </c>
      <c r="S206" t="str">
        <f t="shared" si="25"/>
        <v>Business</v>
      </c>
      <c r="T206">
        <v>556</v>
      </c>
      <c r="U206">
        <f t="shared" si="26"/>
        <v>556</v>
      </c>
      <c r="V206">
        <v>2</v>
      </c>
      <c r="W206" t="s">
        <v>3057</v>
      </c>
      <c r="X206" s="3" t="s">
        <v>3258</v>
      </c>
      <c r="Y206" s="3">
        <f t="shared" si="27"/>
        <v>44695</v>
      </c>
      <c r="Z206">
        <v>0.30709999999999998</v>
      </c>
    </row>
    <row r="207" spans="1:26" x14ac:dyDescent="0.35">
      <c r="A207" t="s">
        <v>222</v>
      </c>
      <c r="B207" t="str">
        <f t="shared" si="21"/>
        <v>OK</v>
      </c>
      <c r="C207" t="s">
        <v>1713</v>
      </c>
      <c r="D207" s="2">
        <v>34</v>
      </c>
      <c r="E207">
        <f>IF(OR(D207&lt;18, D207&gt;100),AD206,D207)</f>
        <v>34</v>
      </c>
      <c r="F207" t="s">
        <v>2992</v>
      </c>
      <c r="G207" t="str">
        <f t="shared" si="22"/>
        <v>Female</v>
      </c>
      <c r="H207" t="s">
        <v>3000</v>
      </c>
      <c r="I207" t="s">
        <v>3018</v>
      </c>
      <c r="K207" t="str">
        <f t="shared" si="23"/>
        <v>Business Owner</v>
      </c>
      <c r="L207">
        <v>20</v>
      </c>
      <c r="M207">
        <v>1390355</v>
      </c>
      <c r="N207">
        <f t="shared" si="24"/>
        <v>1390355</v>
      </c>
      <c r="O207">
        <v>147927</v>
      </c>
      <c r="P207">
        <v>9.24</v>
      </c>
      <c r="Q207">
        <v>12</v>
      </c>
      <c r="R207" t="s">
        <v>3050</v>
      </c>
      <c r="S207" t="str">
        <f t="shared" si="25"/>
        <v>Agriculture</v>
      </c>
      <c r="T207">
        <v>681</v>
      </c>
      <c r="U207">
        <f t="shared" si="26"/>
        <v>681</v>
      </c>
      <c r="V207">
        <v>1</v>
      </c>
      <c r="W207" t="s">
        <v>3056</v>
      </c>
      <c r="X207" s="3" t="s">
        <v>3259</v>
      </c>
      <c r="Y207" s="3">
        <f t="shared" si="27"/>
        <v>44114</v>
      </c>
      <c r="Z207">
        <v>0.10639999999999999</v>
      </c>
    </row>
    <row r="208" spans="1:26" x14ac:dyDescent="0.35">
      <c r="A208" t="s">
        <v>223</v>
      </c>
      <c r="B208" t="str">
        <f t="shared" si="21"/>
        <v>OK</v>
      </c>
      <c r="C208" t="s">
        <v>1714</v>
      </c>
      <c r="D208" s="2">
        <v>62</v>
      </c>
      <c r="E208">
        <f>IF(OR(D208&lt;18, D208&gt;100),AD207,D208)</f>
        <v>62</v>
      </c>
      <c r="F208" t="s">
        <v>2990</v>
      </c>
      <c r="G208" t="str">
        <f t="shared" si="22"/>
        <v>Male</v>
      </c>
      <c r="H208" t="s">
        <v>3004</v>
      </c>
      <c r="I208" t="s">
        <v>3021</v>
      </c>
      <c r="K208" t="str">
        <f t="shared" si="23"/>
        <v>Unemployed</v>
      </c>
      <c r="L208">
        <v>25</v>
      </c>
      <c r="M208">
        <v>1188559</v>
      </c>
      <c r="N208">
        <f t="shared" si="24"/>
        <v>1188559</v>
      </c>
      <c r="O208">
        <v>608099</v>
      </c>
      <c r="P208">
        <v>19.440000000000001</v>
      </c>
      <c r="Q208">
        <v>36</v>
      </c>
      <c r="R208" t="s">
        <v>3050</v>
      </c>
      <c r="S208" t="str">
        <f t="shared" si="25"/>
        <v>Agriculture</v>
      </c>
      <c r="T208">
        <v>813</v>
      </c>
      <c r="U208">
        <f t="shared" si="26"/>
        <v>813</v>
      </c>
      <c r="V208">
        <v>2</v>
      </c>
      <c r="W208" t="s">
        <v>3057</v>
      </c>
      <c r="X208" s="3" t="s">
        <v>3260</v>
      </c>
      <c r="Y208" s="3">
        <f t="shared" si="27"/>
        <v>44408</v>
      </c>
      <c r="Z208">
        <v>0.51160000000000005</v>
      </c>
    </row>
    <row r="209" spans="1:26" x14ac:dyDescent="0.35">
      <c r="A209" t="s">
        <v>224</v>
      </c>
      <c r="B209" t="str">
        <f t="shared" si="21"/>
        <v>OK</v>
      </c>
      <c r="C209" t="s">
        <v>1715</v>
      </c>
      <c r="D209" s="2">
        <v>62</v>
      </c>
      <c r="E209">
        <f>IF(OR(D209&lt;18, D209&gt;100),AD208,D209)</f>
        <v>62</v>
      </c>
      <c r="F209" t="s">
        <v>2992</v>
      </c>
      <c r="G209" t="str">
        <f t="shared" si="22"/>
        <v>Female</v>
      </c>
      <c r="H209" t="s">
        <v>3006</v>
      </c>
      <c r="I209" t="s">
        <v>3021</v>
      </c>
      <c r="K209" t="str">
        <f t="shared" si="23"/>
        <v>Unemployed</v>
      </c>
      <c r="L209">
        <v>22</v>
      </c>
      <c r="M209">
        <v>393981</v>
      </c>
      <c r="N209">
        <f t="shared" si="24"/>
        <v>393981</v>
      </c>
      <c r="O209">
        <v>421426</v>
      </c>
      <c r="P209">
        <v>20.55</v>
      </c>
      <c r="Q209">
        <v>36</v>
      </c>
      <c r="R209" t="s">
        <v>3050</v>
      </c>
      <c r="S209" t="str">
        <f t="shared" si="25"/>
        <v>Agriculture</v>
      </c>
      <c r="T209">
        <v>343</v>
      </c>
      <c r="U209">
        <f t="shared" si="26"/>
        <v>343</v>
      </c>
      <c r="V209">
        <v>6</v>
      </c>
      <c r="W209" t="s">
        <v>3052</v>
      </c>
      <c r="X209" s="3" t="s">
        <v>3261</v>
      </c>
      <c r="Y209" s="3">
        <f t="shared" si="27"/>
        <v>44775</v>
      </c>
      <c r="Z209">
        <v>1.0697000000000001</v>
      </c>
    </row>
    <row r="210" spans="1:26" x14ac:dyDescent="0.35">
      <c r="A210" t="s">
        <v>225</v>
      </c>
      <c r="B210" t="str">
        <f t="shared" si="21"/>
        <v>OK</v>
      </c>
      <c r="C210" t="s">
        <v>1716</v>
      </c>
      <c r="D210" s="2">
        <v>36</v>
      </c>
      <c r="E210">
        <f>IF(OR(D210&lt;18, D210&gt;100),AD209,D210)</f>
        <v>36</v>
      </c>
      <c r="F210" t="s">
        <v>2992</v>
      </c>
      <c r="G210" t="str">
        <f t="shared" si="22"/>
        <v>Female</v>
      </c>
      <c r="H210" t="s">
        <v>3002</v>
      </c>
      <c r="I210" t="s">
        <v>3021</v>
      </c>
      <c r="K210" t="str">
        <f t="shared" si="23"/>
        <v>Unemployed</v>
      </c>
      <c r="L210">
        <v>11</v>
      </c>
      <c r="M210">
        <v>751107</v>
      </c>
      <c r="N210">
        <f t="shared" si="24"/>
        <v>751107</v>
      </c>
      <c r="O210">
        <v>793210</v>
      </c>
      <c r="P210">
        <v>18.600000000000001</v>
      </c>
      <c r="Q210">
        <v>48</v>
      </c>
      <c r="S210" t="str">
        <f t="shared" si="25"/>
        <v>Unknown</v>
      </c>
      <c r="T210">
        <v>370</v>
      </c>
      <c r="U210">
        <f t="shared" si="26"/>
        <v>370</v>
      </c>
      <c r="V210">
        <v>0</v>
      </c>
      <c r="W210" t="s">
        <v>3054</v>
      </c>
      <c r="X210" s="3" t="s">
        <v>3262</v>
      </c>
      <c r="Y210" s="3">
        <f t="shared" si="27"/>
        <v>44149</v>
      </c>
      <c r="Z210">
        <v>1.0561</v>
      </c>
    </row>
    <row r="211" spans="1:26" x14ac:dyDescent="0.35">
      <c r="A211" t="s">
        <v>226</v>
      </c>
      <c r="B211" t="str">
        <f t="shared" si="21"/>
        <v>OK</v>
      </c>
      <c r="C211" t="s">
        <v>1717</v>
      </c>
      <c r="D211" s="2">
        <v>27</v>
      </c>
      <c r="E211">
        <f>IF(OR(D211&lt;18, D211&gt;100),AD210,D211)</f>
        <v>27</v>
      </c>
      <c r="F211" t="s">
        <v>2992</v>
      </c>
      <c r="G211" t="str">
        <f t="shared" si="22"/>
        <v>Female</v>
      </c>
      <c r="H211" t="s">
        <v>3003</v>
      </c>
      <c r="I211" t="s">
        <v>3018</v>
      </c>
      <c r="K211" t="str">
        <f t="shared" si="23"/>
        <v>Business Owner</v>
      </c>
      <c r="L211">
        <v>14</v>
      </c>
      <c r="M211">
        <v>2098317</v>
      </c>
      <c r="N211">
        <f t="shared" si="24"/>
        <v>2098317</v>
      </c>
      <c r="O211">
        <v>184074</v>
      </c>
      <c r="P211">
        <v>25.69</v>
      </c>
      <c r="Q211">
        <v>24</v>
      </c>
      <c r="R211" t="s">
        <v>3048</v>
      </c>
      <c r="S211" t="str">
        <f t="shared" si="25"/>
        <v>Home Improvement</v>
      </c>
      <c r="T211">
        <v>465</v>
      </c>
      <c r="U211">
        <f t="shared" si="26"/>
        <v>465</v>
      </c>
      <c r="V211">
        <v>7</v>
      </c>
      <c r="W211" t="s">
        <v>3054</v>
      </c>
      <c r="X211" s="3" t="s">
        <v>3263</v>
      </c>
      <c r="Y211" s="3">
        <f t="shared" si="27"/>
        <v>45227</v>
      </c>
      <c r="Z211">
        <v>8.77E-2</v>
      </c>
    </row>
    <row r="212" spans="1:26" x14ac:dyDescent="0.35">
      <c r="A212" t="s">
        <v>227</v>
      </c>
      <c r="B212" t="str">
        <f t="shared" si="21"/>
        <v>OK</v>
      </c>
      <c r="C212" t="s">
        <v>1718</v>
      </c>
      <c r="D212" s="2">
        <v>55</v>
      </c>
      <c r="E212">
        <f>IF(OR(D212&lt;18, D212&gt;100),AD211,D212)</f>
        <v>55</v>
      </c>
      <c r="F212" t="s">
        <v>2990</v>
      </c>
      <c r="G212" t="str">
        <f t="shared" si="22"/>
        <v>Male</v>
      </c>
      <c r="H212" t="s">
        <v>3005</v>
      </c>
      <c r="I212" t="s">
        <v>3019</v>
      </c>
      <c r="K212" t="str">
        <f t="shared" si="23"/>
        <v>Employed</v>
      </c>
      <c r="L212">
        <v>3</v>
      </c>
      <c r="M212">
        <v>986242</v>
      </c>
      <c r="N212">
        <f t="shared" si="24"/>
        <v>986242</v>
      </c>
      <c r="O212">
        <v>56683</v>
      </c>
      <c r="P212">
        <v>9.7100000000000009</v>
      </c>
      <c r="Q212">
        <v>36</v>
      </c>
      <c r="R212" t="s">
        <v>3046</v>
      </c>
      <c r="S212" t="str">
        <f t="shared" si="25"/>
        <v>Medical</v>
      </c>
      <c r="T212">
        <v>509</v>
      </c>
      <c r="U212">
        <f t="shared" si="26"/>
        <v>509</v>
      </c>
      <c r="V212">
        <v>7</v>
      </c>
      <c r="W212" t="s">
        <v>3056</v>
      </c>
      <c r="X212" s="3" t="s">
        <v>3264</v>
      </c>
      <c r="Y212" s="3">
        <f t="shared" si="27"/>
        <v>44693</v>
      </c>
      <c r="Z212">
        <v>5.7500000000000002E-2</v>
      </c>
    </row>
    <row r="213" spans="1:26" x14ac:dyDescent="0.35">
      <c r="A213" t="s">
        <v>228</v>
      </c>
      <c r="B213" t="str">
        <f t="shared" si="21"/>
        <v>OK</v>
      </c>
      <c r="C213" t="s">
        <v>1719</v>
      </c>
      <c r="D213" s="2">
        <v>64</v>
      </c>
      <c r="E213">
        <f>IF(OR(D213&lt;18, D213&gt;100),AD212,D213)</f>
        <v>64</v>
      </c>
      <c r="F213" t="s">
        <v>2990</v>
      </c>
      <c r="G213" t="str">
        <f t="shared" si="22"/>
        <v>Male</v>
      </c>
      <c r="H213" t="s">
        <v>3004</v>
      </c>
      <c r="I213" t="s">
        <v>3020</v>
      </c>
      <c r="K213" t="str">
        <f t="shared" si="23"/>
        <v>Self-Employed</v>
      </c>
      <c r="L213">
        <v>7</v>
      </c>
      <c r="M213">
        <v>665757</v>
      </c>
      <c r="N213">
        <f t="shared" si="24"/>
        <v>665757</v>
      </c>
      <c r="O213">
        <v>272156</v>
      </c>
      <c r="P213">
        <v>15.87</v>
      </c>
      <c r="Q213">
        <v>12</v>
      </c>
      <c r="R213" t="s">
        <v>3049</v>
      </c>
      <c r="S213" t="str">
        <f t="shared" si="25"/>
        <v>Business</v>
      </c>
      <c r="T213">
        <v>766</v>
      </c>
      <c r="U213">
        <f t="shared" si="26"/>
        <v>766</v>
      </c>
      <c r="V213">
        <v>6</v>
      </c>
      <c r="W213" t="s">
        <v>3052</v>
      </c>
      <c r="X213" s="3" t="s">
        <v>3265</v>
      </c>
      <c r="Y213" s="3">
        <f t="shared" si="27"/>
        <v>44739</v>
      </c>
      <c r="Z213">
        <v>0.4088</v>
      </c>
    </row>
    <row r="214" spans="1:26" x14ac:dyDescent="0.35">
      <c r="A214" t="s">
        <v>229</v>
      </c>
      <c r="B214" t="str">
        <f t="shared" si="21"/>
        <v>OK</v>
      </c>
      <c r="C214" t="s">
        <v>1720</v>
      </c>
      <c r="D214" s="2">
        <v>26</v>
      </c>
      <c r="E214">
        <f>IF(OR(D214&lt;18, D214&gt;100),AD213,D214)</f>
        <v>26</v>
      </c>
      <c r="F214" t="s">
        <v>2990</v>
      </c>
      <c r="G214" t="str">
        <f t="shared" si="22"/>
        <v>Male</v>
      </c>
      <c r="H214" t="s">
        <v>3012</v>
      </c>
      <c r="I214" t="s">
        <v>3018</v>
      </c>
      <c r="K214" t="str">
        <f t="shared" si="23"/>
        <v>Business Owner</v>
      </c>
      <c r="L214">
        <v>3</v>
      </c>
      <c r="M214">
        <v>1228173</v>
      </c>
      <c r="N214">
        <f t="shared" si="24"/>
        <v>1228173</v>
      </c>
      <c r="O214">
        <v>112764</v>
      </c>
      <c r="P214">
        <v>12.49</v>
      </c>
      <c r="Q214">
        <v>48</v>
      </c>
      <c r="R214" t="s">
        <v>3049</v>
      </c>
      <c r="S214" t="str">
        <f t="shared" si="25"/>
        <v>Business</v>
      </c>
      <c r="T214">
        <v>613</v>
      </c>
      <c r="U214">
        <f t="shared" si="26"/>
        <v>613</v>
      </c>
      <c r="V214">
        <v>7</v>
      </c>
      <c r="W214" t="s">
        <v>3057</v>
      </c>
      <c r="X214" s="3" t="s">
        <v>3266</v>
      </c>
      <c r="Y214" s="3">
        <f t="shared" si="27"/>
        <v>45271</v>
      </c>
      <c r="Z214">
        <v>9.1800000000000007E-2</v>
      </c>
    </row>
    <row r="215" spans="1:26" x14ac:dyDescent="0.35">
      <c r="A215" t="s">
        <v>230</v>
      </c>
      <c r="B215" t="str">
        <f t="shared" si="21"/>
        <v>OK</v>
      </c>
      <c r="C215" t="s">
        <v>1721</v>
      </c>
      <c r="D215" s="2">
        <v>49</v>
      </c>
      <c r="E215">
        <f>IF(OR(D215&lt;18, D215&gt;100),AD214,D215)</f>
        <v>49</v>
      </c>
      <c r="F215" t="s">
        <v>2990</v>
      </c>
      <c r="G215" t="str">
        <f t="shared" si="22"/>
        <v>Male</v>
      </c>
      <c r="H215" t="s">
        <v>3007</v>
      </c>
      <c r="I215" t="s">
        <v>3019</v>
      </c>
      <c r="K215" t="str">
        <f t="shared" si="23"/>
        <v>Employed</v>
      </c>
      <c r="L215">
        <v>12</v>
      </c>
      <c r="M215">
        <v>1372929</v>
      </c>
      <c r="N215">
        <f t="shared" si="24"/>
        <v>1372929</v>
      </c>
      <c r="O215">
        <v>419009</v>
      </c>
      <c r="P215">
        <v>18.2</v>
      </c>
      <c r="Q215">
        <v>48</v>
      </c>
      <c r="R215" t="s">
        <v>3048</v>
      </c>
      <c r="S215" t="str">
        <f t="shared" si="25"/>
        <v>Home Improvement</v>
      </c>
      <c r="T215">
        <v>476</v>
      </c>
      <c r="U215">
        <f t="shared" si="26"/>
        <v>476</v>
      </c>
      <c r="V215">
        <v>0</v>
      </c>
      <c r="W215" t="s">
        <v>3054</v>
      </c>
      <c r="X215" s="3" t="s">
        <v>3267</v>
      </c>
      <c r="Y215" s="3">
        <f t="shared" si="27"/>
        <v>43924</v>
      </c>
      <c r="Z215">
        <v>0.30520000000000003</v>
      </c>
    </row>
    <row r="216" spans="1:26" x14ac:dyDescent="0.35">
      <c r="A216" t="s">
        <v>231</v>
      </c>
      <c r="B216" t="str">
        <f t="shared" si="21"/>
        <v>OK</v>
      </c>
      <c r="C216" t="s">
        <v>1722</v>
      </c>
      <c r="D216" s="2">
        <v>63</v>
      </c>
      <c r="E216">
        <f>IF(OR(D216&lt;18, D216&gt;100),AD215,D216)</f>
        <v>63</v>
      </c>
      <c r="F216" t="s">
        <v>2992</v>
      </c>
      <c r="G216" t="str">
        <f t="shared" si="22"/>
        <v>Female</v>
      </c>
      <c r="H216" t="s">
        <v>2999</v>
      </c>
      <c r="I216" t="s">
        <v>3021</v>
      </c>
      <c r="K216" t="str">
        <f t="shared" si="23"/>
        <v>Unemployed</v>
      </c>
      <c r="L216">
        <v>15</v>
      </c>
      <c r="M216">
        <v>890644</v>
      </c>
      <c r="N216">
        <f t="shared" si="24"/>
        <v>890644</v>
      </c>
      <c r="O216">
        <v>711967</v>
      </c>
      <c r="P216">
        <v>8.86</v>
      </c>
      <c r="Q216">
        <v>36</v>
      </c>
      <c r="R216" t="s">
        <v>3046</v>
      </c>
      <c r="S216" t="str">
        <f t="shared" si="25"/>
        <v>Medical</v>
      </c>
      <c r="T216">
        <v>526</v>
      </c>
      <c r="U216">
        <f t="shared" si="26"/>
        <v>526</v>
      </c>
      <c r="V216">
        <v>1</v>
      </c>
      <c r="W216" t="s">
        <v>3052</v>
      </c>
      <c r="X216" s="3" t="s">
        <v>3268</v>
      </c>
      <c r="Y216" s="3">
        <f t="shared" si="27"/>
        <v>44189</v>
      </c>
      <c r="Z216">
        <v>0.7994</v>
      </c>
    </row>
    <row r="217" spans="1:26" x14ac:dyDescent="0.35">
      <c r="A217" t="s">
        <v>232</v>
      </c>
      <c r="B217" t="str">
        <f t="shared" si="21"/>
        <v>OK</v>
      </c>
      <c r="C217" t="s">
        <v>1723</v>
      </c>
      <c r="D217" s="2">
        <v>26</v>
      </c>
      <c r="E217">
        <f>IF(OR(D217&lt;18, D217&gt;100),AD216,D217)</f>
        <v>26</v>
      </c>
      <c r="F217" t="s">
        <v>2992</v>
      </c>
      <c r="G217" t="str">
        <f t="shared" si="22"/>
        <v>Female</v>
      </c>
      <c r="H217" t="s">
        <v>3006</v>
      </c>
      <c r="I217" t="s">
        <v>3018</v>
      </c>
      <c r="K217" t="str">
        <f t="shared" si="23"/>
        <v>Business Owner</v>
      </c>
      <c r="L217">
        <v>13</v>
      </c>
      <c r="N217">
        <f t="shared" si="24"/>
        <v>1333224</v>
      </c>
      <c r="O217">
        <v>590895</v>
      </c>
      <c r="P217">
        <v>27.39</v>
      </c>
      <c r="Q217">
        <v>48</v>
      </c>
      <c r="R217" t="s">
        <v>3049</v>
      </c>
      <c r="S217" t="str">
        <f t="shared" si="25"/>
        <v>Business</v>
      </c>
      <c r="T217">
        <v>693</v>
      </c>
      <c r="U217">
        <f t="shared" si="26"/>
        <v>693</v>
      </c>
      <c r="V217">
        <v>3</v>
      </c>
      <c r="W217" t="s">
        <v>3052</v>
      </c>
      <c r="X217" s="3" t="s">
        <v>3269</v>
      </c>
      <c r="Y217" s="3">
        <f t="shared" si="27"/>
        <v>45243</v>
      </c>
      <c r="Z217">
        <v>2.1193</v>
      </c>
    </row>
    <row r="218" spans="1:26" x14ac:dyDescent="0.35">
      <c r="A218" t="s">
        <v>233</v>
      </c>
      <c r="B218" t="str">
        <f t="shared" si="21"/>
        <v>OK</v>
      </c>
      <c r="C218" t="s">
        <v>1724</v>
      </c>
      <c r="D218" s="2">
        <v>58</v>
      </c>
      <c r="E218">
        <f>IF(OR(D218&lt;18, D218&gt;100),AD217,D218)</f>
        <v>58</v>
      </c>
      <c r="F218" t="s">
        <v>2990</v>
      </c>
      <c r="G218" t="str">
        <f t="shared" si="22"/>
        <v>Male</v>
      </c>
      <c r="H218" t="s">
        <v>2999</v>
      </c>
      <c r="I218" t="s">
        <v>3019</v>
      </c>
      <c r="K218" t="str">
        <f t="shared" si="23"/>
        <v>Employed</v>
      </c>
      <c r="L218">
        <v>29</v>
      </c>
      <c r="M218">
        <v>2154259</v>
      </c>
      <c r="N218">
        <f t="shared" si="24"/>
        <v>2154259</v>
      </c>
      <c r="O218">
        <v>468828</v>
      </c>
      <c r="P218">
        <v>9.4700000000000006</v>
      </c>
      <c r="Q218">
        <v>36</v>
      </c>
      <c r="R218" t="s">
        <v>3046</v>
      </c>
      <c r="S218" t="str">
        <f t="shared" si="25"/>
        <v>Medical</v>
      </c>
      <c r="T218">
        <v>570</v>
      </c>
      <c r="U218">
        <f t="shared" si="26"/>
        <v>570</v>
      </c>
      <c r="V218">
        <v>7</v>
      </c>
      <c r="W218" t="s">
        <v>3056</v>
      </c>
      <c r="X218" s="3" t="s">
        <v>3081</v>
      </c>
      <c r="Y218" s="3">
        <f t="shared" si="27"/>
        <v>43890</v>
      </c>
      <c r="Z218">
        <v>0.21759999999999999</v>
      </c>
    </row>
    <row r="219" spans="1:26" x14ac:dyDescent="0.35">
      <c r="A219" t="s">
        <v>234</v>
      </c>
      <c r="B219" t="str">
        <f t="shared" si="21"/>
        <v>OK</v>
      </c>
      <c r="C219" t="s">
        <v>1725</v>
      </c>
      <c r="D219" s="2">
        <v>33</v>
      </c>
      <c r="E219">
        <f>IF(OR(D219&lt;18, D219&gt;100),AD218,D219)</f>
        <v>33</v>
      </c>
      <c r="F219" t="s">
        <v>2992</v>
      </c>
      <c r="G219" t="str">
        <f t="shared" si="22"/>
        <v>Female</v>
      </c>
      <c r="H219" t="s">
        <v>3006</v>
      </c>
      <c r="I219" t="s">
        <v>3018</v>
      </c>
      <c r="K219" t="str">
        <f t="shared" si="23"/>
        <v>Business Owner</v>
      </c>
      <c r="L219">
        <v>15</v>
      </c>
      <c r="M219">
        <v>2176170</v>
      </c>
      <c r="N219">
        <f t="shared" si="24"/>
        <v>2176170</v>
      </c>
      <c r="O219">
        <v>71717</v>
      </c>
      <c r="P219">
        <v>18.98</v>
      </c>
      <c r="Q219">
        <v>24</v>
      </c>
      <c r="R219" t="s">
        <v>3047</v>
      </c>
      <c r="S219" t="str">
        <f t="shared" si="25"/>
        <v>Personal</v>
      </c>
      <c r="U219">
        <f t="shared" si="26"/>
        <v>556</v>
      </c>
      <c r="V219">
        <v>1</v>
      </c>
      <c r="W219" t="s">
        <v>3053</v>
      </c>
      <c r="X219" s="3" t="s">
        <v>3270</v>
      </c>
      <c r="Y219" s="3">
        <f t="shared" si="27"/>
        <v>44488</v>
      </c>
      <c r="Z219">
        <v>3.3000000000000002E-2</v>
      </c>
    </row>
    <row r="220" spans="1:26" x14ac:dyDescent="0.35">
      <c r="A220" t="s">
        <v>235</v>
      </c>
      <c r="B220" t="str">
        <f t="shared" si="21"/>
        <v>OK</v>
      </c>
      <c r="C220" t="s">
        <v>1726</v>
      </c>
      <c r="D220" s="2">
        <v>40</v>
      </c>
      <c r="E220">
        <f>IF(OR(D220&lt;18, D220&gt;100),AD219,D220)</f>
        <v>40</v>
      </c>
      <c r="F220" t="s">
        <v>2992</v>
      </c>
      <c r="G220" t="str">
        <f t="shared" si="22"/>
        <v>Female</v>
      </c>
      <c r="H220" t="s">
        <v>3007</v>
      </c>
      <c r="I220" t="s">
        <v>3021</v>
      </c>
      <c r="K220" t="str">
        <f t="shared" si="23"/>
        <v>Unemployed</v>
      </c>
      <c r="L220">
        <v>20</v>
      </c>
      <c r="M220">
        <v>1570281</v>
      </c>
      <c r="N220">
        <f t="shared" si="24"/>
        <v>1570281</v>
      </c>
      <c r="O220">
        <v>780278</v>
      </c>
      <c r="P220">
        <v>15.62</v>
      </c>
      <c r="Q220">
        <v>24</v>
      </c>
      <c r="R220" t="s">
        <v>3049</v>
      </c>
      <c r="S220" t="str">
        <f t="shared" si="25"/>
        <v>Business</v>
      </c>
      <c r="T220">
        <v>594</v>
      </c>
      <c r="U220">
        <f t="shared" si="26"/>
        <v>594</v>
      </c>
      <c r="V220">
        <v>3</v>
      </c>
      <c r="W220" t="s">
        <v>3052</v>
      </c>
      <c r="X220" s="3" t="s">
        <v>3271</v>
      </c>
      <c r="Y220" s="3">
        <f t="shared" si="27"/>
        <v>45123</v>
      </c>
      <c r="Z220">
        <v>0.49690000000000001</v>
      </c>
    </row>
    <row r="221" spans="1:26" x14ac:dyDescent="0.35">
      <c r="A221" t="s">
        <v>236</v>
      </c>
      <c r="B221" t="str">
        <f t="shared" si="21"/>
        <v>OK</v>
      </c>
      <c r="C221" t="s">
        <v>1727</v>
      </c>
      <c r="D221" s="2">
        <v>55</v>
      </c>
      <c r="E221">
        <f>IF(OR(D221&lt;18, D221&gt;100),AD220,D221)</f>
        <v>55</v>
      </c>
      <c r="F221" t="s">
        <v>2994</v>
      </c>
      <c r="G221" t="str">
        <f t="shared" si="22"/>
        <v>Female</v>
      </c>
      <c r="H221" t="s">
        <v>3004</v>
      </c>
      <c r="I221" t="s">
        <v>3020</v>
      </c>
      <c r="K221" t="str">
        <f t="shared" si="23"/>
        <v>Self-Employed</v>
      </c>
      <c r="L221">
        <v>0</v>
      </c>
      <c r="M221">
        <v>2359431</v>
      </c>
      <c r="N221">
        <f t="shared" si="24"/>
        <v>2359431</v>
      </c>
      <c r="O221">
        <v>237741</v>
      </c>
      <c r="P221">
        <v>14.15</v>
      </c>
      <c r="Q221">
        <v>60</v>
      </c>
      <c r="R221" t="s">
        <v>3048</v>
      </c>
      <c r="S221" t="str">
        <f t="shared" si="25"/>
        <v>Home Improvement</v>
      </c>
      <c r="T221">
        <v>381</v>
      </c>
      <c r="U221">
        <f t="shared" si="26"/>
        <v>381</v>
      </c>
      <c r="V221">
        <v>6</v>
      </c>
      <c r="W221" t="s">
        <v>3057</v>
      </c>
      <c r="X221" s="3" t="s">
        <v>3229</v>
      </c>
      <c r="Y221" s="3">
        <f t="shared" si="27"/>
        <v>44279</v>
      </c>
      <c r="Z221">
        <v>0.1008</v>
      </c>
    </row>
    <row r="222" spans="1:26" x14ac:dyDescent="0.35">
      <c r="A222" t="s">
        <v>237</v>
      </c>
      <c r="B222" t="str">
        <f t="shared" si="21"/>
        <v>OK</v>
      </c>
      <c r="C222" t="s">
        <v>1728</v>
      </c>
      <c r="D222" s="2">
        <v>48</v>
      </c>
      <c r="E222">
        <f>IF(OR(D222&lt;18, D222&gt;100),AD221,D222)</f>
        <v>48</v>
      </c>
      <c r="F222" t="s">
        <v>2992</v>
      </c>
      <c r="G222" t="str">
        <f t="shared" si="22"/>
        <v>Female</v>
      </c>
      <c r="H222" t="s">
        <v>3005</v>
      </c>
      <c r="I222" t="s">
        <v>3020</v>
      </c>
      <c r="K222" t="str">
        <f t="shared" si="23"/>
        <v>Self-Employed</v>
      </c>
      <c r="L222">
        <v>22</v>
      </c>
      <c r="M222">
        <v>344053</v>
      </c>
      <c r="N222">
        <f t="shared" si="24"/>
        <v>344053</v>
      </c>
      <c r="O222">
        <v>82507</v>
      </c>
      <c r="P222">
        <v>11.81</v>
      </c>
      <c r="Q222">
        <v>24</v>
      </c>
      <c r="R222" t="s">
        <v>3049</v>
      </c>
      <c r="S222" t="str">
        <f t="shared" si="25"/>
        <v>Business</v>
      </c>
      <c r="T222">
        <v>378</v>
      </c>
      <c r="U222">
        <f t="shared" si="26"/>
        <v>378</v>
      </c>
      <c r="V222">
        <v>6</v>
      </c>
      <c r="W222" t="s">
        <v>3054</v>
      </c>
      <c r="X222" s="3" t="s">
        <v>3272</v>
      </c>
      <c r="Y222" s="3">
        <f t="shared" si="27"/>
        <v>44432</v>
      </c>
      <c r="Z222">
        <v>0.23980000000000001</v>
      </c>
    </row>
    <row r="223" spans="1:26" x14ac:dyDescent="0.35">
      <c r="A223" t="s">
        <v>238</v>
      </c>
      <c r="B223" t="str">
        <f t="shared" si="21"/>
        <v>OK</v>
      </c>
      <c r="C223" t="s">
        <v>1729</v>
      </c>
      <c r="D223" s="2">
        <v>61</v>
      </c>
      <c r="E223">
        <f>IF(OR(D223&lt;18, D223&gt;100),AD222,D223)</f>
        <v>61</v>
      </c>
      <c r="F223" t="s">
        <v>2992</v>
      </c>
      <c r="G223" t="str">
        <f t="shared" si="22"/>
        <v>Female</v>
      </c>
      <c r="H223" t="s">
        <v>3006</v>
      </c>
      <c r="I223" t="s">
        <v>3018</v>
      </c>
      <c r="K223" t="str">
        <f t="shared" si="23"/>
        <v>Business Owner</v>
      </c>
      <c r="L223">
        <v>1</v>
      </c>
      <c r="M223">
        <v>1965516</v>
      </c>
      <c r="N223">
        <f t="shared" si="24"/>
        <v>1965516</v>
      </c>
      <c r="O223">
        <v>754412</v>
      </c>
      <c r="P223">
        <v>10.7</v>
      </c>
      <c r="Q223">
        <v>60</v>
      </c>
      <c r="R223" t="s">
        <v>3050</v>
      </c>
      <c r="S223" t="str">
        <f t="shared" si="25"/>
        <v>Agriculture</v>
      </c>
      <c r="T223">
        <v>514</v>
      </c>
      <c r="U223">
        <f t="shared" si="26"/>
        <v>514</v>
      </c>
      <c r="V223">
        <v>0</v>
      </c>
      <c r="W223" t="s">
        <v>3055</v>
      </c>
      <c r="X223" s="3" t="s">
        <v>3273</v>
      </c>
      <c r="Y223" s="3">
        <f t="shared" si="27"/>
        <v>45190</v>
      </c>
      <c r="Z223">
        <v>0.38379999999999997</v>
      </c>
    </row>
    <row r="224" spans="1:26" x14ac:dyDescent="0.35">
      <c r="A224" t="s">
        <v>239</v>
      </c>
      <c r="B224" t="str">
        <f t="shared" si="21"/>
        <v>OK</v>
      </c>
      <c r="C224" t="s">
        <v>1730</v>
      </c>
      <c r="D224" s="2">
        <v>43</v>
      </c>
      <c r="E224">
        <f>IF(OR(D224&lt;18, D224&gt;100),AD223,D224)</f>
        <v>43</v>
      </c>
      <c r="F224" t="s">
        <v>2992</v>
      </c>
      <c r="G224" t="str">
        <f t="shared" si="22"/>
        <v>Female</v>
      </c>
      <c r="H224" t="s">
        <v>3005</v>
      </c>
      <c r="K224" t="str">
        <f t="shared" si="23"/>
        <v>Unknown</v>
      </c>
      <c r="L224">
        <v>19</v>
      </c>
      <c r="M224">
        <v>1546808</v>
      </c>
      <c r="N224">
        <f t="shared" si="24"/>
        <v>1546808</v>
      </c>
      <c r="O224">
        <v>662762</v>
      </c>
      <c r="P224">
        <v>9.1300000000000008</v>
      </c>
      <c r="Q224">
        <v>60</v>
      </c>
      <c r="R224" t="s">
        <v>3046</v>
      </c>
      <c r="S224" t="str">
        <f t="shared" si="25"/>
        <v>Medical</v>
      </c>
      <c r="T224">
        <v>512</v>
      </c>
      <c r="U224">
        <f t="shared" si="26"/>
        <v>512</v>
      </c>
      <c r="V224">
        <v>4</v>
      </c>
      <c r="W224" t="s">
        <v>3054</v>
      </c>
      <c r="X224" s="3" t="s">
        <v>3182</v>
      </c>
      <c r="Y224" s="3">
        <f t="shared" si="27"/>
        <v>44831</v>
      </c>
      <c r="Z224">
        <v>0.42849999999999999</v>
      </c>
    </row>
    <row r="225" spans="1:26" x14ac:dyDescent="0.35">
      <c r="A225" t="s">
        <v>240</v>
      </c>
      <c r="B225" t="str">
        <f t="shared" si="21"/>
        <v>OK</v>
      </c>
      <c r="C225" t="s">
        <v>1731</v>
      </c>
      <c r="D225" s="2">
        <v>28</v>
      </c>
      <c r="E225">
        <f>IF(OR(D225&lt;18, D225&gt;100),AD224,D225)</f>
        <v>28</v>
      </c>
      <c r="F225" t="s">
        <v>2992</v>
      </c>
      <c r="G225" t="str">
        <f t="shared" si="22"/>
        <v>Female</v>
      </c>
      <c r="H225" t="s">
        <v>3007</v>
      </c>
      <c r="I225" t="s">
        <v>3019</v>
      </c>
      <c r="K225" t="str">
        <f t="shared" si="23"/>
        <v>Employed</v>
      </c>
      <c r="L225">
        <v>0</v>
      </c>
      <c r="M225">
        <v>201253</v>
      </c>
      <c r="N225">
        <f t="shared" si="24"/>
        <v>201253</v>
      </c>
      <c r="O225">
        <v>581446</v>
      </c>
      <c r="P225">
        <v>26.19</v>
      </c>
      <c r="Q225">
        <v>60</v>
      </c>
      <c r="R225" t="s">
        <v>3047</v>
      </c>
      <c r="S225" t="str">
        <f t="shared" si="25"/>
        <v>Personal</v>
      </c>
      <c r="T225">
        <v>322</v>
      </c>
      <c r="U225">
        <f t="shared" si="26"/>
        <v>322</v>
      </c>
      <c r="V225">
        <v>1</v>
      </c>
      <c r="W225" t="s">
        <v>3055</v>
      </c>
      <c r="X225" s="3" t="s">
        <v>3274</v>
      </c>
      <c r="Y225" s="3">
        <f t="shared" si="27"/>
        <v>44375</v>
      </c>
      <c r="Z225">
        <v>2.8891</v>
      </c>
    </row>
    <row r="226" spans="1:26" x14ac:dyDescent="0.35">
      <c r="A226" t="s">
        <v>241</v>
      </c>
      <c r="B226" t="str">
        <f t="shared" si="21"/>
        <v>OK</v>
      </c>
      <c r="C226" t="s">
        <v>1732</v>
      </c>
      <c r="D226" s="2">
        <v>34</v>
      </c>
      <c r="E226">
        <f>IF(OR(D226&lt;18, D226&gt;100),AD225,D226)</f>
        <v>34</v>
      </c>
      <c r="F226" t="s">
        <v>2990</v>
      </c>
      <c r="G226" t="str">
        <f t="shared" si="22"/>
        <v>Male</v>
      </c>
      <c r="H226" t="s">
        <v>3007</v>
      </c>
      <c r="I226" t="s">
        <v>3021</v>
      </c>
      <c r="K226" t="str">
        <f t="shared" si="23"/>
        <v>Unemployed</v>
      </c>
      <c r="L226">
        <v>3</v>
      </c>
      <c r="M226">
        <v>1206657</v>
      </c>
      <c r="N226">
        <f t="shared" si="24"/>
        <v>1206657</v>
      </c>
      <c r="O226">
        <v>799976</v>
      </c>
      <c r="P226">
        <v>25.95</v>
      </c>
      <c r="Q226">
        <v>36</v>
      </c>
      <c r="R226" t="s">
        <v>3050</v>
      </c>
      <c r="S226" t="str">
        <f t="shared" si="25"/>
        <v>Agriculture</v>
      </c>
      <c r="T226">
        <v>537</v>
      </c>
      <c r="U226">
        <f t="shared" si="26"/>
        <v>537</v>
      </c>
      <c r="V226">
        <v>3</v>
      </c>
      <c r="W226" t="s">
        <v>3054</v>
      </c>
      <c r="X226" s="3" t="s">
        <v>3275</v>
      </c>
      <c r="Y226" s="3">
        <f t="shared" si="27"/>
        <v>44372</v>
      </c>
      <c r="Z226">
        <v>0.66300000000000003</v>
      </c>
    </row>
    <row r="227" spans="1:26" x14ac:dyDescent="0.35">
      <c r="A227" t="s">
        <v>242</v>
      </c>
      <c r="B227" t="str">
        <f t="shared" si="21"/>
        <v>OK</v>
      </c>
      <c r="C227" t="s">
        <v>1733</v>
      </c>
      <c r="D227" s="2">
        <v>43</v>
      </c>
      <c r="E227">
        <f>IF(OR(D227&lt;18, D227&gt;100),AD226,D227)</f>
        <v>43</v>
      </c>
      <c r="F227" t="s">
        <v>2990</v>
      </c>
      <c r="G227" t="str">
        <f t="shared" si="22"/>
        <v>Male</v>
      </c>
      <c r="H227" t="s">
        <v>3006</v>
      </c>
      <c r="I227" t="s">
        <v>3018</v>
      </c>
      <c r="K227" t="str">
        <f t="shared" si="23"/>
        <v>Business Owner</v>
      </c>
      <c r="L227">
        <v>11</v>
      </c>
      <c r="M227">
        <v>1827608</v>
      </c>
      <c r="N227">
        <f t="shared" si="24"/>
        <v>1827608</v>
      </c>
      <c r="O227">
        <v>498356</v>
      </c>
      <c r="P227">
        <v>24.35</v>
      </c>
      <c r="Q227">
        <v>36</v>
      </c>
      <c r="R227" t="s">
        <v>3048</v>
      </c>
      <c r="S227" t="str">
        <f t="shared" si="25"/>
        <v>Home Improvement</v>
      </c>
      <c r="T227">
        <v>413</v>
      </c>
      <c r="U227">
        <f t="shared" si="26"/>
        <v>413</v>
      </c>
      <c r="V227">
        <v>6</v>
      </c>
      <c r="W227" t="s">
        <v>3054</v>
      </c>
      <c r="X227" s="3" t="s">
        <v>3276</v>
      </c>
      <c r="Y227" s="3">
        <f t="shared" si="27"/>
        <v>45051</v>
      </c>
      <c r="Z227">
        <v>0.2727</v>
      </c>
    </row>
    <row r="228" spans="1:26" x14ac:dyDescent="0.35">
      <c r="A228" t="s">
        <v>243</v>
      </c>
      <c r="B228" t="str">
        <f t="shared" si="21"/>
        <v>OK</v>
      </c>
      <c r="C228" t="s">
        <v>1734</v>
      </c>
      <c r="D228" s="2">
        <v>39</v>
      </c>
      <c r="E228">
        <f>IF(OR(D228&lt;18, D228&gt;100),AD227,D228)</f>
        <v>39</v>
      </c>
      <c r="F228" t="s">
        <v>2990</v>
      </c>
      <c r="G228" t="str">
        <f t="shared" si="22"/>
        <v>Male</v>
      </c>
      <c r="H228" t="s">
        <v>2998</v>
      </c>
      <c r="I228" t="s">
        <v>3019</v>
      </c>
      <c r="K228" t="str">
        <f t="shared" si="23"/>
        <v>Employed</v>
      </c>
      <c r="L228">
        <v>9</v>
      </c>
      <c r="M228">
        <v>275028</v>
      </c>
      <c r="N228">
        <f t="shared" si="24"/>
        <v>275028</v>
      </c>
      <c r="O228">
        <v>551147</v>
      </c>
      <c r="P228">
        <v>9.08</v>
      </c>
      <c r="Q228">
        <v>60</v>
      </c>
      <c r="R228" t="s">
        <v>3049</v>
      </c>
      <c r="S228" t="str">
        <f t="shared" si="25"/>
        <v>Business</v>
      </c>
      <c r="T228">
        <v>446</v>
      </c>
      <c r="U228">
        <f t="shared" si="26"/>
        <v>446</v>
      </c>
      <c r="V228">
        <v>3</v>
      </c>
      <c r="W228" t="s">
        <v>3054</v>
      </c>
      <c r="X228" s="3" t="s">
        <v>3277</v>
      </c>
      <c r="Y228" s="3">
        <f t="shared" si="27"/>
        <v>45033</v>
      </c>
      <c r="Z228">
        <v>2.004</v>
      </c>
    </row>
    <row r="229" spans="1:26" x14ac:dyDescent="0.35">
      <c r="A229" t="s">
        <v>244</v>
      </c>
      <c r="B229" t="str">
        <f t="shared" si="21"/>
        <v>OK</v>
      </c>
      <c r="C229" t="s">
        <v>1735</v>
      </c>
      <c r="D229" s="2">
        <v>62</v>
      </c>
      <c r="E229">
        <f>IF(OR(D229&lt;18, D229&gt;100),AD228,D229)</f>
        <v>62</v>
      </c>
      <c r="F229" t="s">
        <v>2992</v>
      </c>
      <c r="G229" t="str">
        <f t="shared" si="22"/>
        <v>Female</v>
      </c>
      <c r="H229" t="s">
        <v>2998</v>
      </c>
      <c r="I229" t="s">
        <v>3021</v>
      </c>
      <c r="K229" t="str">
        <f t="shared" si="23"/>
        <v>Unemployed</v>
      </c>
      <c r="L229">
        <v>13</v>
      </c>
      <c r="M229">
        <v>1302437</v>
      </c>
      <c r="N229">
        <f t="shared" si="24"/>
        <v>1302437</v>
      </c>
      <c r="O229">
        <v>62291</v>
      </c>
      <c r="P229">
        <v>18.64</v>
      </c>
      <c r="Q229">
        <v>36</v>
      </c>
      <c r="R229" t="s">
        <v>3051</v>
      </c>
      <c r="S229" t="str">
        <f t="shared" si="25"/>
        <v>Education</v>
      </c>
      <c r="T229">
        <v>686</v>
      </c>
      <c r="U229">
        <f t="shared" si="26"/>
        <v>686</v>
      </c>
      <c r="V229">
        <v>1</v>
      </c>
      <c r="W229" t="s">
        <v>3055</v>
      </c>
      <c r="X229" s="3" t="s">
        <v>3278</v>
      </c>
      <c r="Y229" s="3">
        <f t="shared" si="27"/>
        <v>44004</v>
      </c>
      <c r="Z229">
        <v>4.7800000000000002E-2</v>
      </c>
    </row>
    <row r="230" spans="1:26" x14ac:dyDescent="0.35">
      <c r="A230" t="s">
        <v>245</v>
      </c>
      <c r="B230" t="str">
        <f t="shared" si="21"/>
        <v>OK</v>
      </c>
      <c r="C230" t="s">
        <v>1736</v>
      </c>
      <c r="D230" s="2">
        <v>60</v>
      </c>
      <c r="E230">
        <f>IF(OR(D230&lt;18, D230&gt;100),AD229,D230)</f>
        <v>60</v>
      </c>
      <c r="F230" t="s">
        <v>2992</v>
      </c>
      <c r="G230" t="str">
        <f t="shared" si="22"/>
        <v>Female</v>
      </c>
      <c r="H230" t="s">
        <v>3007</v>
      </c>
      <c r="I230" t="s">
        <v>3018</v>
      </c>
      <c r="K230" t="str">
        <f t="shared" si="23"/>
        <v>Business Owner</v>
      </c>
      <c r="L230">
        <v>21</v>
      </c>
      <c r="M230">
        <v>1482549</v>
      </c>
      <c r="N230">
        <f t="shared" si="24"/>
        <v>1482549</v>
      </c>
      <c r="O230">
        <v>260016</v>
      </c>
      <c r="P230">
        <v>10.23</v>
      </c>
      <c r="Q230">
        <v>48</v>
      </c>
      <c r="R230" t="s">
        <v>3047</v>
      </c>
      <c r="S230" t="str">
        <f t="shared" si="25"/>
        <v>Personal</v>
      </c>
      <c r="T230">
        <v>714</v>
      </c>
      <c r="U230">
        <f t="shared" si="26"/>
        <v>714</v>
      </c>
      <c r="V230">
        <v>6</v>
      </c>
      <c r="W230" t="s">
        <v>3052</v>
      </c>
      <c r="X230" s="3" t="s">
        <v>3279</v>
      </c>
      <c r="Y230" s="3">
        <f t="shared" si="27"/>
        <v>44589</v>
      </c>
      <c r="Z230">
        <v>0.1754</v>
      </c>
    </row>
    <row r="231" spans="1:26" x14ac:dyDescent="0.35">
      <c r="A231" t="s">
        <v>246</v>
      </c>
      <c r="B231" t="str">
        <f t="shared" si="21"/>
        <v>OK</v>
      </c>
      <c r="C231" t="s">
        <v>1737</v>
      </c>
      <c r="D231" s="2">
        <v>53</v>
      </c>
      <c r="E231">
        <f>IF(OR(D231&lt;18, D231&gt;100),AD230,D231)</f>
        <v>53</v>
      </c>
      <c r="G231" t="str">
        <f t="shared" si="22"/>
        <v>Unknown</v>
      </c>
      <c r="H231" t="s">
        <v>2999</v>
      </c>
      <c r="I231" t="s">
        <v>3019</v>
      </c>
      <c r="K231" t="str">
        <f t="shared" si="23"/>
        <v>Employed</v>
      </c>
      <c r="L231">
        <v>19</v>
      </c>
      <c r="M231">
        <v>783291</v>
      </c>
      <c r="N231">
        <f t="shared" si="24"/>
        <v>783291</v>
      </c>
      <c r="O231">
        <v>605457</v>
      </c>
      <c r="P231">
        <v>26.22</v>
      </c>
      <c r="Q231">
        <v>36</v>
      </c>
      <c r="R231" t="s">
        <v>3046</v>
      </c>
      <c r="S231" t="str">
        <f t="shared" si="25"/>
        <v>Medical</v>
      </c>
      <c r="T231">
        <v>547</v>
      </c>
      <c r="U231">
        <f t="shared" si="26"/>
        <v>547</v>
      </c>
      <c r="V231">
        <v>3</v>
      </c>
      <c r="W231" t="s">
        <v>3052</v>
      </c>
      <c r="X231" s="3" t="s">
        <v>3280</v>
      </c>
      <c r="Y231" s="3">
        <f t="shared" si="27"/>
        <v>44417</v>
      </c>
      <c r="Z231">
        <v>0.77300000000000002</v>
      </c>
    </row>
    <row r="232" spans="1:26" x14ac:dyDescent="0.35">
      <c r="A232" t="s">
        <v>247</v>
      </c>
      <c r="B232" t="str">
        <f t="shared" si="21"/>
        <v>OK</v>
      </c>
      <c r="C232" t="s">
        <v>1738</v>
      </c>
      <c r="D232" s="2">
        <v>50</v>
      </c>
      <c r="E232">
        <f>IF(OR(D232&lt;18, D232&gt;100),AD231,D232)</f>
        <v>50</v>
      </c>
      <c r="F232" t="s">
        <v>2990</v>
      </c>
      <c r="G232" t="str">
        <f t="shared" si="22"/>
        <v>Male</v>
      </c>
      <c r="H232" t="s">
        <v>2998</v>
      </c>
      <c r="I232" t="s">
        <v>3021</v>
      </c>
      <c r="K232" t="str">
        <f t="shared" si="23"/>
        <v>Unemployed</v>
      </c>
      <c r="L232">
        <v>8</v>
      </c>
      <c r="M232">
        <v>2307599</v>
      </c>
      <c r="N232">
        <f t="shared" si="24"/>
        <v>2307599</v>
      </c>
      <c r="O232">
        <v>640273</v>
      </c>
      <c r="P232">
        <v>19.88</v>
      </c>
      <c r="Q232">
        <v>24</v>
      </c>
      <c r="R232" t="s">
        <v>3047</v>
      </c>
      <c r="S232" t="str">
        <f t="shared" si="25"/>
        <v>Personal</v>
      </c>
      <c r="T232">
        <v>528</v>
      </c>
      <c r="U232">
        <f t="shared" si="26"/>
        <v>528</v>
      </c>
      <c r="V232">
        <v>3</v>
      </c>
      <c r="W232" t="s">
        <v>3054</v>
      </c>
      <c r="X232" s="3" t="s">
        <v>3281</v>
      </c>
      <c r="Y232" s="3">
        <f t="shared" si="27"/>
        <v>44345</v>
      </c>
      <c r="Z232">
        <v>0.27750000000000002</v>
      </c>
    </row>
    <row r="233" spans="1:26" x14ac:dyDescent="0.35">
      <c r="A233" t="s">
        <v>248</v>
      </c>
      <c r="B233" t="str">
        <f t="shared" si="21"/>
        <v>OK</v>
      </c>
      <c r="C233" t="s">
        <v>1739</v>
      </c>
      <c r="D233" s="2">
        <v>52</v>
      </c>
      <c r="E233">
        <f>IF(OR(D233&lt;18, D233&gt;100),AD232,D233)</f>
        <v>52</v>
      </c>
      <c r="F233" t="s">
        <v>2992</v>
      </c>
      <c r="G233" t="str">
        <f t="shared" si="22"/>
        <v>Female</v>
      </c>
      <c r="H233" t="s">
        <v>3001</v>
      </c>
      <c r="I233" t="s">
        <v>3021</v>
      </c>
      <c r="K233" t="str">
        <f t="shared" si="23"/>
        <v>Unemployed</v>
      </c>
      <c r="L233">
        <v>19</v>
      </c>
      <c r="M233">
        <v>2031317</v>
      </c>
      <c r="N233">
        <f t="shared" si="24"/>
        <v>2031317</v>
      </c>
      <c r="O233">
        <v>69067</v>
      </c>
      <c r="P233">
        <v>24.17</v>
      </c>
      <c r="Q233">
        <v>24</v>
      </c>
      <c r="R233" t="s">
        <v>3047</v>
      </c>
      <c r="S233" t="str">
        <f t="shared" si="25"/>
        <v>Personal</v>
      </c>
      <c r="T233">
        <v>811</v>
      </c>
      <c r="U233">
        <f t="shared" si="26"/>
        <v>811</v>
      </c>
      <c r="V233">
        <v>5</v>
      </c>
      <c r="W233" t="s">
        <v>3055</v>
      </c>
      <c r="X233" s="3" t="s">
        <v>3282</v>
      </c>
      <c r="Y233" s="3">
        <f t="shared" si="27"/>
        <v>43951</v>
      </c>
      <c r="Z233">
        <v>3.4000000000000002E-2</v>
      </c>
    </row>
    <row r="234" spans="1:26" x14ac:dyDescent="0.35">
      <c r="A234" t="s">
        <v>249</v>
      </c>
      <c r="B234" t="str">
        <f t="shared" si="21"/>
        <v>OK</v>
      </c>
      <c r="C234" t="s">
        <v>1740</v>
      </c>
      <c r="D234" s="2">
        <v>34</v>
      </c>
      <c r="E234">
        <f>IF(OR(D234&lt;18, D234&gt;100),AD233,D234)</f>
        <v>34</v>
      </c>
      <c r="F234" t="s">
        <v>2992</v>
      </c>
      <c r="G234" t="str">
        <f t="shared" si="22"/>
        <v>Female</v>
      </c>
      <c r="H234" t="s">
        <v>2998</v>
      </c>
      <c r="I234" t="s">
        <v>3020</v>
      </c>
      <c r="K234" t="str">
        <f t="shared" si="23"/>
        <v>Self-Employed</v>
      </c>
      <c r="L234">
        <v>7</v>
      </c>
      <c r="M234">
        <v>1935548</v>
      </c>
      <c r="N234">
        <f t="shared" si="24"/>
        <v>1935548</v>
      </c>
      <c r="O234">
        <v>386142</v>
      </c>
      <c r="P234">
        <v>12.92</v>
      </c>
      <c r="Q234">
        <v>48</v>
      </c>
      <c r="R234" t="s">
        <v>3048</v>
      </c>
      <c r="S234" t="str">
        <f t="shared" si="25"/>
        <v>Home Improvement</v>
      </c>
      <c r="T234">
        <v>447</v>
      </c>
      <c r="U234">
        <f t="shared" si="26"/>
        <v>447</v>
      </c>
      <c r="V234">
        <v>4</v>
      </c>
      <c r="W234" t="s">
        <v>3055</v>
      </c>
      <c r="X234" s="3" t="s">
        <v>3283</v>
      </c>
      <c r="Y234" s="3">
        <f t="shared" si="27"/>
        <v>44722</v>
      </c>
      <c r="Z234">
        <v>0.19950000000000001</v>
      </c>
    </row>
    <row r="235" spans="1:26" x14ac:dyDescent="0.35">
      <c r="A235" t="s">
        <v>250</v>
      </c>
      <c r="B235" t="str">
        <f t="shared" si="21"/>
        <v>OK</v>
      </c>
      <c r="C235" t="s">
        <v>1741</v>
      </c>
      <c r="D235" s="2">
        <v>62</v>
      </c>
      <c r="E235">
        <f>IF(OR(D235&lt;18, D235&gt;100),AD234,D235)</f>
        <v>62</v>
      </c>
      <c r="F235" t="s">
        <v>2990</v>
      </c>
      <c r="G235" t="str">
        <f t="shared" si="22"/>
        <v>Male</v>
      </c>
      <c r="H235" t="s">
        <v>3006</v>
      </c>
      <c r="I235" t="s">
        <v>3018</v>
      </c>
      <c r="K235" t="str">
        <f t="shared" si="23"/>
        <v>Business Owner</v>
      </c>
      <c r="L235">
        <v>10</v>
      </c>
      <c r="M235">
        <v>1270445</v>
      </c>
      <c r="N235">
        <f t="shared" si="24"/>
        <v>1270445</v>
      </c>
      <c r="O235">
        <v>137797</v>
      </c>
      <c r="P235">
        <v>18.36</v>
      </c>
      <c r="Q235">
        <v>48</v>
      </c>
      <c r="R235" t="s">
        <v>3048</v>
      </c>
      <c r="S235" t="str">
        <f t="shared" si="25"/>
        <v>Home Improvement</v>
      </c>
      <c r="T235">
        <v>453</v>
      </c>
      <c r="U235">
        <f t="shared" si="26"/>
        <v>453</v>
      </c>
      <c r="V235">
        <v>0</v>
      </c>
      <c r="W235" t="s">
        <v>3055</v>
      </c>
      <c r="X235" s="3" t="s">
        <v>3284</v>
      </c>
      <c r="Y235" s="3">
        <f t="shared" si="27"/>
        <v>44063</v>
      </c>
      <c r="Z235">
        <v>0.1085</v>
      </c>
    </row>
    <row r="236" spans="1:26" x14ac:dyDescent="0.35">
      <c r="A236" t="s">
        <v>251</v>
      </c>
      <c r="B236" t="str">
        <f t="shared" si="21"/>
        <v>OK</v>
      </c>
      <c r="C236" t="s">
        <v>1742</v>
      </c>
      <c r="D236" s="2">
        <v>24</v>
      </c>
      <c r="E236">
        <f>IF(OR(D236&lt;18, D236&gt;100),AD235,D236)</f>
        <v>24</v>
      </c>
      <c r="F236" t="s">
        <v>2992</v>
      </c>
      <c r="G236" t="str">
        <f t="shared" si="22"/>
        <v>Female</v>
      </c>
      <c r="H236" t="s">
        <v>3004</v>
      </c>
      <c r="I236" t="s">
        <v>3021</v>
      </c>
      <c r="K236" t="str">
        <f t="shared" si="23"/>
        <v>Unemployed</v>
      </c>
      <c r="L236">
        <v>14</v>
      </c>
      <c r="M236">
        <v>1918993</v>
      </c>
      <c r="N236">
        <f t="shared" si="24"/>
        <v>1918993</v>
      </c>
      <c r="O236">
        <v>792791</v>
      </c>
      <c r="P236">
        <v>27.57</v>
      </c>
      <c r="Q236">
        <v>24</v>
      </c>
      <c r="R236" t="s">
        <v>3049</v>
      </c>
      <c r="S236" t="str">
        <f t="shared" si="25"/>
        <v>Business</v>
      </c>
      <c r="T236">
        <v>355</v>
      </c>
      <c r="U236">
        <f t="shared" si="26"/>
        <v>355</v>
      </c>
      <c r="V236">
        <v>6</v>
      </c>
      <c r="W236" t="s">
        <v>3057</v>
      </c>
      <c r="X236" s="3" t="s">
        <v>3285</v>
      </c>
      <c r="Y236" s="3">
        <f t="shared" si="27"/>
        <v>43950</v>
      </c>
      <c r="Z236">
        <v>0.41310000000000002</v>
      </c>
    </row>
    <row r="237" spans="1:26" x14ac:dyDescent="0.35">
      <c r="A237" t="s">
        <v>252</v>
      </c>
      <c r="B237" t="str">
        <f t="shared" si="21"/>
        <v>OK</v>
      </c>
      <c r="C237" t="s">
        <v>1743</v>
      </c>
      <c r="D237" s="2">
        <v>41</v>
      </c>
      <c r="E237">
        <f>IF(OR(D237&lt;18, D237&gt;100),AD236,D237)</f>
        <v>41</v>
      </c>
      <c r="F237" t="s">
        <v>2992</v>
      </c>
      <c r="G237" t="str">
        <f t="shared" si="22"/>
        <v>Female</v>
      </c>
      <c r="H237" t="s">
        <v>3004</v>
      </c>
      <c r="I237" t="s">
        <v>3020</v>
      </c>
      <c r="K237" t="str">
        <f t="shared" si="23"/>
        <v>Self-Employed</v>
      </c>
      <c r="L237">
        <v>3</v>
      </c>
      <c r="M237">
        <v>1549909</v>
      </c>
      <c r="N237">
        <f t="shared" si="24"/>
        <v>1549909</v>
      </c>
      <c r="O237">
        <v>415395</v>
      </c>
      <c r="P237">
        <v>25.32</v>
      </c>
      <c r="Q237">
        <v>36</v>
      </c>
      <c r="R237" t="s">
        <v>3048</v>
      </c>
      <c r="S237" t="str">
        <f t="shared" si="25"/>
        <v>Home Improvement</v>
      </c>
      <c r="T237">
        <v>437</v>
      </c>
      <c r="U237">
        <f t="shared" si="26"/>
        <v>437</v>
      </c>
      <c r="V237">
        <v>2</v>
      </c>
      <c r="W237" t="s">
        <v>3055</v>
      </c>
      <c r="X237" s="3" t="s">
        <v>3286</v>
      </c>
      <c r="Y237" s="3">
        <f t="shared" si="27"/>
        <v>44092</v>
      </c>
      <c r="Z237">
        <v>0.26800000000000002</v>
      </c>
    </row>
    <row r="238" spans="1:26" x14ac:dyDescent="0.35">
      <c r="A238" t="s">
        <v>253</v>
      </c>
      <c r="B238" t="str">
        <f t="shared" si="21"/>
        <v>OK</v>
      </c>
      <c r="C238" t="s">
        <v>1744</v>
      </c>
      <c r="D238" s="2">
        <v>55</v>
      </c>
      <c r="E238">
        <f>IF(OR(D238&lt;18, D238&gt;100),AD237,D238)</f>
        <v>55</v>
      </c>
      <c r="F238" t="s">
        <v>2992</v>
      </c>
      <c r="G238" t="str">
        <f t="shared" si="22"/>
        <v>Female</v>
      </c>
      <c r="H238" t="s">
        <v>3001</v>
      </c>
      <c r="I238" t="s">
        <v>3021</v>
      </c>
      <c r="K238" t="str">
        <f t="shared" si="23"/>
        <v>Unemployed</v>
      </c>
      <c r="L238">
        <v>14</v>
      </c>
      <c r="M238">
        <v>1213316</v>
      </c>
      <c r="N238">
        <f t="shared" si="24"/>
        <v>1213316</v>
      </c>
      <c r="O238">
        <v>43248</v>
      </c>
      <c r="P238">
        <v>26.45</v>
      </c>
      <c r="Q238">
        <v>36</v>
      </c>
      <c r="R238" t="s">
        <v>3046</v>
      </c>
      <c r="S238" t="str">
        <f t="shared" si="25"/>
        <v>Medical</v>
      </c>
      <c r="T238">
        <v>313</v>
      </c>
      <c r="U238">
        <f t="shared" si="26"/>
        <v>313</v>
      </c>
      <c r="V238">
        <v>1</v>
      </c>
      <c r="W238" t="s">
        <v>3053</v>
      </c>
      <c r="X238" s="3" t="s">
        <v>3287</v>
      </c>
      <c r="Y238" s="3">
        <f t="shared" si="27"/>
        <v>44360</v>
      </c>
      <c r="Z238">
        <v>3.56E-2</v>
      </c>
    </row>
    <row r="239" spans="1:26" x14ac:dyDescent="0.35">
      <c r="A239" t="s">
        <v>254</v>
      </c>
      <c r="B239" t="str">
        <f t="shared" si="21"/>
        <v>OK</v>
      </c>
      <c r="C239" t="s">
        <v>1745</v>
      </c>
      <c r="D239" s="2">
        <v>38</v>
      </c>
      <c r="E239">
        <f>IF(OR(D239&lt;18, D239&gt;100),AD238,D239)</f>
        <v>38</v>
      </c>
      <c r="F239" t="s">
        <v>2992</v>
      </c>
      <c r="G239" t="str">
        <f t="shared" si="22"/>
        <v>Female</v>
      </c>
      <c r="H239" t="s">
        <v>3010</v>
      </c>
      <c r="I239" t="s">
        <v>3018</v>
      </c>
      <c r="K239" t="str">
        <f t="shared" si="23"/>
        <v>Business Owner</v>
      </c>
      <c r="L239">
        <v>16</v>
      </c>
      <c r="M239">
        <v>1051522</v>
      </c>
      <c r="N239">
        <f t="shared" si="24"/>
        <v>1051522</v>
      </c>
      <c r="O239">
        <v>532493</v>
      </c>
      <c r="P239" t="s">
        <v>3025</v>
      </c>
      <c r="Q239">
        <v>36</v>
      </c>
      <c r="R239" t="s">
        <v>3048</v>
      </c>
      <c r="S239" t="str">
        <f t="shared" si="25"/>
        <v>Home Improvement</v>
      </c>
      <c r="T239">
        <v>308</v>
      </c>
      <c r="U239">
        <f t="shared" si="26"/>
        <v>308</v>
      </c>
      <c r="V239">
        <v>4</v>
      </c>
      <c r="W239" t="s">
        <v>3057</v>
      </c>
      <c r="X239" s="3" t="s">
        <v>3288</v>
      </c>
      <c r="Y239" s="3">
        <f t="shared" si="27"/>
        <v>45266</v>
      </c>
      <c r="Z239">
        <v>0.50639999999999996</v>
      </c>
    </row>
    <row r="240" spans="1:26" x14ac:dyDescent="0.35">
      <c r="A240" t="s">
        <v>255</v>
      </c>
      <c r="B240" t="str">
        <f t="shared" si="21"/>
        <v>OK</v>
      </c>
      <c r="C240" t="s">
        <v>1746</v>
      </c>
      <c r="D240" s="2">
        <v>44</v>
      </c>
      <c r="E240">
        <f>IF(OR(D240&lt;18, D240&gt;100),AD239,D240)</f>
        <v>44</v>
      </c>
      <c r="F240" t="s">
        <v>2992</v>
      </c>
      <c r="G240" t="str">
        <f t="shared" si="22"/>
        <v>Female</v>
      </c>
      <c r="H240" t="s">
        <v>3001</v>
      </c>
      <c r="K240" t="str">
        <f t="shared" si="23"/>
        <v>Unknown</v>
      </c>
      <c r="L240">
        <v>14</v>
      </c>
      <c r="M240">
        <v>321398</v>
      </c>
      <c r="N240">
        <f t="shared" si="24"/>
        <v>321398</v>
      </c>
      <c r="O240">
        <v>204626</v>
      </c>
      <c r="P240">
        <v>17.16</v>
      </c>
      <c r="Q240">
        <v>60</v>
      </c>
      <c r="R240" t="s">
        <v>3048</v>
      </c>
      <c r="S240" t="str">
        <f t="shared" si="25"/>
        <v>Home Improvement</v>
      </c>
      <c r="T240">
        <v>614</v>
      </c>
      <c r="U240">
        <f t="shared" si="26"/>
        <v>614</v>
      </c>
      <c r="V240">
        <v>6</v>
      </c>
      <c r="W240" t="s">
        <v>3055</v>
      </c>
      <c r="X240" s="3" t="s">
        <v>3289</v>
      </c>
      <c r="Y240" s="3">
        <f t="shared" si="27"/>
        <v>45161</v>
      </c>
      <c r="Z240">
        <v>0.63670000000000004</v>
      </c>
    </row>
    <row r="241" spans="1:26" x14ac:dyDescent="0.35">
      <c r="A241" t="s">
        <v>256</v>
      </c>
      <c r="B241" t="str">
        <f t="shared" si="21"/>
        <v>OK</v>
      </c>
      <c r="C241" t="s">
        <v>1747</v>
      </c>
      <c r="D241" s="2">
        <v>43</v>
      </c>
      <c r="E241">
        <f>IF(OR(D241&lt;18, D241&gt;100),AD240,D241)</f>
        <v>43</v>
      </c>
      <c r="F241" t="s">
        <v>2990</v>
      </c>
      <c r="G241" t="str">
        <f t="shared" si="22"/>
        <v>Male</v>
      </c>
      <c r="H241" t="s">
        <v>3000</v>
      </c>
      <c r="I241" t="s">
        <v>3018</v>
      </c>
      <c r="K241" t="str">
        <f t="shared" si="23"/>
        <v>Business Owner</v>
      </c>
      <c r="L241">
        <v>15</v>
      </c>
      <c r="M241">
        <v>615684</v>
      </c>
      <c r="N241">
        <f t="shared" si="24"/>
        <v>615684</v>
      </c>
      <c r="O241">
        <v>368754</v>
      </c>
      <c r="P241">
        <v>14.32</v>
      </c>
      <c r="Q241">
        <v>24</v>
      </c>
      <c r="R241" t="s">
        <v>3050</v>
      </c>
      <c r="S241" t="str">
        <f t="shared" si="25"/>
        <v>Agriculture</v>
      </c>
      <c r="U241">
        <f t="shared" si="26"/>
        <v>556</v>
      </c>
      <c r="V241">
        <v>2</v>
      </c>
      <c r="W241" t="s">
        <v>3052</v>
      </c>
      <c r="X241" s="3" t="s">
        <v>3290</v>
      </c>
      <c r="Y241" s="3">
        <f t="shared" si="27"/>
        <v>44361</v>
      </c>
      <c r="Z241">
        <v>0.59889999999999999</v>
      </c>
    </row>
    <row r="242" spans="1:26" x14ac:dyDescent="0.35">
      <c r="A242" t="s">
        <v>257</v>
      </c>
      <c r="B242" t="str">
        <f t="shared" si="21"/>
        <v>OK</v>
      </c>
      <c r="C242" t="s">
        <v>1748</v>
      </c>
      <c r="D242" s="2">
        <v>48</v>
      </c>
      <c r="E242">
        <f>IF(OR(D242&lt;18, D242&gt;100),AD241,D242)</f>
        <v>48</v>
      </c>
      <c r="F242" t="s">
        <v>2992</v>
      </c>
      <c r="G242" t="str">
        <f t="shared" si="22"/>
        <v>Female</v>
      </c>
      <c r="H242" t="s">
        <v>3001</v>
      </c>
      <c r="I242" t="s">
        <v>3018</v>
      </c>
      <c r="K242" t="str">
        <f t="shared" si="23"/>
        <v>Business Owner</v>
      </c>
      <c r="L242">
        <v>6</v>
      </c>
      <c r="M242">
        <v>1679698</v>
      </c>
      <c r="N242">
        <f t="shared" si="24"/>
        <v>1679698</v>
      </c>
      <c r="O242">
        <v>642006</v>
      </c>
      <c r="P242">
        <v>22.44</v>
      </c>
      <c r="Q242">
        <v>24</v>
      </c>
      <c r="R242" t="s">
        <v>3051</v>
      </c>
      <c r="S242" t="str">
        <f t="shared" si="25"/>
        <v>Education</v>
      </c>
      <c r="T242">
        <v>523</v>
      </c>
      <c r="U242">
        <f t="shared" si="26"/>
        <v>523</v>
      </c>
      <c r="V242">
        <v>5</v>
      </c>
      <c r="W242" t="s">
        <v>3054</v>
      </c>
      <c r="X242" s="3" t="s">
        <v>3291</v>
      </c>
      <c r="Y242" s="3">
        <f t="shared" si="27"/>
        <v>44363</v>
      </c>
      <c r="Z242">
        <v>0.38219999999999998</v>
      </c>
    </row>
    <row r="243" spans="1:26" x14ac:dyDescent="0.35">
      <c r="A243" t="s">
        <v>258</v>
      </c>
      <c r="B243" t="str">
        <f t="shared" si="21"/>
        <v>OK</v>
      </c>
      <c r="C243" t="s">
        <v>1749</v>
      </c>
      <c r="D243" s="2">
        <v>37</v>
      </c>
      <c r="E243">
        <f>IF(OR(D243&lt;18, D243&gt;100),AD242,D243)</f>
        <v>37</v>
      </c>
      <c r="F243" t="s">
        <v>2990</v>
      </c>
      <c r="G243" t="str">
        <f t="shared" si="22"/>
        <v>Male</v>
      </c>
      <c r="H243" t="s">
        <v>2999</v>
      </c>
      <c r="I243" t="s">
        <v>3019</v>
      </c>
      <c r="K243" t="str">
        <f t="shared" si="23"/>
        <v>Employed</v>
      </c>
      <c r="L243">
        <v>14</v>
      </c>
      <c r="M243">
        <v>617625</v>
      </c>
      <c r="N243">
        <f t="shared" si="24"/>
        <v>617625</v>
      </c>
      <c r="O243">
        <v>321994</v>
      </c>
      <c r="P243">
        <v>25.75</v>
      </c>
      <c r="Q243">
        <v>36</v>
      </c>
      <c r="R243" t="s">
        <v>3046</v>
      </c>
      <c r="S243" t="str">
        <f t="shared" si="25"/>
        <v>Medical</v>
      </c>
      <c r="T243">
        <v>354</v>
      </c>
      <c r="U243">
        <f t="shared" si="26"/>
        <v>354</v>
      </c>
      <c r="V243">
        <v>5</v>
      </c>
      <c r="W243" t="s">
        <v>3054</v>
      </c>
      <c r="X243" s="3" t="s">
        <v>3292</v>
      </c>
      <c r="Y243" s="3">
        <f t="shared" si="27"/>
        <v>45196</v>
      </c>
      <c r="Z243">
        <v>0.52129999999999999</v>
      </c>
    </row>
    <row r="244" spans="1:26" x14ac:dyDescent="0.35">
      <c r="A244" t="s">
        <v>259</v>
      </c>
      <c r="B244" t="str">
        <f t="shared" si="21"/>
        <v>OK</v>
      </c>
      <c r="C244" t="s">
        <v>1750</v>
      </c>
      <c r="D244" s="2">
        <v>63</v>
      </c>
      <c r="E244">
        <f>IF(OR(D244&lt;18, D244&gt;100),AD243,D244)</f>
        <v>63</v>
      </c>
      <c r="F244" t="s">
        <v>2992</v>
      </c>
      <c r="G244" t="str">
        <f t="shared" si="22"/>
        <v>Female</v>
      </c>
      <c r="H244" t="s">
        <v>3001</v>
      </c>
      <c r="I244" t="s">
        <v>3018</v>
      </c>
      <c r="K244" t="str">
        <f t="shared" si="23"/>
        <v>Business Owner</v>
      </c>
      <c r="L244">
        <v>2</v>
      </c>
      <c r="M244">
        <v>2005977</v>
      </c>
      <c r="N244">
        <f t="shared" si="24"/>
        <v>2005977</v>
      </c>
      <c r="O244">
        <v>554730</v>
      </c>
      <c r="P244">
        <v>19.09</v>
      </c>
      <c r="Q244">
        <v>24</v>
      </c>
      <c r="R244" t="s">
        <v>3047</v>
      </c>
      <c r="S244" t="str">
        <f t="shared" si="25"/>
        <v>Personal</v>
      </c>
      <c r="T244">
        <v>567</v>
      </c>
      <c r="U244">
        <f t="shared" si="26"/>
        <v>567</v>
      </c>
      <c r="V244">
        <v>3</v>
      </c>
      <c r="W244" t="s">
        <v>3052</v>
      </c>
      <c r="X244" s="3" t="s">
        <v>3293</v>
      </c>
      <c r="Y244" s="3">
        <f t="shared" si="27"/>
        <v>44821</v>
      </c>
      <c r="Z244">
        <v>0.27650000000000002</v>
      </c>
    </row>
    <row r="245" spans="1:26" x14ac:dyDescent="0.35">
      <c r="A245" t="s">
        <v>260</v>
      </c>
      <c r="B245" t="str">
        <f t="shared" si="21"/>
        <v>OK</v>
      </c>
      <c r="C245" t="s">
        <v>1590</v>
      </c>
      <c r="D245" s="2">
        <v>23</v>
      </c>
      <c r="E245">
        <f>IF(OR(D245&lt;18, D245&gt;100),AD244,D245)</f>
        <v>23</v>
      </c>
      <c r="F245" t="s">
        <v>2992</v>
      </c>
      <c r="G245" t="str">
        <f t="shared" si="22"/>
        <v>Female</v>
      </c>
      <c r="H245" t="s">
        <v>3000</v>
      </c>
      <c r="I245" t="s">
        <v>3019</v>
      </c>
      <c r="K245" t="str">
        <f t="shared" si="23"/>
        <v>Employed</v>
      </c>
      <c r="L245">
        <v>3</v>
      </c>
      <c r="N245">
        <f t="shared" si="24"/>
        <v>1333224</v>
      </c>
      <c r="O245">
        <v>633079</v>
      </c>
      <c r="P245">
        <v>25</v>
      </c>
      <c r="Q245">
        <v>24</v>
      </c>
      <c r="R245" t="s">
        <v>3048</v>
      </c>
      <c r="S245" t="str">
        <f t="shared" si="25"/>
        <v>Home Improvement</v>
      </c>
      <c r="T245">
        <v>653</v>
      </c>
      <c r="U245">
        <f t="shared" si="26"/>
        <v>653</v>
      </c>
      <c r="V245">
        <v>4</v>
      </c>
      <c r="W245" t="s">
        <v>3053</v>
      </c>
      <c r="X245" s="3" t="s">
        <v>3294</v>
      </c>
      <c r="Y245" s="3">
        <f t="shared" si="27"/>
        <v>44843</v>
      </c>
      <c r="Z245">
        <v>3.3679999999999999</v>
      </c>
    </row>
    <row r="246" spans="1:26" x14ac:dyDescent="0.35">
      <c r="A246" t="s">
        <v>261</v>
      </c>
      <c r="B246" t="str">
        <f t="shared" si="21"/>
        <v>OK</v>
      </c>
      <c r="C246" t="s">
        <v>1751</v>
      </c>
      <c r="D246" s="2">
        <v>61</v>
      </c>
      <c r="E246">
        <f>IF(OR(D246&lt;18, D246&gt;100),AD245,D246)</f>
        <v>61</v>
      </c>
      <c r="F246" t="s">
        <v>2992</v>
      </c>
      <c r="G246" t="str">
        <f t="shared" si="22"/>
        <v>Female</v>
      </c>
      <c r="H246" t="s">
        <v>2998</v>
      </c>
      <c r="I246" t="s">
        <v>3020</v>
      </c>
      <c r="K246" t="str">
        <f t="shared" si="23"/>
        <v>Self-Employed</v>
      </c>
      <c r="L246">
        <v>22</v>
      </c>
      <c r="M246">
        <v>840902</v>
      </c>
      <c r="N246">
        <f t="shared" si="24"/>
        <v>840902</v>
      </c>
      <c r="O246">
        <v>313946</v>
      </c>
      <c r="P246">
        <v>11.24</v>
      </c>
      <c r="Q246">
        <v>36</v>
      </c>
      <c r="R246" t="s">
        <v>3051</v>
      </c>
      <c r="S246" t="str">
        <f t="shared" si="25"/>
        <v>Education</v>
      </c>
      <c r="T246">
        <v>573</v>
      </c>
      <c r="U246">
        <f t="shared" si="26"/>
        <v>573</v>
      </c>
      <c r="V246">
        <v>3</v>
      </c>
      <c r="W246" t="s">
        <v>3053</v>
      </c>
      <c r="X246" s="3" t="s">
        <v>3295</v>
      </c>
      <c r="Y246" s="3">
        <f t="shared" si="27"/>
        <v>44139</v>
      </c>
      <c r="Z246">
        <v>0.37330000000000002</v>
      </c>
    </row>
    <row r="247" spans="1:26" x14ac:dyDescent="0.35">
      <c r="A247" t="s">
        <v>262</v>
      </c>
      <c r="B247" t="str">
        <f t="shared" si="21"/>
        <v>OK</v>
      </c>
      <c r="C247" t="s">
        <v>1752</v>
      </c>
      <c r="D247" s="2">
        <v>21</v>
      </c>
      <c r="E247">
        <f>IF(OR(D247&lt;18, D247&gt;100),AD246,D247)</f>
        <v>21</v>
      </c>
      <c r="F247" t="s">
        <v>2990</v>
      </c>
      <c r="G247" t="str">
        <f t="shared" si="22"/>
        <v>Male</v>
      </c>
      <c r="H247" t="s">
        <v>3007</v>
      </c>
      <c r="I247" t="s">
        <v>3021</v>
      </c>
      <c r="K247" t="str">
        <f t="shared" si="23"/>
        <v>Unemployed</v>
      </c>
      <c r="L247">
        <v>7</v>
      </c>
      <c r="M247">
        <v>2322052</v>
      </c>
      <c r="N247">
        <f t="shared" si="24"/>
        <v>2322052</v>
      </c>
      <c r="O247">
        <v>399747</v>
      </c>
      <c r="P247">
        <v>16.07</v>
      </c>
      <c r="Q247">
        <v>12</v>
      </c>
      <c r="R247" t="s">
        <v>3046</v>
      </c>
      <c r="S247" t="str">
        <f t="shared" si="25"/>
        <v>Medical</v>
      </c>
      <c r="T247">
        <v>574</v>
      </c>
      <c r="U247">
        <f t="shared" si="26"/>
        <v>574</v>
      </c>
      <c r="V247">
        <v>6</v>
      </c>
      <c r="W247" t="s">
        <v>3053</v>
      </c>
      <c r="X247" s="3" t="s">
        <v>3296</v>
      </c>
      <c r="Y247" s="3">
        <f t="shared" si="27"/>
        <v>44611</v>
      </c>
      <c r="Z247">
        <v>0.17219999999999999</v>
      </c>
    </row>
    <row r="248" spans="1:26" x14ac:dyDescent="0.35">
      <c r="A248" t="s">
        <v>263</v>
      </c>
      <c r="B248" t="str">
        <f t="shared" si="21"/>
        <v>OK</v>
      </c>
      <c r="C248" t="s">
        <v>1753</v>
      </c>
      <c r="D248" s="2">
        <v>46</v>
      </c>
      <c r="E248">
        <f>IF(OR(D248&lt;18, D248&gt;100),AD247,D248)</f>
        <v>46</v>
      </c>
      <c r="F248" t="s">
        <v>2992</v>
      </c>
      <c r="G248" t="str">
        <f t="shared" si="22"/>
        <v>Female</v>
      </c>
      <c r="H248" t="s">
        <v>3004</v>
      </c>
      <c r="I248" t="s">
        <v>3020</v>
      </c>
      <c r="K248" t="str">
        <f t="shared" si="23"/>
        <v>Self-Employed</v>
      </c>
      <c r="L248">
        <v>18</v>
      </c>
      <c r="M248">
        <v>1112477</v>
      </c>
      <c r="N248">
        <f t="shared" si="24"/>
        <v>1112477</v>
      </c>
      <c r="O248">
        <v>507602</v>
      </c>
      <c r="P248">
        <v>15.14</v>
      </c>
      <c r="Q248">
        <v>12</v>
      </c>
      <c r="R248" t="s">
        <v>3050</v>
      </c>
      <c r="S248" t="str">
        <f t="shared" si="25"/>
        <v>Agriculture</v>
      </c>
      <c r="T248">
        <v>330</v>
      </c>
      <c r="U248">
        <f t="shared" si="26"/>
        <v>330</v>
      </c>
      <c r="V248">
        <v>2</v>
      </c>
      <c r="W248" t="s">
        <v>3055</v>
      </c>
      <c r="X248" s="3" t="s">
        <v>3297</v>
      </c>
      <c r="Y248" s="3">
        <f t="shared" si="27"/>
        <v>44762</v>
      </c>
      <c r="Z248">
        <v>0.45629999999999998</v>
      </c>
    </row>
    <row r="249" spans="1:26" x14ac:dyDescent="0.35">
      <c r="A249" t="s">
        <v>264</v>
      </c>
      <c r="B249" t="str">
        <f t="shared" si="21"/>
        <v>OK</v>
      </c>
      <c r="C249" t="s">
        <v>1754</v>
      </c>
      <c r="D249" s="2">
        <v>32</v>
      </c>
      <c r="E249">
        <f>IF(OR(D249&lt;18, D249&gt;100),AD248,D249)</f>
        <v>32</v>
      </c>
      <c r="F249" t="s">
        <v>2990</v>
      </c>
      <c r="G249" t="str">
        <f t="shared" si="22"/>
        <v>Male</v>
      </c>
      <c r="H249" t="s">
        <v>2998</v>
      </c>
      <c r="I249" t="s">
        <v>3021</v>
      </c>
      <c r="K249" t="str">
        <f t="shared" si="23"/>
        <v>Unemployed</v>
      </c>
      <c r="L249">
        <v>4</v>
      </c>
      <c r="M249">
        <v>1410844</v>
      </c>
      <c r="N249">
        <f t="shared" si="24"/>
        <v>1410844</v>
      </c>
      <c r="O249">
        <v>354971</v>
      </c>
      <c r="P249">
        <v>23.33</v>
      </c>
      <c r="Q249">
        <v>24</v>
      </c>
      <c r="R249" t="s">
        <v>3049</v>
      </c>
      <c r="S249" t="str">
        <f t="shared" si="25"/>
        <v>Business</v>
      </c>
      <c r="T249">
        <v>677</v>
      </c>
      <c r="U249">
        <f t="shared" si="26"/>
        <v>677</v>
      </c>
      <c r="V249">
        <v>0</v>
      </c>
      <c r="W249" t="s">
        <v>3054</v>
      </c>
      <c r="X249" s="3" t="s">
        <v>3298</v>
      </c>
      <c r="Y249" s="3">
        <f t="shared" si="27"/>
        <v>45136</v>
      </c>
      <c r="Z249">
        <v>0.25159999999999999</v>
      </c>
    </row>
    <row r="250" spans="1:26" x14ac:dyDescent="0.35">
      <c r="A250" t="s">
        <v>265</v>
      </c>
      <c r="B250" t="str">
        <f t="shared" si="21"/>
        <v>OK</v>
      </c>
      <c r="C250" t="s">
        <v>1755</v>
      </c>
      <c r="D250" s="2">
        <v>28</v>
      </c>
      <c r="E250">
        <f>IF(OR(D250&lt;18, D250&gt;100),AD249,D250)</f>
        <v>28</v>
      </c>
      <c r="F250" t="s">
        <v>2992</v>
      </c>
      <c r="G250" t="str">
        <f t="shared" si="22"/>
        <v>Female</v>
      </c>
      <c r="H250" t="s">
        <v>3005</v>
      </c>
      <c r="I250" t="s">
        <v>3019</v>
      </c>
      <c r="K250" t="str">
        <f t="shared" si="23"/>
        <v>Employed</v>
      </c>
      <c r="L250">
        <v>16</v>
      </c>
      <c r="M250">
        <v>1490077</v>
      </c>
      <c r="N250">
        <f t="shared" si="24"/>
        <v>1490077</v>
      </c>
      <c r="O250">
        <v>567473</v>
      </c>
      <c r="P250">
        <v>22.35</v>
      </c>
      <c r="Q250">
        <v>36</v>
      </c>
      <c r="R250" t="s">
        <v>3047</v>
      </c>
      <c r="S250" t="str">
        <f t="shared" si="25"/>
        <v>Personal</v>
      </c>
      <c r="T250">
        <v>758</v>
      </c>
      <c r="U250">
        <f t="shared" si="26"/>
        <v>758</v>
      </c>
      <c r="V250">
        <v>1</v>
      </c>
      <c r="W250" t="s">
        <v>3057</v>
      </c>
      <c r="X250" s="3" t="s">
        <v>3299</v>
      </c>
      <c r="Y250" s="3">
        <f t="shared" si="27"/>
        <v>44838</v>
      </c>
      <c r="Z250">
        <v>0.38080000000000003</v>
      </c>
    </row>
    <row r="251" spans="1:26" x14ac:dyDescent="0.35">
      <c r="A251" t="s">
        <v>266</v>
      </c>
      <c r="B251" t="str">
        <f t="shared" si="21"/>
        <v>OK</v>
      </c>
      <c r="C251" t="s">
        <v>1756</v>
      </c>
      <c r="D251" s="2">
        <v>35</v>
      </c>
      <c r="E251">
        <f>IF(OR(D251&lt;18, D251&gt;100),AD250,D251)</f>
        <v>35</v>
      </c>
      <c r="F251" t="s">
        <v>2992</v>
      </c>
      <c r="G251" t="str">
        <f t="shared" si="22"/>
        <v>Female</v>
      </c>
      <c r="H251" t="s">
        <v>2998</v>
      </c>
      <c r="I251" t="s">
        <v>3019</v>
      </c>
      <c r="K251" t="str">
        <f t="shared" si="23"/>
        <v>Employed</v>
      </c>
      <c r="L251">
        <v>20</v>
      </c>
      <c r="M251">
        <v>506916</v>
      </c>
      <c r="N251">
        <f t="shared" si="24"/>
        <v>506916</v>
      </c>
      <c r="O251">
        <v>142258</v>
      </c>
      <c r="P251">
        <v>21.23</v>
      </c>
      <c r="Q251">
        <v>60</v>
      </c>
      <c r="R251" t="s">
        <v>3050</v>
      </c>
      <c r="S251" t="str">
        <f t="shared" si="25"/>
        <v>Agriculture</v>
      </c>
      <c r="T251">
        <v>524</v>
      </c>
      <c r="U251">
        <f t="shared" si="26"/>
        <v>524</v>
      </c>
      <c r="V251">
        <v>0</v>
      </c>
      <c r="W251" t="s">
        <v>3054</v>
      </c>
      <c r="X251" s="3" t="s">
        <v>3300</v>
      </c>
      <c r="Y251" s="3">
        <f t="shared" si="27"/>
        <v>43882</v>
      </c>
      <c r="Z251">
        <v>0.28060000000000002</v>
      </c>
    </row>
    <row r="252" spans="1:26" x14ac:dyDescent="0.35">
      <c r="A252" t="s">
        <v>267</v>
      </c>
      <c r="B252" t="str">
        <f t="shared" si="21"/>
        <v>OK</v>
      </c>
      <c r="C252" t="s">
        <v>1757</v>
      </c>
      <c r="D252" s="2">
        <v>55</v>
      </c>
      <c r="E252">
        <f>IF(OR(D252&lt;18, D252&gt;100),AD251,D252)</f>
        <v>55</v>
      </c>
      <c r="F252" t="s">
        <v>2990</v>
      </c>
      <c r="G252" t="str">
        <f t="shared" si="22"/>
        <v>Male</v>
      </c>
      <c r="H252" t="s">
        <v>3006</v>
      </c>
      <c r="I252" t="s">
        <v>3018</v>
      </c>
      <c r="K252" t="str">
        <f t="shared" si="23"/>
        <v>Business Owner</v>
      </c>
      <c r="L252">
        <v>29</v>
      </c>
      <c r="M252">
        <v>309350</v>
      </c>
      <c r="N252">
        <f t="shared" si="24"/>
        <v>309350</v>
      </c>
      <c r="O252">
        <v>614557</v>
      </c>
      <c r="P252">
        <v>21.26</v>
      </c>
      <c r="Q252">
        <v>24</v>
      </c>
      <c r="R252" t="s">
        <v>3046</v>
      </c>
      <c r="S252" t="str">
        <f t="shared" si="25"/>
        <v>Medical</v>
      </c>
      <c r="T252">
        <v>598</v>
      </c>
      <c r="U252">
        <f t="shared" si="26"/>
        <v>598</v>
      </c>
      <c r="V252">
        <v>0</v>
      </c>
      <c r="W252" t="s">
        <v>3052</v>
      </c>
      <c r="X252" s="3" t="s">
        <v>3301</v>
      </c>
      <c r="Y252" s="3">
        <f t="shared" si="27"/>
        <v>44456</v>
      </c>
      <c r="Z252">
        <v>1.9865999999999999</v>
      </c>
    </row>
    <row r="253" spans="1:26" x14ac:dyDescent="0.35">
      <c r="A253" t="s">
        <v>268</v>
      </c>
      <c r="B253" t="str">
        <f t="shared" si="21"/>
        <v>OK</v>
      </c>
      <c r="C253" t="s">
        <v>1758</v>
      </c>
      <c r="D253" s="2">
        <v>46</v>
      </c>
      <c r="E253">
        <f>IF(OR(D253&lt;18, D253&gt;100),AD252,D253)</f>
        <v>46</v>
      </c>
      <c r="F253" t="s">
        <v>2992</v>
      </c>
      <c r="G253" t="str">
        <f t="shared" si="22"/>
        <v>Female</v>
      </c>
      <c r="H253" t="s">
        <v>3005</v>
      </c>
      <c r="I253" t="s">
        <v>3019</v>
      </c>
      <c r="K253" t="str">
        <f t="shared" si="23"/>
        <v>Employed</v>
      </c>
      <c r="L253">
        <v>14</v>
      </c>
      <c r="M253">
        <v>1590822</v>
      </c>
      <c r="N253">
        <f t="shared" si="24"/>
        <v>1590822</v>
      </c>
      <c r="O253">
        <v>745453</v>
      </c>
      <c r="P253">
        <v>19.559999999999999</v>
      </c>
      <c r="Q253">
        <v>36</v>
      </c>
      <c r="R253" t="s">
        <v>3046</v>
      </c>
      <c r="S253" t="str">
        <f t="shared" si="25"/>
        <v>Medical</v>
      </c>
      <c r="T253">
        <v>686</v>
      </c>
      <c r="U253">
        <f t="shared" si="26"/>
        <v>686</v>
      </c>
      <c r="V253">
        <v>5</v>
      </c>
      <c r="W253" t="s">
        <v>3054</v>
      </c>
      <c r="X253" s="3" t="s">
        <v>3302</v>
      </c>
      <c r="Y253" s="3">
        <f t="shared" si="27"/>
        <v>44711</v>
      </c>
      <c r="Z253">
        <v>0.46860000000000002</v>
      </c>
    </row>
    <row r="254" spans="1:26" x14ac:dyDescent="0.35">
      <c r="A254" t="s">
        <v>269</v>
      </c>
      <c r="B254" t="str">
        <f t="shared" si="21"/>
        <v>OK</v>
      </c>
      <c r="C254" t="s">
        <v>1759</v>
      </c>
      <c r="D254" s="2">
        <v>59</v>
      </c>
      <c r="E254">
        <f>IF(OR(D254&lt;18, D254&gt;100),AD253,D254)</f>
        <v>59</v>
      </c>
      <c r="F254" t="s">
        <v>2990</v>
      </c>
      <c r="G254" t="str">
        <f t="shared" si="22"/>
        <v>Male</v>
      </c>
      <c r="H254" t="s">
        <v>3006</v>
      </c>
      <c r="I254" t="s">
        <v>3021</v>
      </c>
      <c r="K254" t="str">
        <f t="shared" si="23"/>
        <v>Unemployed</v>
      </c>
      <c r="L254">
        <v>13</v>
      </c>
      <c r="M254">
        <v>1989377</v>
      </c>
      <c r="N254">
        <f t="shared" si="24"/>
        <v>1989377</v>
      </c>
      <c r="O254">
        <v>391513</v>
      </c>
      <c r="P254">
        <v>20.38</v>
      </c>
      <c r="Q254">
        <v>12</v>
      </c>
      <c r="R254" t="s">
        <v>3051</v>
      </c>
      <c r="S254" t="str">
        <f t="shared" si="25"/>
        <v>Education</v>
      </c>
      <c r="T254">
        <v>465</v>
      </c>
      <c r="U254">
        <f t="shared" si="26"/>
        <v>465</v>
      </c>
      <c r="V254">
        <v>7</v>
      </c>
      <c r="W254" t="s">
        <v>3052</v>
      </c>
      <c r="X254" s="3" t="s">
        <v>3303</v>
      </c>
      <c r="Y254" s="3">
        <f t="shared" si="27"/>
        <v>44679</v>
      </c>
      <c r="Z254">
        <v>0.1968</v>
      </c>
    </row>
    <row r="255" spans="1:26" x14ac:dyDescent="0.35">
      <c r="A255" t="s">
        <v>270</v>
      </c>
      <c r="B255" t="str">
        <f t="shared" si="21"/>
        <v>OK</v>
      </c>
      <c r="C255" t="s">
        <v>1760</v>
      </c>
      <c r="D255" s="2">
        <v>31</v>
      </c>
      <c r="E255">
        <f>IF(OR(D255&lt;18, D255&gt;100),AD254,D255)</f>
        <v>31</v>
      </c>
      <c r="F255" t="s">
        <v>2990</v>
      </c>
      <c r="G255" t="str">
        <f t="shared" si="22"/>
        <v>Male</v>
      </c>
      <c r="H255" t="s">
        <v>3005</v>
      </c>
      <c r="I255" t="s">
        <v>3019</v>
      </c>
      <c r="K255" t="str">
        <f t="shared" si="23"/>
        <v>Employed</v>
      </c>
      <c r="L255">
        <v>5</v>
      </c>
      <c r="M255">
        <v>2160290</v>
      </c>
      <c r="N255">
        <f t="shared" si="24"/>
        <v>2160290</v>
      </c>
      <c r="O255">
        <v>228859</v>
      </c>
      <c r="P255">
        <v>8.56</v>
      </c>
      <c r="Q255">
        <v>12</v>
      </c>
      <c r="R255" t="s">
        <v>3051</v>
      </c>
      <c r="S255" t="str">
        <f t="shared" si="25"/>
        <v>Education</v>
      </c>
      <c r="T255">
        <v>693</v>
      </c>
      <c r="U255">
        <f t="shared" si="26"/>
        <v>693</v>
      </c>
      <c r="V255">
        <v>1</v>
      </c>
      <c r="W255" t="s">
        <v>3055</v>
      </c>
      <c r="X255" s="3" t="s">
        <v>3304</v>
      </c>
      <c r="Y255" s="3">
        <f t="shared" si="27"/>
        <v>45020</v>
      </c>
      <c r="Z255">
        <v>0.10589999999999999</v>
      </c>
    </row>
    <row r="256" spans="1:26" x14ac:dyDescent="0.35">
      <c r="A256" t="s">
        <v>271</v>
      </c>
      <c r="B256" t="str">
        <f t="shared" si="21"/>
        <v>OK</v>
      </c>
      <c r="C256" t="s">
        <v>1761</v>
      </c>
      <c r="D256" s="2">
        <v>64</v>
      </c>
      <c r="E256">
        <f>IF(OR(D256&lt;18, D256&gt;100),AD255,D256)</f>
        <v>64</v>
      </c>
      <c r="F256" t="s">
        <v>2992</v>
      </c>
      <c r="G256" t="str">
        <f t="shared" si="22"/>
        <v>Female</v>
      </c>
      <c r="H256" t="s">
        <v>3004</v>
      </c>
      <c r="I256" t="s">
        <v>3021</v>
      </c>
      <c r="K256" t="str">
        <f t="shared" si="23"/>
        <v>Unemployed</v>
      </c>
      <c r="L256">
        <v>8</v>
      </c>
      <c r="M256">
        <v>1407146</v>
      </c>
      <c r="N256">
        <f t="shared" si="24"/>
        <v>1407146</v>
      </c>
      <c r="O256">
        <v>694533</v>
      </c>
      <c r="P256">
        <v>17.3</v>
      </c>
      <c r="Q256">
        <v>24</v>
      </c>
      <c r="R256" t="s">
        <v>3046</v>
      </c>
      <c r="S256" t="str">
        <f t="shared" si="25"/>
        <v>Medical</v>
      </c>
      <c r="T256">
        <v>683</v>
      </c>
      <c r="U256">
        <f t="shared" si="26"/>
        <v>683</v>
      </c>
      <c r="V256">
        <v>7</v>
      </c>
      <c r="W256" t="s">
        <v>3055</v>
      </c>
      <c r="X256" s="3" t="s">
        <v>3305</v>
      </c>
      <c r="Y256" s="3">
        <f t="shared" si="27"/>
        <v>44681</v>
      </c>
      <c r="Z256">
        <v>0.49359999999999998</v>
      </c>
    </row>
    <row r="257" spans="1:26" x14ac:dyDescent="0.35">
      <c r="A257" t="s">
        <v>272</v>
      </c>
      <c r="B257" t="str">
        <f t="shared" si="21"/>
        <v>OK</v>
      </c>
      <c r="C257" t="s">
        <v>1762</v>
      </c>
      <c r="D257" s="2">
        <v>24</v>
      </c>
      <c r="E257">
        <f>IF(OR(D257&lt;18, D257&gt;100),AD256,D257)</f>
        <v>24</v>
      </c>
      <c r="F257" t="s">
        <v>2992</v>
      </c>
      <c r="G257" t="str">
        <f t="shared" si="22"/>
        <v>Female</v>
      </c>
      <c r="H257" t="s">
        <v>3003</v>
      </c>
      <c r="I257" t="s">
        <v>3018</v>
      </c>
      <c r="K257" t="str">
        <f t="shared" si="23"/>
        <v>Business Owner</v>
      </c>
      <c r="L257">
        <v>11</v>
      </c>
      <c r="M257">
        <v>1206630</v>
      </c>
      <c r="N257">
        <f t="shared" si="24"/>
        <v>1206630</v>
      </c>
      <c r="O257">
        <v>497177</v>
      </c>
      <c r="P257">
        <v>16.399999999999999</v>
      </c>
      <c r="Q257">
        <v>12</v>
      </c>
      <c r="R257" t="s">
        <v>3049</v>
      </c>
      <c r="S257" t="str">
        <f t="shared" si="25"/>
        <v>Business</v>
      </c>
      <c r="T257">
        <v>654</v>
      </c>
      <c r="U257">
        <f t="shared" si="26"/>
        <v>654</v>
      </c>
      <c r="V257">
        <v>0</v>
      </c>
      <c r="W257" t="s">
        <v>3053</v>
      </c>
      <c r="X257" s="3" t="s">
        <v>3102</v>
      </c>
      <c r="Y257" s="3">
        <f t="shared" si="27"/>
        <v>44806</v>
      </c>
      <c r="Z257">
        <v>0.41199999999999998</v>
      </c>
    </row>
    <row r="258" spans="1:26" x14ac:dyDescent="0.35">
      <c r="A258" t="s">
        <v>273</v>
      </c>
      <c r="B258" t="str">
        <f t="shared" ref="B258:B321" si="28">IF(A258="", "MISSING", "OK")</f>
        <v>OK</v>
      </c>
      <c r="C258" t="s">
        <v>1763</v>
      </c>
      <c r="D258" s="2">
        <v>25</v>
      </c>
      <c r="E258">
        <f>IF(OR(D258&lt;18, D258&gt;100),AD257,D258)</f>
        <v>25</v>
      </c>
      <c r="F258" t="s">
        <v>2990</v>
      </c>
      <c r="G258" t="str">
        <f t="shared" si="22"/>
        <v>Male</v>
      </c>
      <c r="H258" t="s">
        <v>3005</v>
      </c>
      <c r="I258" t="s">
        <v>3019</v>
      </c>
      <c r="K258" t="str">
        <f t="shared" si="23"/>
        <v>Employed</v>
      </c>
      <c r="L258">
        <v>24</v>
      </c>
      <c r="M258">
        <v>190699</v>
      </c>
      <c r="N258">
        <f t="shared" si="24"/>
        <v>190699</v>
      </c>
      <c r="O258">
        <v>315064</v>
      </c>
      <c r="P258">
        <v>26.37</v>
      </c>
      <c r="Q258">
        <v>12</v>
      </c>
      <c r="R258" t="s">
        <v>3047</v>
      </c>
      <c r="S258" t="str">
        <f t="shared" si="25"/>
        <v>Personal</v>
      </c>
      <c r="T258">
        <v>844</v>
      </c>
      <c r="U258">
        <f t="shared" si="26"/>
        <v>844</v>
      </c>
      <c r="V258">
        <v>7</v>
      </c>
      <c r="W258" t="s">
        <v>3055</v>
      </c>
      <c r="X258" s="3" t="s">
        <v>3306</v>
      </c>
      <c r="Y258" s="3">
        <f t="shared" si="27"/>
        <v>44223</v>
      </c>
      <c r="Z258">
        <v>1.6521999999999999</v>
      </c>
    </row>
    <row r="259" spans="1:26" x14ac:dyDescent="0.35">
      <c r="A259" t="s">
        <v>274</v>
      </c>
      <c r="B259" t="str">
        <f t="shared" si="28"/>
        <v>OK</v>
      </c>
      <c r="C259" t="s">
        <v>1764</v>
      </c>
      <c r="D259" s="2">
        <v>64</v>
      </c>
      <c r="E259">
        <f>IF(OR(D259&lt;18, D259&gt;100),AD258,D259)</f>
        <v>64</v>
      </c>
      <c r="F259" t="s">
        <v>2990</v>
      </c>
      <c r="G259" t="str">
        <f t="shared" ref="G259:G322" si="29">IF(F259="", "Unknown", IF(OR(F259="F", F259="FEMALE", F259="Female"), "Female", IF(OR(F259="M", F259="MALE", F259="Male"), "Male", "Other")))</f>
        <v>Male</v>
      </c>
      <c r="H259" t="s">
        <v>3007</v>
      </c>
      <c r="I259" t="s">
        <v>3021</v>
      </c>
      <c r="K259" t="str">
        <f t="shared" ref="K259:K322" si="30">IF(I259="", "Unknown", I259)</f>
        <v>Unemployed</v>
      </c>
      <c r="L259">
        <v>11</v>
      </c>
      <c r="M259">
        <v>1735979</v>
      </c>
      <c r="N259">
        <f t="shared" ref="N259:N322" si="31">IF(OR(M259="",M259&lt;0),$AD$3,M259)</f>
        <v>1735979</v>
      </c>
      <c r="O259">
        <v>320486</v>
      </c>
      <c r="P259">
        <v>20.45</v>
      </c>
      <c r="Q259">
        <v>24</v>
      </c>
      <c r="R259" t="s">
        <v>3046</v>
      </c>
      <c r="S259" t="str">
        <f t="shared" ref="S259:S322" si="32">IF(R259="", "Unknown", R259)</f>
        <v>Medical</v>
      </c>
      <c r="T259">
        <v>539</v>
      </c>
      <c r="U259">
        <f t="shared" ref="U259:U322" si="33">IF(OR(T259="",T259&gt;999),$AD$2,T259)</f>
        <v>539</v>
      </c>
      <c r="V259">
        <v>1</v>
      </c>
      <c r="W259" t="s">
        <v>3053</v>
      </c>
      <c r="X259" s="3" t="s">
        <v>3307</v>
      </c>
      <c r="Y259" s="3">
        <f t="shared" ref="Y259:Y322" si="34">IF(ISNUMBER(X259), X259, DATEVALUE(X259))</f>
        <v>44123</v>
      </c>
      <c r="Z259">
        <v>0.18459999999999999</v>
      </c>
    </row>
    <row r="260" spans="1:26" x14ac:dyDescent="0.35">
      <c r="A260" t="s">
        <v>275</v>
      </c>
      <c r="B260" t="str">
        <f t="shared" si="28"/>
        <v>OK</v>
      </c>
      <c r="C260" t="s">
        <v>1765</v>
      </c>
      <c r="D260" s="2">
        <v>60</v>
      </c>
      <c r="E260">
        <f>IF(OR(D260&lt;18, D260&gt;100),AD259,D260)</f>
        <v>60</v>
      </c>
      <c r="F260" t="s">
        <v>2992</v>
      </c>
      <c r="G260" t="str">
        <f t="shared" si="29"/>
        <v>Female</v>
      </c>
      <c r="H260" t="s">
        <v>2998</v>
      </c>
      <c r="I260" t="s">
        <v>3018</v>
      </c>
      <c r="K260" t="str">
        <f t="shared" si="30"/>
        <v>Business Owner</v>
      </c>
      <c r="L260">
        <v>25</v>
      </c>
      <c r="M260">
        <v>1033695</v>
      </c>
      <c r="N260">
        <f t="shared" si="31"/>
        <v>1033695</v>
      </c>
      <c r="O260">
        <v>580608</v>
      </c>
      <c r="P260">
        <v>20.91</v>
      </c>
      <c r="Q260">
        <v>24</v>
      </c>
      <c r="R260" t="s">
        <v>3050</v>
      </c>
      <c r="S260" t="str">
        <f t="shared" si="32"/>
        <v>Agriculture</v>
      </c>
      <c r="T260">
        <v>732</v>
      </c>
      <c r="U260">
        <f t="shared" si="33"/>
        <v>732</v>
      </c>
      <c r="V260">
        <v>0</v>
      </c>
      <c r="W260" t="s">
        <v>3056</v>
      </c>
      <c r="X260" s="3" t="s">
        <v>3308</v>
      </c>
      <c r="Y260" s="3">
        <f t="shared" si="34"/>
        <v>44793</v>
      </c>
      <c r="Z260">
        <v>0.56169999999999998</v>
      </c>
    </row>
    <row r="261" spans="1:26" x14ac:dyDescent="0.35">
      <c r="A261" t="s">
        <v>276</v>
      </c>
      <c r="B261" t="str">
        <f t="shared" si="28"/>
        <v>OK</v>
      </c>
      <c r="C261" t="s">
        <v>1766</v>
      </c>
      <c r="D261" s="2">
        <v>25</v>
      </c>
      <c r="E261">
        <f>IF(OR(D261&lt;18, D261&gt;100),AD260,D261)</f>
        <v>25</v>
      </c>
      <c r="F261" t="s">
        <v>2990</v>
      </c>
      <c r="G261" t="str">
        <f t="shared" si="29"/>
        <v>Male</v>
      </c>
      <c r="H261" t="s">
        <v>3005</v>
      </c>
      <c r="I261" t="s">
        <v>3018</v>
      </c>
      <c r="K261" t="str">
        <f t="shared" si="30"/>
        <v>Business Owner</v>
      </c>
      <c r="L261">
        <v>13</v>
      </c>
      <c r="M261">
        <v>609332</v>
      </c>
      <c r="N261">
        <f t="shared" si="31"/>
        <v>609332</v>
      </c>
      <c r="O261">
        <v>581836</v>
      </c>
      <c r="P261">
        <v>21.42</v>
      </c>
      <c r="Q261">
        <v>36</v>
      </c>
      <c r="R261" t="s">
        <v>3051</v>
      </c>
      <c r="S261" t="str">
        <f t="shared" si="32"/>
        <v>Education</v>
      </c>
      <c r="T261">
        <v>324</v>
      </c>
      <c r="U261">
        <f t="shared" si="33"/>
        <v>324</v>
      </c>
      <c r="V261">
        <v>0</v>
      </c>
      <c r="W261" t="s">
        <v>3056</v>
      </c>
      <c r="X261" s="3" t="s">
        <v>3309</v>
      </c>
      <c r="Y261" s="3">
        <f t="shared" si="34"/>
        <v>44957</v>
      </c>
      <c r="Z261">
        <v>0.95489999999999997</v>
      </c>
    </row>
    <row r="262" spans="1:26" x14ac:dyDescent="0.35">
      <c r="A262" t="s">
        <v>277</v>
      </c>
      <c r="B262" t="str">
        <f t="shared" si="28"/>
        <v>OK</v>
      </c>
      <c r="C262" t="s">
        <v>1767</v>
      </c>
      <c r="D262" s="2">
        <v>51</v>
      </c>
      <c r="E262">
        <f>IF(OR(D262&lt;18, D262&gt;100),AD261,D262)</f>
        <v>51</v>
      </c>
      <c r="F262" t="s">
        <v>2992</v>
      </c>
      <c r="G262" t="str">
        <f t="shared" si="29"/>
        <v>Female</v>
      </c>
      <c r="H262" t="s">
        <v>3004</v>
      </c>
      <c r="I262" t="s">
        <v>3020</v>
      </c>
      <c r="K262" t="str">
        <f t="shared" si="30"/>
        <v>Self-Employed</v>
      </c>
      <c r="L262">
        <v>7</v>
      </c>
      <c r="M262">
        <v>-198073</v>
      </c>
      <c r="N262">
        <f t="shared" si="31"/>
        <v>1333224</v>
      </c>
      <c r="O262">
        <v>218522</v>
      </c>
      <c r="P262">
        <v>18.809999999999999</v>
      </c>
      <c r="Q262">
        <v>12</v>
      </c>
      <c r="R262" t="s">
        <v>3050</v>
      </c>
      <c r="S262" t="str">
        <f t="shared" si="32"/>
        <v>Agriculture</v>
      </c>
      <c r="T262">
        <v>398</v>
      </c>
      <c r="U262">
        <f t="shared" si="33"/>
        <v>398</v>
      </c>
      <c r="V262">
        <v>4</v>
      </c>
      <c r="W262" t="s">
        <v>3052</v>
      </c>
      <c r="X262" s="3" t="s">
        <v>3210</v>
      </c>
      <c r="Y262" s="3">
        <f t="shared" si="34"/>
        <v>44453</v>
      </c>
      <c r="Z262">
        <v>1.1032</v>
      </c>
    </row>
    <row r="263" spans="1:26" x14ac:dyDescent="0.35">
      <c r="A263" t="s">
        <v>278</v>
      </c>
      <c r="B263" t="str">
        <f t="shared" si="28"/>
        <v>OK</v>
      </c>
      <c r="C263" t="s">
        <v>1768</v>
      </c>
      <c r="D263" s="2">
        <v>33</v>
      </c>
      <c r="E263">
        <f>IF(OR(D263&lt;18, D263&gt;100),AD262,D263)</f>
        <v>33</v>
      </c>
      <c r="F263" t="s">
        <v>2990</v>
      </c>
      <c r="G263" t="str">
        <f t="shared" si="29"/>
        <v>Male</v>
      </c>
      <c r="H263" t="s">
        <v>2999</v>
      </c>
      <c r="I263" t="s">
        <v>3018</v>
      </c>
      <c r="K263" t="str">
        <f t="shared" si="30"/>
        <v>Business Owner</v>
      </c>
      <c r="L263">
        <v>27</v>
      </c>
      <c r="M263">
        <v>274018</v>
      </c>
      <c r="N263">
        <f t="shared" si="31"/>
        <v>274018</v>
      </c>
      <c r="O263">
        <v>319188</v>
      </c>
      <c r="P263">
        <v>20.51</v>
      </c>
      <c r="Q263">
        <v>48</v>
      </c>
      <c r="R263" t="s">
        <v>3048</v>
      </c>
      <c r="S263" t="str">
        <f t="shared" si="32"/>
        <v>Home Improvement</v>
      </c>
      <c r="T263">
        <v>627</v>
      </c>
      <c r="U263">
        <f t="shared" si="33"/>
        <v>627</v>
      </c>
      <c r="V263">
        <v>3</v>
      </c>
      <c r="W263" t="s">
        <v>3053</v>
      </c>
      <c r="X263" s="3" t="s">
        <v>3310</v>
      </c>
      <c r="Y263" s="3">
        <f t="shared" si="34"/>
        <v>44226</v>
      </c>
      <c r="Z263">
        <v>1.1648000000000001</v>
      </c>
    </row>
    <row r="264" spans="1:26" x14ac:dyDescent="0.35">
      <c r="A264" t="s">
        <v>279</v>
      </c>
      <c r="B264" t="str">
        <f t="shared" si="28"/>
        <v>OK</v>
      </c>
      <c r="C264" t="s">
        <v>1769</v>
      </c>
      <c r="D264" s="2">
        <v>46</v>
      </c>
      <c r="E264">
        <f>IF(OR(D264&lt;18, D264&gt;100),AD263,D264)</f>
        <v>46</v>
      </c>
      <c r="F264" t="s">
        <v>2992</v>
      </c>
      <c r="G264" t="str">
        <f t="shared" si="29"/>
        <v>Female</v>
      </c>
      <c r="H264" t="s">
        <v>2998</v>
      </c>
      <c r="I264" t="s">
        <v>3020</v>
      </c>
      <c r="K264" t="str">
        <f t="shared" si="30"/>
        <v>Self-Employed</v>
      </c>
      <c r="L264">
        <v>7</v>
      </c>
      <c r="M264">
        <v>1728229</v>
      </c>
      <c r="N264">
        <f t="shared" si="31"/>
        <v>1728229</v>
      </c>
      <c r="O264">
        <v>390858</v>
      </c>
      <c r="P264">
        <v>16.39</v>
      </c>
      <c r="Q264">
        <v>36</v>
      </c>
      <c r="S264" t="str">
        <f t="shared" si="32"/>
        <v>Unknown</v>
      </c>
      <c r="T264">
        <v>485</v>
      </c>
      <c r="U264">
        <f t="shared" si="33"/>
        <v>485</v>
      </c>
      <c r="V264">
        <v>7</v>
      </c>
      <c r="W264" t="s">
        <v>3053</v>
      </c>
      <c r="X264" s="3" t="s">
        <v>3311</v>
      </c>
      <c r="Y264" s="3">
        <f t="shared" si="34"/>
        <v>45206</v>
      </c>
      <c r="Z264">
        <v>0.22620000000000001</v>
      </c>
    </row>
    <row r="265" spans="1:26" x14ac:dyDescent="0.35">
      <c r="A265" t="s">
        <v>280</v>
      </c>
      <c r="B265" t="str">
        <f t="shared" si="28"/>
        <v>OK</v>
      </c>
      <c r="C265" t="s">
        <v>1770</v>
      </c>
      <c r="D265" s="2">
        <v>27</v>
      </c>
      <c r="E265">
        <f>IF(OR(D265&lt;18, D265&gt;100),AD264,D265)</f>
        <v>27</v>
      </c>
      <c r="G265" t="str">
        <f t="shared" si="29"/>
        <v>Unknown</v>
      </c>
      <c r="H265" t="s">
        <v>3006</v>
      </c>
      <c r="I265" t="s">
        <v>3021</v>
      </c>
      <c r="K265" t="str">
        <f t="shared" si="30"/>
        <v>Unemployed</v>
      </c>
      <c r="L265">
        <v>12</v>
      </c>
      <c r="M265">
        <v>272324</v>
      </c>
      <c r="N265">
        <f t="shared" si="31"/>
        <v>272324</v>
      </c>
      <c r="O265">
        <v>501725</v>
      </c>
      <c r="P265">
        <v>21.55</v>
      </c>
      <c r="Q265">
        <v>12</v>
      </c>
      <c r="R265" t="s">
        <v>3048</v>
      </c>
      <c r="S265" t="str">
        <f t="shared" si="32"/>
        <v>Home Improvement</v>
      </c>
      <c r="T265">
        <v>438</v>
      </c>
      <c r="U265">
        <f t="shared" si="33"/>
        <v>438</v>
      </c>
      <c r="V265">
        <v>7</v>
      </c>
      <c r="W265" t="s">
        <v>3054</v>
      </c>
      <c r="X265" s="3" t="s">
        <v>3312</v>
      </c>
      <c r="Y265" s="3">
        <f t="shared" si="34"/>
        <v>44825</v>
      </c>
      <c r="Z265">
        <v>1.8424</v>
      </c>
    </row>
    <row r="266" spans="1:26" x14ac:dyDescent="0.35">
      <c r="A266" t="s">
        <v>281</v>
      </c>
      <c r="B266" t="str">
        <f t="shared" si="28"/>
        <v>OK</v>
      </c>
      <c r="C266" t="s">
        <v>1771</v>
      </c>
      <c r="D266" s="2">
        <v>53</v>
      </c>
      <c r="E266">
        <f>IF(OR(D266&lt;18, D266&gt;100),AD265,D266)</f>
        <v>53</v>
      </c>
      <c r="F266" t="s">
        <v>2990</v>
      </c>
      <c r="G266" t="str">
        <f t="shared" si="29"/>
        <v>Male</v>
      </c>
      <c r="H266" t="s">
        <v>3006</v>
      </c>
      <c r="I266" t="s">
        <v>3020</v>
      </c>
      <c r="K266" t="str">
        <f t="shared" si="30"/>
        <v>Self-Employed</v>
      </c>
      <c r="L266">
        <v>21</v>
      </c>
      <c r="M266">
        <v>1043663</v>
      </c>
      <c r="N266">
        <f t="shared" si="31"/>
        <v>1043663</v>
      </c>
      <c r="O266">
        <v>82433</v>
      </c>
      <c r="P266">
        <v>24.94</v>
      </c>
      <c r="Q266">
        <v>60</v>
      </c>
      <c r="R266" t="s">
        <v>3046</v>
      </c>
      <c r="S266" t="str">
        <f t="shared" si="32"/>
        <v>Medical</v>
      </c>
      <c r="T266">
        <v>538</v>
      </c>
      <c r="U266">
        <f t="shared" si="33"/>
        <v>538</v>
      </c>
      <c r="V266">
        <v>0</v>
      </c>
      <c r="W266" t="s">
        <v>3057</v>
      </c>
      <c r="X266" s="3" t="s">
        <v>3180</v>
      </c>
      <c r="Y266" s="3">
        <f t="shared" si="34"/>
        <v>44052</v>
      </c>
      <c r="Z266">
        <v>7.9000000000000001E-2</v>
      </c>
    </row>
    <row r="267" spans="1:26" x14ac:dyDescent="0.35">
      <c r="A267" t="s">
        <v>282</v>
      </c>
      <c r="B267" t="str">
        <f t="shared" si="28"/>
        <v>OK</v>
      </c>
      <c r="C267" t="s">
        <v>1772</v>
      </c>
      <c r="D267" s="2">
        <v>31</v>
      </c>
      <c r="E267">
        <f>IF(OR(D267&lt;18, D267&gt;100),AD266,D267)</f>
        <v>31</v>
      </c>
      <c r="F267" t="s">
        <v>2992</v>
      </c>
      <c r="G267" t="str">
        <f t="shared" si="29"/>
        <v>Female</v>
      </c>
      <c r="H267" t="s">
        <v>3004</v>
      </c>
      <c r="I267" t="s">
        <v>3018</v>
      </c>
      <c r="K267" t="str">
        <f t="shared" si="30"/>
        <v>Business Owner</v>
      </c>
      <c r="L267">
        <v>13</v>
      </c>
      <c r="M267">
        <v>2327753</v>
      </c>
      <c r="N267">
        <f t="shared" si="31"/>
        <v>2327753</v>
      </c>
      <c r="O267">
        <v>529551</v>
      </c>
      <c r="P267">
        <v>18.36</v>
      </c>
      <c r="Q267">
        <v>36</v>
      </c>
      <c r="R267" t="s">
        <v>3047</v>
      </c>
      <c r="S267" t="str">
        <f t="shared" si="32"/>
        <v>Personal</v>
      </c>
      <c r="T267">
        <v>417</v>
      </c>
      <c r="U267">
        <f t="shared" si="33"/>
        <v>417</v>
      </c>
      <c r="V267">
        <v>6</v>
      </c>
      <c r="W267" t="s">
        <v>3055</v>
      </c>
      <c r="X267" s="3" t="s">
        <v>3313</v>
      </c>
      <c r="Y267" s="3">
        <v>44339</v>
      </c>
      <c r="Z267">
        <v>0.22750000000000001</v>
      </c>
    </row>
    <row r="268" spans="1:26" x14ac:dyDescent="0.35">
      <c r="A268" t="s">
        <v>283</v>
      </c>
      <c r="B268" t="str">
        <f t="shared" si="28"/>
        <v>OK</v>
      </c>
      <c r="C268" t="s">
        <v>1773</v>
      </c>
      <c r="D268" s="2">
        <v>29</v>
      </c>
      <c r="E268">
        <f>IF(OR(D268&lt;18, D268&gt;100),AD267,D268)</f>
        <v>29</v>
      </c>
      <c r="F268" t="s">
        <v>2990</v>
      </c>
      <c r="G268" t="str">
        <f t="shared" si="29"/>
        <v>Male</v>
      </c>
      <c r="H268" t="s">
        <v>3007</v>
      </c>
      <c r="I268" t="s">
        <v>3021</v>
      </c>
      <c r="K268" t="str">
        <f t="shared" si="30"/>
        <v>Unemployed</v>
      </c>
      <c r="L268">
        <v>7</v>
      </c>
      <c r="M268">
        <v>834224</v>
      </c>
      <c r="N268">
        <f t="shared" si="31"/>
        <v>834224</v>
      </c>
      <c r="O268">
        <v>108059</v>
      </c>
      <c r="P268">
        <v>24.88</v>
      </c>
      <c r="Q268">
        <v>24</v>
      </c>
      <c r="R268" t="s">
        <v>3050</v>
      </c>
      <c r="S268" t="str">
        <f t="shared" si="32"/>
        <v>Agriculture</v>
      </c>
      <c r="T268">
        <v>712</v>
      </c>
      <c r="U268">
        <f t="shared" si="33"/>
        <v>712</v>
      </c>
      <c r="V268">
        <v>6</v>
      </c>
      <c r="W268" t="s">
        <v>3055</v>
      </c>
      <c r="X268" s="3" t="s">
        <v>3314</v>
      </c>
      <c r="Y268" s="3">
        <f t="shared" si="34"/>
        <v>44653</v>
      </c>
      <c r="Z268">
        <v>0.1295</v>
      </c>
    </row>
    <row r="269" spans="1:26" x14ac:dyDescent="0.35">
      <c r="A269" t="s">
        <v>284</v>
      </c>
      <c r="B269" t="str">
        <f t="shared" si="28"/>
        <v>OK</v>
      </c>
      <c r="C269" t="s">
        <v>1774</v>
      </c>
      <c r="D269" s="2">
        <v>56</v>
      </c>
      <c r="E269">
        <f>IF(OR(D269&lt;18, D269&gt;100),AD268,D269)</f>
        <v>56</v>
      </c>
      <c r="F269" t="s">
        <v>2992</v>
      </c>
      <c r="G269" t="str">
        <f t="shared" si="29"/>
        <v>Female</v>
      </c>
      <c r="H269" t="s">
        <v>3006</v>
      </c>
      <c r="I269" t="s">
        <v>3021</v>
      </c>
      <c r="K269" t="str">
        <f t="shared" si="30"/>
        <v>Unemployed</v>
      </c>
      <c r="L269">
        <v>9</v>
      </c>
      <c r="M269">
        <v>887755</v>
      </c>
      <c r="N269">
        <f t="shared" si="31"/>
        <v>887755</v>
      </c>
      <c r="O269">
        <v>174542</v>
      </c>
      <c r="P269">
        <v>8.1199999999999992</v>
      </c>
      <c r="Q269">
        <v>48</v>
      </c>
      <c r="R269" t="s">
        <v>3048</v>
      </c>
      <c r="S269" t="str">
        <f t="shared" si="32"/>
        <v>Home Improvement</v>
      </c>
      <c r="T269">
        <v>682</v>
      </c>
      <c r="U269">
        <f t="shared" si="33"/>
        <v>682</v>
      </c>
      <c r="V269">
        <v>4</v>
      </c>
      <c r="W269" t="s">
        <v>3053</v>
      </c>
      <c r="X269" s="3" t="s">
        <v>3315</v>
      </c>
      <c r="Y269" s="3">
        <f t="shared" si="34"/>
        <v>44302</v>
      </c>
      <c r="Z269">
        <v>0.1966</v>
      </c>
    </row>
    <row r="270" spans="1:26" x14ac:dyDescent="0.35">
      <c r="A270" t="s">
        <v>285</v>
      </c>
      <c r="B270" t="str">
        <f t="shared" si="28"/>
        <v>OK</v>
      </c>
      <c r="C270" t="s">
        <v>1775</v>
      </c>
      <c r="D270" s="2">
        <v>42</v>
      </c>
      <c r="E270">
        <f>IF(OR(D270&lt;18, D270&gt;100),AD269,D270)</f>
        <v>42</v>
      </c>
      <c r="F270" t="s">
        <v>2990</v>
      </c>
      <c r="G270" t="str">
        <f t="shared" si="29"/>
        <v>Male</v>
      </c>
      <c r="H270" t="s">
        <v>3006</v>
      </c>
      <c r="I270" t="s">
        <v>3019</v>
      </c>
      <c r="K270" t="str">
        <f t="shared" si="30"/>
        <v>Employed</v>
      </c>
      <c r="L270">
        <v>4</v>
      </c>
      <c r="M270">
        <v>568590</v>
      </c>
      <c r="N270">
        <f t="shared" si="31"/>
        <v>568590</v>
      </c>
      <c r="O270">
        <v>493314</v>
      </c>
      <c r="P270">
        <v>25.91</v>
      </c>
      <c r="Q270">
        <v>12</v>
      </c>
      <c r="R270" t="s">
        <v>3046</v>
      </c>
      <c r="S270" t="str">
        <f t="shared" si="32"/>
        <v>Medical</v>
      </c>
      <c r="T270">
        <v>849</v>
      </c>
      <c r="U270">
        <f t="shared" si="33"/>
        <v>849</v>
      </c>
      <c r="V270">
        <v>5</v>
      </c>
      <c r="W270" t="s">
        <v>3056</v>
      </c>
      <c r="X270" s="3" t="s">
        <v>3316</v>
      </c>
      <c r="Y270" s="3">
        <f t="shared" si="34"/>
        <v>44930</v>
      </c>
      <c r="Z270">
        <v>0.86760000000000004</v>
      </c>
    </row>
    <row r="271" spans="1:26" x14ac:dyDescent="0.35">
      <c r="A271" t="s">
        <v>286</v>
      </c>
      <c r="B271" t="str">
        <f t="shared" si="28"/>
        <v>OK</v>
      </c>
      <c r="C271" t="s">
        <v>1776</v>
      </c>
      <c r="D271" s="2">
        <v>58</v>
      </c>
      <c r="E271">
        <f>IF(OR(D271&lt;18, D271&gt;100),AD270,D271)</f>
        <v>58</v>
      </c>
      <c r="F271" t="s">
        <v>2990</v>
      </c>
      <c r="G271" t="str">
        <f t="shared" si="29"/>
        <v>Male</v>
      </c>
      <c r="H271" t="s">
        <v>3001</v>
      </c>
      <c r="I271" t="s">
        <v>3018</v>
      </c>
      <c r="K271" t="str">
        <f t="shared" si="30"/>
        <v>Business Owner</v>
      </c>
      <c r="L271">
        <v>2</v>
      </c>
      <c r="M271">
        <v>2270212</v>
      </c>
      <c r="N271">
        <f t="shared" si="31"/>
        <v>2270212</v>
      </c>
      <c r="O271">
        <v>270541</v>
      </c>
      <c r="P271">
        <v>15.91</v>
      </c>
      <c r="Q271">
        <v>12</v>
      </c>
      <c r="R271" t="s">
        <v>3051</v>
      </c>
      <c r="S271" t="str">
        <f t="shared" si="32"/>
        <v>Education</v>
      </c>
      <c r="T271">
        <v>315</v>
      </c>
      <c r="U271">
        <f t="shared" si="33"/>
        <v>315</v>
      </c>
      <c r="V271">
        <v>2</v>
      </c>
      <c r="W271" t="s">
        <v>3057</v>
      </c>
      <c r="X271" s="3" t="s">
        <v>3306</v>
      </c>
      <c r="Y271" s="3">
        <f t="shared" si="34"/>
        <v>44223</v>
      </c>
      <c r="Z271">
        <v>0.1192</v>
      </c>
    </row>
    <row r="272" spans="1:26" x14ac:dyDescent="0.35">
      <c r="A272" t="s">
        <v>287</v>
      </c>
      <c r="B272" t="str">
        <f t="shared" si="28"/>
        <v>OK</v>
      </c>
      <c r="C272" t="s">
        <v>1777</v>
      </c>
      <c r="D272" s="2">
        <v>21</v>
      </c>
      <c r="E272">
        <f>IF(OR(D272&lt;18, D272&gt;100),AD271,D272)</f>
        <v>21</v>
      </c>
      <c r="F272" t="s">
        <v>2990</v>
      </c>
      <c r="G272" t="str">
        <f t="shared" si="29"/>
        <v>Male</v>
      </c>
      <c r="H272" t="s">
        <v>3004</v>
      </c>
      <c r="I272" t="s">
        <v>3021</v>
      </c>
      <c r="K272" t="str">
        <f t="shared" si="30"/>
        <v>Unemployed</v>
      </c>
      <c r="L272">
        <v>14</v>
      </c>
      <c r="M272">
        <v>2194410</v>
      </c>
      <c r="N272">
        <f t="shared" si="31"/>
        <v>2194410</v>
      </c>
      <c r="O272">
        <v>252076</v>
      </c>
      <c r="P272">
        <v>16.53</v>
      </c>
      <c r="Q272">
        <v>12</v>
      </c>
      <c r="R272" t="s">
        <v>3050</v>
      </c>
      <c r="S272" t="str">
        <f t="shared" si="32"/>
        <v>Agriculture</v>
      </c>
      <c r="T272">
        <v>50</v>
      </c>
      <c r="U272">
        <f t="shared" si="33"/>
        <v>50</v>
      </c>
      <c r="V272">
        <v>2</v>
      </c>
      <c r="W272" t="s">
        <v>3055</v>
      </c>
      <c r="X272" s="3" t="s">
        <v>3317</v>
      </c>
      <c r="Y272" s="3">
        <f t="shared" si="34"/>
        <v>44141</v>
      </c>
      <c r="Z272">
        <v>0.1149</v>
      </c>
    </row>
    <row r="273" spans="1:26" x14ac:dyDescent="0.35">
      <c r="A273" t="s">
        <v>288</v>
      </c>
      <c r="B273" t="str">
        <f t="shared" si="28"/>
        <v>OK</v>
      </c>
      <c r="C273" t="s">
        <v>1778</v>
      </c>
      <c r="D273" s="2">
        <v>46</v>
      </c>
      <c r="E273">
        <f>IF(OR(D273&lt;18, D273&gt;100),AD272,D273)</f>
        <v>46</v>
      </c>
      <c r="F273" t="s">
        <v>2990</v>
      </c>
      <c r="G273" t="str">
        <f t="shared" si="29"/>
        <v>Male</v>
      </c>
      <c r="H273" t="s">
        <v>3002</v>
      </c>
      <c r="I273" t="s">
        <v>3018</v>
      </c>
      <c r="K273" t="str">
        <f t="shared" si="30"/>
        <v>Business Owner</v>
      </c>
      <c r="L273">
        <v>17</v>
      </c>
      <c r="M273">
        <v>2035546</v>
      </c>
      <c r="N273">
        <f t="shared" si="31"/>
        <v>2035546</v>
      </c>
      <c r="O273">
        <v>664606</v>
      </c>
      <c r="P273">
        <v>17.010000000000002</v>
      </c>
      <c r="Q273">
        <v>48</v>
      </c>
      <c r="R273" t="s">
        <v>3050</v>
      </c>
      <c r="S273" t="str">
        <f t="shared" si="32"/>
        <v>Agriculture</v>
      </c>
      <c r="T273">
        <v>409</v>
      </c>
      <c r="U273">
        <f t="shared" si="33"/>
        <v>409</v>
      </c>
      <c r="V273">
        <v>6</v>
      </c>
      <c r="W273" t="s">
        <v>3055</v>
      </c>
      <c r="X273" s="3" t="s">
        <v>3318</v>
      </c>
      <c r="Y273" s="3">
        <f t="shared" si="34"/>
        <v>44929</v>
      </c>
      <c r="Z273">
        <v>0.32650000000000001</v>
      </c>
    </row>
    <row r="274" spans="1:26" x14ac:dyDescent="0.35">
      <c r="A274" t="s">
        <v>289</v>
      </c>
      <c r="B274" t="str">
        <f t="shared" si="28"/>
        <v>OK</v>
      </c>
      <c r="C274" t="s">
        <v>1779</v>
      </c>
      <c r="D274" s="2">
        <v>46</v>
      </c>
      <c r="E274">
        <f>IF(OR(D274&lt;18, D274&gt;100),AD273,D274)</f>
        <v>46</v>
      </c>
      <c r="F274" t="s">
        <v>2990</v>
      </c>
      <c r="G274" t="str">
        <f t="shared" si="29"/>
        <v>Male</v>
      </c>
      <c r="H274" t="s">
        <v>3005</v>
      </c>
      <c r="I274" t="s">
        <v>3018</v>
      </c>
      <c r="K274" t="str">
        <f t="shared" si="30"/>
        <v>Business Owner</v>
      </c>
      <c r="L274">
        <v>16</v>
      </c>
      <c r="M274">
        <v>527697</v>
      </c>
      <c r="N274">
        <f t="shared" si="31"/>
        <v>527697</v>
      </c>
      <c r="O274">
        <v>138581</v>
      </c>
      <c r="P274">
        <v>26.57</v>
      </c>
      <c r="Q274">
        <v>36</v>
      </c>
      <c r="R274" t="s">
        <v>3051</v>
      </c>
      <c r="S274" t="str">
        <f t="shared" si="32"/>
        <v>Education</v>
      </c>
      <c r="T274">
        <v>418</v>
      </c>
      <c r="U274">
        <f t="shared" si="33"/>
        <v>418</v>
      </c>
      <c r="V274">
        <v>0</v>
      </c>
      <c r="W274" t="s">
        <v>3054</v>
      </c>
      <c r="X274" s="3" t="s">
        <v>3319</v>
      </c>
      <c r="Y274" s="3">
        <f t="shared" si="34"/>
        <v>44280</v>
      </c>
      <c r="Z274">
        <v>0.2626</v>
      </c>
    </row>
    <row r="275" spans="1:26" x14ac:dyDescent="0.35">
      <c r="A275" t="s">
        <v>290</v>
      </c>
      <c r="B275" t="str">
        <f t="shared" si="28"/>
        <v>OK</v>
      </c>
      <c r="C275" t="s">
        <v>1780</v>
      </c>
      <c r="D275" s="2">
        <v>62</v>
      </c>
      <c r="E275">
        <f>IF(OR(D275&lt;18, D275&gt;100),AD274,D275)</f>
        <v>62</v>
      </c>
      <c r="F275" t="s">
        <v>2990</v>
      </c>
      <c r="G275" t="str">
        <f t="shared" si="29"/>
        <v>Male</v>
      </c>
      <c r="H275" t="s">
        <v>3006</v>
      </c>
      <c r="I275" t="s">
        <v>3019</v>
      </c>
      <c r="K275" t="str">
        <f t="shared" si="30"/>
        <v>Employed</v>
      </c>
      <c r="L275">
        <v>14</v>
      </c>
      <c r="M275">
        <v>1070083</v>
      </c>
      <c r="N275">
        <f t="shared" si="31"/>
        <v>1070083</v>
      </c>
      <c r="O275">
        <v>428624</v>
      </c>
      <c r="P275">
        <v>11.31</v>
      </c>
      <c r="Q275">
        <v>60</v>
      </c>
      <c r="R275" t="s">
        <v>3047</v>
      </c>
      <c r="S275" t="str">
        <f t="shared" si="32"/>
        <v>Personal</v>
      </c>
      <c r="T275">
        <v>459</v>
      </c>
      <c r="U275">
        <f t="shared" si="33"/>
        <v>459</v>
      </c>
      <c r="V275">
        <v>7</v>
      </c>
      <c r="W275" t="s">
        <v>3053</v>
      </c>
      <c r="X275" s="3" t="s">
        <v>3320</v>
      </c>
      <c r="Y275" s="3">
        <f t="shared" si="34"/>
        <v>43898</v>
      </c>
      <c r="Z275">
        <v>0.40060000000000001</v>
      </c>
    </row>
    <row r="276" spans="1:26" x14ac:dyDescent="0.35">
      <c r="A276" t="s">
        <v>291</v>
      </c>
      <c r="B276" t="str">
        <f t="shared" si="28"/>
        <v>OK</v>
      </c>
      <c r="C276" t="s">
        <v>1781</v>
      </c>
      <c r="D276" s="2">
        <v>41</v>
      </c>
      <c r="E276">
        <f>IF(OR(D276&lt;18, D276&gt;100),AD275,D276)</f>
        <v>41</v>
      </c>
      <c r="F276" t="s">
        <v>2990</v>
      </c>
      <c r="G276" t="str">
        <f t="shared" si="29"/>
        <v>Male</v>
      </c>
      <c r="H276" t="s">
        <v>3013</v>
      </c>
      <c r="I276" t="s">
        <v>3020</v>
      </c>
      <c r="K276" t="str">
        <f t="shared" si="30"/>
        <v>Self-Employed</v>
      </c>
      <c r="L276">
        <v>12</v>
      </c>
      <c r="M276">
        <v>1384680</v>
      </c>
      <c r="N276">
        <f t="shared" si="31"/>
        <v>1384680</v>
      </c>
      <c r="O276">
        <v>220339</v>
      </c>
      <c r="P276">
        <v>14.16</v>
      </c>
      <c r="Q276">
        <v>24</v>
      </c>
      <c r="R276" t="s">
        <v>3049</v>
      </c>
      <c r="S276" t="str">
        <f t="shared" si="32"/>
        <v>Business</v>
      </c>
      <c r="T276">
        <v>830</v>
      </c>
      <c r="U276">
        <f t="shared" si="33"/>
        <v>830</v>
      </c>
      <c r="V276">
        <v>2</v>
      </c>
      <c r="W276" t="s">
        <v>3055</v>
      </c>
      <c r="X276" s="3" t="s">
        <v>3321</v>
      </c>
      <c r="Y276" s="3">
        <f t="shared" si="34"/>
        <v>44782</v>
      </c>
      <c r="Z276">
        <v>0.15909999999999999</v>
      </c>
    </row>
    <row r="277" spans="1:26" x14ac:dyDescent="0.35">
      <c r="A277" t="s">
        <v>292</v>
      </c>
      <c r="B277" t="str">
        <f t="shared" si="28"/>
        <v>OK</v>
      </c>
      <c r="C277" t="s">
        <v>1782</v>
      </c>
      <c r="D277" s="2">
        <v>37</v>
      </c>
      <c r="E277">
        <f>IF(OR(D277&lt;18, D277&gt;100),AD276,D277)</f>
        <v>37</v>
      </c>
      <c r="F277" t="s">
        <v>2990</v>
      </c>
      <c r="G277" t="str">
        <f t="shared" si="29"/>
        <v>Male</v>
      </c>
      <c r="H277" t="s">
        <v>3001</v>
      </c>
      <c r="I277" t="s">
        <v>3020</v>
      </c>
      <c r="K277" t="str">
        <f t="shared" si="30"/>
        <v>Self-Employed</v>
      </c>
      <c r="L277">
        <v>8</v>
      </c>
      <c r="M277">
        <v>1875675</v>
      </c>
      <c r="N277">
        <f t="shared" si="31"/>
        <v>1875675</v>
      </c>
      <c r="O277">
        <v>344264</v>
      </c>
      <c r="P277">
        <v>26.16</v>
      </c>
      <c r="Q277">
        <v>48</v>
      </c>
      <c r="R277" t="s">
        <v>3049</v>
      </c>
      <c r="S277" t="str">
        <f t="shared" si="32"/>
        <v>Business</v>
      </c>
      <c r="T277">
        <v>376</v>
      </c>
      <c r="U277">
        <f t="shared" si="33"/>
        <v>376</v>
      </c>
      <c r="V277">
        <v>1</v>
      </c>
      <c r="W277" t="s">
        <v>3055</v>
      </c>
      <c r="X277" s="3" t="s">
        <v>3322</v>
      </c>
      <c r="Y277" s="3">
        <f t="shared" si="34"/>
        <v>44627</v>
      </c>
      <c r="Z277">
        <v>0.1835</v>
      </c>
    </row>
    <row r="278" spans="1:26" x14ac:dyDescent="0.35">
      <c r="A278" t="s">
        <v>293</v>
      </c>
      <c r="B278" t="str">
        <f t="shared" si="28"/>
        <v>OK</v>
      </c>
      <c r="C278" t="s">
        <v>1783</v>
      </c>
      <c r="D278" s="2">
        <v>53</v>
      </c>
      <c r="E278">
        <f>IF(OR(D278&lt;18, D278&gt;100),AD277,D278)</f>
        <v>53</v>
      </c>
      <c r="F278" t="s">
        <v>2992</v>
      </c>
      <c r="G278" t="str">
        <f t="shared" si="29"/>
        <v>Female</v>
      </c>
      <c r="H278" t="s">
        <v>3006</v>
      </c>
      <c r="I278" t="s">
        <v>3019</v>
      </c>
      <c r="K278" t="str">
        <f t="shared" si="30"/>
        <v>Employed</v>
      </c>
      <c r="L278">
        <v>19</v>
      </c>
      <c r="M278">
        <v>2276594</v>
      </c>
      <c r="N278">
        <f t="shared" si="31"/>
        <v>2276594</v>
      </c>
      <c r="O278">
        <v>396047</v>
      </c>
      <c r="P278">
        <v>12.67</v>
      </c>
      <c r="Q278">
        <v>48</v>
      </c>
      <c r="R278" t="s">
        <v>3047</v>
      </c>
      <c r="S278" t="str">
        <f t="shared" si="32"/>
        <v>Personal</v>
      </c>
      <c r="T278">
        <v>776</v>
      </c>
      <c r="U278">
        <f t="shared" si="33"/>
        <v>776</v>
      </c>
      <c r="V278">
        <v>0</v>
      </c>
      <c r="W278" t="s">
        <v>3054</v>
      </c>
      <c r="X278" s="3" t="s">
        <v>3321</v>
      </c>
      <c r="Y278" s="3">
        <f t="shared" si="34"/>
        <v>44782</v>
      </c>
      <c r="Z278">
        <v>0.17399999999999999</v>
      </c>
    </row>
    <row r="279" spans="1:26" x14ac:dyDescent="0.35">
      <c r="A279" t="s">
        <v>294</v>
      </c>
      <c r="B279" t="str">
        <f t="shared" si="28"/>
        <v>OK</v>
      </c>
      <c r="C279" t="s">
        <v>1784</v>
      </c>
      <c r="D279" s="2">
        <v>59</v>
      </c>
      <c r="E279">
        <f>IF(OR(D279&lt;18, D279&gt;100),AD278,D279)</f>
        <v>59</v>
      </c>
      <c r="F279" t="s">
        <v>2990</v>
      </c>
      <c r="G279" t="str">
        <f t="shared" si="29"/>
        <v>Male</v>
      </c>
      <c r="H279" t="s">
        <v>3005</v>
      </c>
      <c r="I279" t="s">
        <v>3021</v>
      </c>
      <c r="K279" t="str">
        <f t="shared" si="30"/>
        <v>Unemployed</v>
      </c>
      <c r="L279">
        <v>12</v>
      </c>
      <c r="M279">
        <v>2101214</v>
      </c>
      <c r="N279">
        <f t="shared" si="31"/>
        <v>2101214</v>
      </c>
      <c r="O279">
        <v>199838</v>
      </c>
      <c r="P279">
        <v>8.8000000000000007</v>
      </c>
      <c r="Q279">
        <v>24</v>
      </c>
      <c r="R279" t="s">
        <v>3050</v>
      </c>
      <c r="S279" t="str">
        <f t="shared" si="32"/>
        <v>Agriculture</v>
      </c>
      <c r="T279">
        <v>378</v>
      </c>
      <c r="U279">
        <f t="shared" si="33"/>
        <v>378</v>
      </c>
      <c r="V279">
        <v>4</v>
      </c>
      <c r="W279" t="s">
        <v>3055</v>
      </c>
      <c r="X279" s="3" t="s">
        <v>3323</v>
      </c>
      <c r="Y279" s="3">
        <f t="shared" si="34"/>
        <v>44040</v>
      </c>
      <c r="Z279">
        <v>9.5100000000000004E-2</v>
      </c>
    </row>
    <row r="280" spans="1:26" x14ac:dyDescent="0.35">
      <c r="A280" t="s">
        <v>295</v>
      </c>
      <c r="B280" t="str">
        <f t="shared" si="28"/>
        <v>OK</v>
      </c>
      <c r="C280" t="s">
        <v>1785</v>
      </c>
      <c r="D280" s="2">
        <v>37</v>
      </c>
      <c r="E280">
        <f>IF(OR(D280&lt;18, D280&gt;100),AD279,D280)</f>
        <v>37</v>
      </c>
      <c r="F280" t="s">
        <v>2990</v>
      </c>
      <c r="G280" t="str">
        <f t="shared" si="29"/>
        <v>Male</v>
      </c>
      <c r="H280" t="s">
        <v>2998</v>
      </c>
      <c r="I280" t="s">
        <v>3020</v>
      </c>
      <c r="K280" t="str">
        <f t="shared" si="30"/>
        <v>Self-Employed</v>
      </c>
      <c r="L280">
        <v>1</v>
      </c>
      <c r="M280">
        <v>1699603</v>
      </c>
      <c r="N280">
        <f t="shared" si="31"/>
        <v>1699603</v>
      </c>
      <c r="O280">
        <v>717411</v>
      </c>
      <c r="P280">
        <v>9.19</v>
      </c>
      <c r="Q280">
        <v>60</v>
      </c>
      <c r="R280" t="s">
        <v>3051</v>
      </c>
      <c r="S280" t="str">
        <f t="shared" si="32"/>
        <v>Education</v>
      </c>
      <c r="T280">
        <v>591</v>
      </c>
      <c r="U280">
        <f t="shared" si="33"/>
        <v>591</v>
      </c>
      <c r="V280">
        <v>0</v>
      </c>
      <c r="W280" t="s">
        <v>3056</v>
      </c>
      <c r="X280" s="3" t="s">
        <v>3324</v>
      </c>
      <c r="Y280" s="3">
        <f t="shared" si="34"/>
        <v>44468</v>
      </c>
      <c r="Z280">
        <v>0.42209999999999998</v>
      </c>
    </row>
    <row r="281" spans="1:26" x14ac:dyDescent="0.35">
      <c r="A281" t="s">
        <v>296</v>
      </c>
      <c r="B281" t="str">
        <f t="shared" si="28"/>
        <v>OK</v>
      </c>
      <c r="C281" t="s">
        <v>1786</v>
      </c>
      <c r="D281" s="2">
        <v>25</v>
      </c>
      <c r="E281">
        <f>IF(OR(D281&lt;18, D281&gt;100),AD280,D281)</f>
        <v>25</v>
      </c>
      <c r="F281" t="s">
        <v>2992</v>
      </c>
      <c r="G281" t="str">
        <f t="shared" si="29"/>
        <v>Female</v>
      </c>
      <c r="H281" t="s">
        <v>2998</v>
      </c>
      <c r="I281" t="s">
        <v>3021</v>
      </c>
      <c r="K281" t="str">
        <f t="shared" si="30"/>
        <v>Unemployed</v>
      </c>
      <c r="L281">
        <v>29</v>
      </c>
      <c r="M281">
        <v>497875</v>
      </c>
      <c r="N281">
        <f t="shared" si="31"/>
        <v>497875</v>
      </c>
      <c r="O281">
        <v>443159</v>
      </c>
      <c r="P281">
        <v>8.8800000000000008</v>
      </c>
      <c r="Q281">
        <v>12</v>
      </c>
      <c r="R281" t="s">
        <v>3049</v>
      </c>
      <c r="S281" t="str">
        <f t="shared" si="32"/>
        <v>Business</v>
      </c>
      <c r="T281">
        <v>351</v>
      </c>
      <c r="U281">
        <f t="shared" si="33"/>
        <v>351</v>
      </c>
      <c r="V281">
        <v>0</v>
      </c>
      <c r="W281" t="s">
        <v>3052</v>
      </c>
      <c r="X281" s="3" t="s">
        <v>3325</v>
      </c>
      <c r="Y281" s="3">
        <f t="shared" si="34"/>
        <v>44867</v>
      </c>
      <c r="Z281">
        <v>0.8901</v>
      </c>
    </row>
    <row r="282" spans="1:26" x14ac:dyDescent="0.35">
      <c r="A282" t="s">
        <v>297</v>
      </c>
      <c r="B282" t="str">
        <f t="shared" si="28"/>
        <v>OK</v>
      </c>
      <c r="C282" t="s">
        <v>1787</v>
      </c>
      <c r="D282" s="2">
        <v>59</v>
      </c>
      <c r="E282">
        <f>IF(OR(D282&lt;18, D282&gt;100),AD281,D282)</f>
        <v>59</v>
      </c>
      <c r="F282" t="s">
        <v>2990</v>
      </c>
      <c r="G282" t="str">
        <f t="shared" si="29"/>
        <v>Male</v>
      </c>
      <c r="H282" t="s">
        <v>3007</v>
      </c>
      <c r="I282" t="s">
        <v>3018</v>
      </c>
      <c r="K282" t="str">
        <f t="shared" si="30"/>
        <v>Business Owner</v>
      </c>
      <c r="L282">
        <v>25</v>
      </c>
      <c r="M282">
        <v>2149710</v>
      </c>
      <c r="N282">
        <f t="shared" si="31"/>
        <v>2149710</v>
      </c>
      <c r="O282">
        <v>85149</v>
      </c>
      <c r="P282" t="s">
        <v>3026</v>
      </c>
      <c r="Q282">
        <v>36</v>
      </c>
      <c r="R282" t="s">
        <v>3047</v>
      </c>
      <c r="S282" t="str">
        <f t="shared" si="32"/>
        <v>Personal</v>
      </c>
      <c r="T282">
        <v>324</v>
      </c>
      <c r="U282">
        <f t="shared" si="33"/>
        <v>324</v>
      </c>
      <c r="V282">
        <v>5</v>
      </c>
      <c r="W282" t="s">
        <v>3053</v>
      </c>
      <c r="X282" s="3" t="s">
        <v>3326</v>
      </c>
      <c r="Y282" s="3">
        <f t="shared" si="34"/>
        <v>44590</v>
      </c>
      <c r="Z282">
        <v>3.9600000000000003E-2</v>
      </c>
    </row>
    <row r="283" spans="1:26" x14ac:dyDescent="0.35">
      <c r="A283" t="s">
        <v>298</v>
      </c>
      <c r="B283" t="str">
        <f t="shared" si="28"/>
        <v>OK</v>
      </c>
      <c r="C283" t="s">
        <v>1788</v>
      </c>
      <c r="D283" s="2">
        <v>47</v>
      </c>
      <c r="E283">
        <f>IF(OR(D283&lt;18, D283&gt;100),AD282,D283)</f>
        <v>47</v>
      </c>
      <c r="F283" t="s">
        <v>2990</v>
      </c>
      <c r="G283" t="str">
        <f t="shared" si="29"/>
        <v>Male</v>
      </c>
      <c r="H283" t="s">
        <v>3004</v>
      </c>
      <c r="I283" t="s">
        <v>3020</v>
      </c>
      <c r="K283" t="str">
        <f t="shared" si="30"/>
        <v>Self-Employed</v>
      </c>
      <c r="L283">
        <v>2</v>
      </c>
      <c r="M283">
        <v>2127763</v>
      </c>
      <c r="N283">
        <f t="shared" si="31"/>
        <v>2127763</v>
      </c>
      <c r="O283">
        <v>699447</v>
      </c>
      <c r="P283">
        <v>21.17</v>
      </c>
      <c r="Q283">
        <v>36</v>
      </c>
      <c r="R283" t="s">
        <v>3048</v>
      </c>
      <c r="S283" t="str">
        <f t="shared" si="32"/>
        <v>Home Improvement</v>
      </c>
      <c r="T283">
        <v>714</v>
      </c>
      <c r="U283">
        <f t="shared" si="33"/>
        <v>714</v>
      </c>
      <c r="V283">
        <v>4</v>
      </c>
      <c r="W283" t="s">
        <v>3052</v>
      </c>
      <c r="X283" s="3" t="s">
        <v>3146</v>
      </c>
      <c r="Y283" s="3">
        <f t="shared" si="34"/>
        <v>44935</v>
      </c>
      <c r="Z283">
        <v>0.32869999999999999</v>
      </c>
    </row>
    <row r="284" spans="1:26" x14ac:dyDescent="0.35">
      <c r="A284" t="s">
        <v>299</v>
      </c>
      <c r="B284" t="str">
        <f t="shared" si="28"/>
        <v>OK</v>
      </c>
      <c r="C284" t="s">
        <v>1789</v>
      </c>
      <c r="D284" s="2">
        <v>57</v>
      </c>
      <c r="E284">
        <f>IF(OR(D284&lt;18, D284&gt;100),AD283,D284)</f>
        <v>57</v>
      </c>
      <c r="F284" t="s">
        <v>2990</v>
      </c>
      <c r="G284" t="str">
        <f t="shared" si="29"/>
        <v>Male</v>
      </c>
      <c r="H284" t="s">
        <v>2998</v>
      </c>
      <c r="I284" t="s">
        <v>3018</v>
      </c>
      <c r="K284" t="str">
        <f t="shared" si="30"/>
        <v>Business Owner</v>
      </c>
      <c r="L284">
        <v>28</v>
      </c>
      <c r="M284">
        <v>1658236</v>
      </c>
      <c r="N284">
        <f t="shared" si="31"/>
        <v>1658236</v>
      </c>
      <c r="O284">
        <v>363567</v>
      </c>
      <c r="P284">
        <v>14.87</v>
      </c>
      <c r="Q284">
        <v>12</v>
      </c>
      <c r="R284" t="s">
        <v>3050</v>
      </c>
      <c r="S284" t="str">
        <f t="shared" si="32"/>
        <v>Agriculture</v>
      </c>
      <c r="U284">
        <f t="shared" si="33"/>
        <v>556</v>
      </c>
      <c r="V284">
        <v>3</v>
      </c>
      <c r="W284" t="s">
        <v>3053</v>
      </c>
      <c r="X284" s="3" t="s">
        <v>3327</v>
      </c>
      <c r="Y284" s="3">
        <f t="shared" si="34"/>
        <v>45028</v>
      </c>
      <c r="Z284">
        <v>0.21920000000000001</v>
      </c>
    </row>
    <row r="285" spans="1:26" x14ac:dyDescent="0.35">
      <c r="A285" t="s">
        <v>300</v>
      </c>
      <c r="B285" t="str">
        <f t="shared" si="28"/>
        <v>OK</v>
      </c>
      <c r="C285" t="s">
        <v>1790</v>
      </c>
      <c r="D285" s="2">
        <v>34</v>
      </c>
      <c r="E285">
        <f>IF(OR(D285&lt;18, D285&gt;100),AD284,D285)</f>
        <v>34</v>
      </c>
      <c r="F285" t="s">
        <v>2990</v>
      </c>
      <c r="G285" t="str">
        <f t="shared" si="29"/>
        <v>Male</v>
      </c>
      <c r="H285" t="s">
        <v>3004</v>
      </c>
      <c r="I285" t="s">
        <v>3020</v>
      </c>
      <c r="K285" t="str">
        <f t="shared" si="30"/>
        <v>Self-Employed</v>
      </c>
      <c r="L285">
        <v>26</v>
      </c>
      <c r="N285">
        <f t="shared" si="31"/>
        <v>1333224</v>
      </c>
      <c r="O285">
        <v>311464</v>
      </c>
      <c r="P285">
        <v>24.69</v>
      </c>
      <c r="Q285">
        <v>12</v>
      </c>
      <c r="R285" t="s">
        <v>3047</v>
      </c>
      <c r="S285" t="str">
        <f t="shared" si="32"/>
        <v>Personal</v>
      </c>
      <c r="T285">
        <v>779</v>
      </c>
      <c r="U285">
        <f t="shared" si="33"/>
        <v>779</v>
      </c>
      <c r="V285">
        <v>0</v>
      </c>
      <c r="W285" t="s">
        <v>3057</v>
      </c>
      <c r="X285" s="3" t="s">
        <v>3328</v>
      </c>
      <c r="Y285" s="3">
        <f t="shared" si="34"/>
        <v>44708</v>
      </c>
      <c r="Z285">
        <v>0.26700000000000002</v>
      </c>
    </row>
    <row r="286" spans="1:26" x14ac:dyDescent="0.35">
      <c r="A286" t="s">
        <v>301</v>
      </c>
      <c r="B286" t="str">
        <f t="shared" si="28"/>
        <v>OK</v>
      </c>
      <c r="C286" t="s">
        <v>1791</v>
      </c>
      <c r="D286" s="2">
        <v>31</v>
      </c>
      <c r="E286">
        <f>IF(OR(D286&lt;18, D286&gt;100),AD285,D286)</f>
        <v>31</v>
      </c>
      <c r="F286" t="s">
        <v>2992</v>
      </c>
      <c r="G286" t="str">
        <f t="shared" si="29"/>
        <v>Female</v>
      </c>
      <c r="H286" t="s">
        <v>3007</v>
      </c>
      <c r="I286" t="s">
        <v>3019</v>
      </c>
      <c r="K286" t="str">
        <f t="shared" si="30"/>
        <v>Employed</v>
      </c>
      <c r="L286">
        <v>22</v>
      </c>
      <c r="M286">
        <v>1377162</v>
      </c>
      <c r="N286">
        <f t="shared" si="31"/>
        <v>1377162</v>
      </c>
      <c r="O286">
        <v>628713</v>
      </c>
      <c r="P286">
        <v>14.32</v>
      </c>
      <c r="Q286">
        <v>36</v>
      </c>
      <c r="R286" t="s">
        <v>3047</v>
      </c>
      <c r="S286" t="str">
        <f t="shared" si="32"/>
        <v>Personal</v>
      </c>
      <c r="T286">
        <v>781</v>
      </c>
      <c r="U286">
        <f t="shared" si="33"/>
        <v>781</v>
      </c>
      <c r="V286">
        <v>7</v>
      </c>
      <c r="W286" t="s">
        <v>3055</v>
      </c>
      <c r="X286" s="3" t="s">
        <v>3329</v>
      </c>
      <c r="Y286" s="3">
        <f t="shared" si="34"/>
        <v>45179</v>
      </c>
      <c r="Z286">
        <v>0.45650000000000002</v>
      </c>
    </row>
    <row r="287" spans="1:26" x14ac:dyDescent="0.35">
      <c r="A287" t="s">
        <v>302</v>
      </c>
      <c r="B287" t="str">
        <f t="shared" si="28"/>
        <v>OK</v>
      </c>
      <c r="C287" t="s">
        <v>1792</v>
      </c>
      <c r="D287" s="2">
        <v>50</v>
      </c>
      <c r="E287">
        <f>IF(OR(D287&lt;18, D287&gt;100),AD286,D287)</f>
        <v>50</v>
      </c>
      <c r="F287" t="s">
        <v>2995</v>
      </c>
      <c r="G287" t="str">
        <f t="shared" si="29"/>
        <v>Male</v>
      </c>
      <c r="H287" t="s">
        <v>3006</v>
      </c>
      <c r="I287" t="s">
        <v>3021</v>
      </c>
      <c r="K287" t="str">
        <f t="shared" si="30"/>
        <v>Unemployed</v>
      </c>
      <c r="L287">
        <v>4</v>
      </c>
      <c r="M287">
        <v>1738309</v>
      </c>
      <c r="N287">
        <f t="shared" si="31"/>
        <v>1738309</v>
      </c>
      <c r="O287">
        <v>728387</v>
      </c>
      <c r="P287">
        <v>12.54</v>
      </c>
      <c r="Q287">
        <v>48</v>
      </c>
      <c r="R287" t="s">
        <v>3047</v>
      </c>
      <c r="S287" t="str">
        <f t="shared" si="32"/>
        <v>Personal</v>
      </c>
      <c r="T287">
        <v>767</v>
      </c>
      <c r="U287">
        <f t="shared" si="33"/>
        <v>767</v>
      </c>
      <c r="V287">
        <v>5</v>
      </c>
      <c r="W287" t="s">
        <v>3052</v>
      </c>
      <c r="X287" s="3" t="s">
        <v>3330</v>
      </c>
      <c r="Y287" s="3">
        <f t="shared" si="34"/>
        <v>44190</v>
      </c>
      <c r="Z287">
        <v>0.41899999999999998</v>
      </c>
    </row>
    <row r="288" spans="1:26" x14ac:dyDescent="0.35">
      <c r="A288" t="s">
        <v>303</v>
      </c>
      <c r="B288" t="str">
        <f t="shared" si="28"/>
        <v>OK</v>
      </c>
      <c r="C288" t="s">
        <v>1793</v>
      </c>
      <c r="D288" s="2">
        <v>60</v>
      </c>
      <c r="E288">
        <f>IF(OR(D288&lt;18, D288&gt;100),AD287,D288)</f>
        <v>60</v>
      </c>
      <c r="F288" t="s">
        <v>2992</v>
      </c>
      <c r="G288" t="str">
        <f t="shared" si="29"/>
        <v>Female</v>
      </c>
      <c r="H288" t="s">
        <v>3001</v>
      </c>
      <c r="K288" t="str">
        <f t="shared" si="30"/>
        <v>Unknown</v>
      </c>
      <c r="L288">
        <v>10</v>
      </c>
      <c r="M288">
        <v>1895499</v>
      </c>
      <c r="N288">
        <f t="shared" si="31"/>
        <v>1895499</v>
      </c>
      <c r="O288">
        <v>495828</v>
      </c>
      <c r="P288">
        <v>15.89</v>
      </c>
      <c r="Q288">
        <v>48</v>
      </c>
      <c r="R288" t="s">
        <v>3049</v>
      </c>
      <c r="S288" t="str">
        <f t="shared" si="32"/>
        <v>Business</v>
      </c>
      <c r="T288">
        <v>356</v>
      </c>
      <c r="U288">
        <f t="shared" si="33"/>
        <v>356</v>
      </c>
      <c r="V288">
        <v>7</v>
      </c>
      <c r="W288" t="s">
        <v>3053</v>
      </c>
      <c r="X288" s="3" t="s">
        <v>3331</v>
      </c>
      <c r="Y288" s="3">
        <f t="shared" si="34"/>
        <v>44964</v>
      </c>
      <c r="Z288">
        <v>0.2616</v>
      </c>
    </row>
    <row r="289" spans="1:26" x14ac:dyDescent="0.35">
      <c r="A289" t="s">
        <v>304</v>
      </c>
      <c r="B289" t="str">
        <f t="shared" si="28"/>
        <v>OK</v>
      </c>
      <c r="C289" t="s">
        <v>1794</v>
      </c>
      <c r="D289" s="2">
        <v>21</v>
      </c>
      <c r="E289">
        <f>IF(OR(D289&lt;18, D289&gt;100),AD288,D289)</f>
        <v>21</v>
      </c>
      <c r="F289" t="s">
        <v>2990</v>
      </c>
      <c r="G289" t="str">
        <f t="shared" si="29"/>
        <v>Male</v>
      </c>
      <c r="H289" t="s">
        <v>3004</v>
      </c>
      <c r="K289" t="str">
        <f t="shared" si="30"/>
        <v>Unknown</v>
      </c>
      <c r="L289">
        <v>25</v>
      </c>
      <c r="M289">
        <v>1655153</v>
      </c>
      <c r="N289">
        <f t="shared" si="31"/>
        <v>1655153</v>
      </c>
      <c r="O289">
        <v>254231</v>
      </c>
      <c r="P289">
        <v>19.63</v>
      </c>
      <c r="Q289">
        <v>48</v>
      </c>
      <c r="S289" t="str">
        <f t="shared" si="32"/>
        <v>Unknown</v>
      </c>
      <c r="T289">
        <v>798</v>
      </c>
      <c r="U289">
        <f t="shared" si="33"/>
        <v>798</v>
      </c>
      <c r="V289">
        <v>5</v>
      </c>
      <c r="W289" t="s">
        <v>3054</v>
      </c>
      <c r="X289" s="3" t="s">
        <v>3332</v>
      </c>
      <c r="Y289" s="3">
        <f t="shared" si="34"/>
        <v>45010</v>
      </c>
      <c r="Z289">
        <v>0.15359999999999999</v>
      </c>
    </row>
    <row r="290" spans="1:26" x14ac:dyDescent="0.35">
      <c r="A290" t="s">
        <v>305</v>
      </c>
      <c r="B290" t="str">
        <f t="shared" si="28"/>
        <v>OK</v>
      </c>
      <c r="C290" t="s">
        <v>1795</v>
      </c>
      <c r="D290" s="2">
        <v>41</v>
      </c>
      <c r="E290">
        <f>IF(OR(D290&lt;18, D290&gt;100),AD289,D290)</f>
        <v>41</v>
      </c>
      <c r="F290" t="s">
        <v>2990</v>
      </c>
      <c r="G290" t="str">
        <f t="shared" si="29"/>
        <v>Male</v>
      </c>
      <c r="H290" t="s">
        <v>3005</v>
      </c>
      <c r="I290" t="s">
        <v>3019</v>
      </c>
      <c r="K290" t="str">
        <f t="shared" si="30"/>
        <v>Employed</v>
      </c>
      <c r="L290">
        <v>11</v>
      </c>
      <c r="M290">
        <v>557539</v>
      </c>
      <c r="N290">
        <f t="shared" si="31"/>
        <v>557539</v>
      </c>
      <c r="O290">
        <v>65475</v>
      </c>
      <c r="P290">
        <v>11.49</v>
      </c>
      <c r="Q290">
        <v>60</v>
      </c>
      <c r="R290" t="s">
        <v>3050</v>
      </c>
      <c r="S290" t="str">
        <f t="shared" si="32"/>
        <v>Agriculture</v>
      </c>
      <c r="T290">
        <v>805</v>
      </c>
      <c r="U290">
        <f t="shared" si="33"/>
        <v>805</v>
      </c>
      <c r="V290">
        <v>0</v>
      </c>
      <c r="W290" t="s">
        <v>3055</v>
      </c>
      <c r="X290" s="3" t="s">
        <v>3333</v>
      </c>
      <c r="Y290" s="3">
        <f t="shared" si="34"/>
        <v>44696</v>
      </c>
      <c r="Z290">
        <v>0.1174</v>
      </c>
    </row>
    <row r="291" spans="1:26" x14ac:dyDescent="0.35">
      <c r="A291" t="s">
        <v>306</v>
      </c>
      <c r="B291" t="str">
        <f t="shared" si="28"/>
        <v>OK</v>
      </c>
      <c r="C291" t="s">
        <v>1796</v>
      </c>
      <c r="D291" s="2">
        <v>58</v>
      </c>
      <c r="E291">
        <f>IF(OR(D291&lt;18, D291&gt;100),AD290,D291)</f>
        <v>58</v>
      </c>
      <c r="F291" t="s">
        <v>2990</v>
      </c>
      <c r="G291" t="str">
        <f t="shared" si="29"/>
        <v>Male</v>
      </c>
      <c r="H291" t="s">
        <v>3000</v>
      </c>
      <c r="I291" t="s">
        <v>3021</v>
      </c>
      <c r="K291" t="str">
        <f t="shared" si="30"/>
        <v>Unemployed</v>
      </c>
      <c r="L291">
        <v>8</v>
      </c>
      <c r="M291">
        <v>643937</v>
      </c>
      <c r="N291">
        <f t="shared" si="31"/>
        <v>643937</v>
      </c>
      <c r="O291">
        <v>484310</v>
      </c>
      <c r="P291">
        <v>12.8</v>
      </c>
      <c r="Q291">
        <v>36</v>
      </c>
      <c r="R291" t="s">
        <v>3051</v>
      </c>
      <c r="S291" t="str">
        <f t="shared" si="32"/>
        <v>Education</v>
      </c>
      <c r="T291">
        <v>430</v>
      </c>
      <c r="U291">
        <f t="shared" si="33"/>
        <v>430</v>
      </c>
      <c r="V291">
        <v>7</v>
      </c>
      <c r="W291" t="s">
        <v>3053</v>
      </c>
      <c r="X291" s="3" t="s">
        <v>3334</v>
      </c>
      <c r="Y291" s="3">
        <f t="shared" si="34"/>
        <v>44756</v>
      </c>
      <c r="Z291">
        <v>0.75209999999999999</v>
      </c>
    </row>
    <row r="292" spans="1:26" x14ac:dyDescent="0.35">
      <c r="A292" t="s">
        <v>307</v>
      </c>
      <c r="B292" t="str">
        <f t="shared" si="28"/>
        <v>OK</v>
      </c>
      <c r="C292" t="s">
        <v>1797</v>
      </c>
      <c r="D292" s="2">
        <v>30</v>
      </c>
      <c r="E292">
        <f>IF(OR(D292&lt;18, D292&gt;100),AD291,D292)</f>
        <v>30</v>
      </c>
      <c r="F292" t="s">
        <v>2990</v>
      </c>
      <c r="G292" t="str">
        <f t="shared" si="29"/>
        <v>Male</v>
      </c>
      <c r="H292" t="s">
        <v>3002</v>
      </c>
      <c r="I292" t="s">
        <v>3020</v>
      </c>
      <c r="K292" t="str">
        <f t="shared" si="30"/>
        <v>Self-Employed</v>
      </c>
      <c r="L292">
        <v>7</v>
      </c>
      <c r="M292">
        <v>1013731</v>
      </c>
      <c r="N292">
        <f t="shared" si="31"/>
        <v>1013731</v>
      </c>
      <c r="O292">
        <v>542710</v>
      </c>
      <c r="P292">
        <v>11.62</v>
      </c>
      <c r="Q292">
        <v>60</v>
      </c>
      <c r="R292" t="s">
        <v>3046</v>
      </c>
      <c r="S292" t="str">
        <f t="shared" si="32"/>
        <v>Medical</v>
      </c>
      <c r="T292">
        <v>650</v>
      </c>
      <c r="U292">
        <f t="shared" si="33"/>
        <v>650</v>
      </c>
      <c r="V292">
        <v>1</v>
      </c>
      <c r="W292" t="s">
        <v>3055</v>
      </c>
      <c r="X292" s="3" t="s">
        <v>3335</v>
      </c>
      <c r="Y292" s="3">
        <f t="shared" si="34"/>
        <v>44651</v>
      </c>
      <c r="Z292">
        <v>0.53539999999999999</v>
      </c>
    </row>
    <row r="293" spans="1:26" x14ac:dyDescent="0.35">
      <c r="A293" t="s">
        <v>308</v>
      </c>
      <c r="B293" t="str">
        <f t="shared" si="28"/>
        <v>OK</v>
      </c>
      <c r="C293" t="s">
        <v>1798</v>
      </c>
      <c r="D293" s="2">
        <v>45</v>
      </c>
      <c r="E293">
        <f>IF(OR(D293&lt;18, D293&gt;100),AD292,D293)</f>
        <v>45</v>
      </c>
      <c r="F293" t="s">
        <v>2990</v>
      </c>
      <c r="G293" t="str">
        <f t="shared" si="29"/>
        <v>Male</v>
      </c>
      <c r="H293" t="s">
        <v>3004</v>
      </c>
      <c r="I293" t="s">
        <v>3021</v>
      </c>
      <c r="K293" t="str">
        <f t="shared" si="30"/>
        <v>Unemployed</v>
      </c>
      <c r="L293">
        <v>24</v>
      </c>
      <c r="M293">
        <v>240545</v>
      </c>
      <c r="N293">
        <f t="shared" si="31"/>
        <v>240545</v>
      </c>
      <c r="O293">
        <v>262188</v>
      </c>
      <c r="P293">
        <v>18.89</v>
      </c>
      <c r="Q293">
        <v>36</v>
      </c>
      <c r="R293" t="s">
        <v>3051</v>
      </c>
      <c r="S293" t="str">
        <f t="shared" si="32"/>
        <v>Education</v>
      </c>
      <c r="T293">
        <v>478</v>
      </c>
      <c r="U293">
        <f t="shared" si="33"/>
        <v>478</v>
      </c>
      <c r="V293">
        <v>6</v>
      </c>
      <c r="W293" t="s">
        <v>3054</v>
      </c>
      <c r="X293" s="3" t="s">
        <v>3336</v>
      </c>
      <c r="Y293" s="3">
        <f t="shared" si="34"/>
        <v>44891</v>
      </c>
      <c r="Z293">
        <v>1.0900000000000001</v>
      </c>
    </row>
    <row r="294" spans="1:26" x14ac:dyDescent="0.35">
      <c r="A294" t="s">
        <v>309</v>
      </c>
      <c r="B294" t="str">
        <f t="shared" si="28"/>
        <v>OK</v>
      </c>
      <c r="C294" t="s">
        <v>1799</v>
      </c>
      <c r="D294" s="2">
        <v>36</v>
      </c>
      <c r="E294">
        <f>IF(OR(D294&lt;18, D294&gt;100),AD293,D294)</f>
        <v>36</v>
      </c>
      <c r="F294" t="s">
        <v>2992</v>
      </c>
      <c r="G294" t="str">
        <f t="shared" si="29"/>
        <v>Female</v>
      </c>
      <c r="H294" t="s">
        <v>3007</v>
      </c>
      <c r="I294" t="s">
        <v>3020</v>
      </c>
      <c r="K294" t="str">
        <f t="shared" si="30"/>
        <v>Self-Employed</v>
      </c>
      <c r="L294">
        <v>20</v>
      </c>
      <c r="M294">
        <v>1477638</v>
      </c>
      <c r="N294">
        <f t="shared" si="31"/>
        <v>1477638</v>
      </c>
      <c r="O294">
        <v>306479</v>
      </c>
      <c r="P294">
        <v>8.42</v>
      </c>
      <c r="Q294">
        <v>36</v>
      </c>
      <c r="R294" t="s">
        <v>3050</v>
      </c>
      <c r="S294" t="str">
        <f t="shared" si="32"/>
        <v>Agriculture</v>
      </c>
      <c r="U294">
        <f t="shared" si="33"/>
        <v>556</v>
      </c>
      <c r="V294">
        <v>6</v>
      </c>
      <c r="W294" t="s">
        <v>3055</v>
      </c>
      <c r="X294" s="3" t="s">
        <v>3337</v>
      </c>
      <c r="Y294" s="3">
        <f t="shared" si="34"/>
        <v>44752</v>
      </c>
      <c r="Z294">
        <v>0.2074</v>
      </c>
    </row>
    <row r="295" spans="1:26" x14ac:dyDescent="0.35">
      <c r="A295" t="s">
        <v>310</v>
      </c>
      <c r="B295" t="str">
        <f t="shared" si="28"/>
        <v>OK</v>
      </c>
      <c r="C295" t="s">
        <v>1800</v>
      </c>
      <c r="D295" s="2">
        <v>36</v>
      </c>
      <c r="E295">
        <f>IF(OR(D295&lt;18, D295&gt;100),AD294,D295)</f>
        <v>36</v>
      </c>
      <c r="F295" t="s">
        <v>2992</v>
      </c>
      <c r="G295" t="str">
        <f t="shared" si="29"/>
        <v>Female</v>
      </c>
      <c r="H295" t="s">
        <v>3005</v>
      </c>
      <c r="I295" t="s">
        <v>3019</v>
      </c>
      <c r="K295" t="str">
        <f t="shared" si="30"/>
        <v>Employed</v>
      </c>
      <c r="L295">
        <v>7</v>
      </c>
      <c r="M295">
        <v>994037</v>
      </c>
      <c r="N295">
        <f t="shared" si="31"/>
        <v>994037</v>
      </c>
      <c r="O295">
        <v>107051</v>
      </c>
      <c r="P295">
        <v>21.51</v>
      </c>
      <c r="Q295">
        <v>60</v>
      </c>
      <c r="R295" t="s">
        <v>3046</v>
      </c>
      <c r="S295" t="str">
        <f t="shared" si="32"/>
        <v>Medical</v>
      </c>
      <c r="T295">
        <v>404</v>
      </c>
      <c r="U295">
        <f t="shared" si="33"/>
        <v>404</v>
      </c>
      <c r="V295">
        <v>0</v>
      </c>
      <c r="W295" t="s">
        <v>3057</v>
      </c>
      <c r="X295" s="3" t="s">
        <v>3139</v>
      </c>
      <c r="Y295" s="3">
        <f t="shared" si="34"/>
        <v>44823</v>
      </c>
      <c r="Z295">
        <v>0.1077</v>
      </c>
    </row>
    <row r="296" spans="1:26" x14ac:dyDescent="0.35">
      <c r="A296" t="s">
        <v>311</v>
      </c>
      <c r="B296" t="str">
        <f t="shared" si="28"/>
        <v>OK</v>
      </c>
      <c r="C296" t="s">
        <v>1801</v>
      </c>
      <c r="D296" s="2">
        <v>22</v>
      </c>
      <c r="E296">
        <f>IF(OR(D296&lt;18, D296&gt;100),AD295,D296)</f>
        <v>22</v>
      </c>
      <c r="F296" t="s">
        <v>2992</v>
      </c>
      <c r="G296" t="str">
        <f t="shared" si="29"/>
        <v>Female</v>
      </c>
      <c r="H296" t="s">
        <v>3012</v>
      </c>
      <c r="K296" t="str">
        <f t="shared" si="30"/>
        <v>Unknown</v>
      </c>
      <c r="L296">
        <v>1</v>
      </c>
      <c r="M296">
        <v>1239325</v>
      </c>
      <c r="N296">
        <f t="shared" si="31"/>
        <v>1239325</v>
      </c>
      <c r="O296">
        <v>399270</v>
      </c>
      <c r="P296">
        <v>20.98</v>
      </c>
      <c r="Q296">
        <v>12</v>
      </c>
      <c r="R296" t="s">
        <v>3046</v>
      </c>
      <c r="S296" t="str">
        <f t="shared" si="32"/>
        <v>Medical</v>
      </c>
      <c r="T296">
        <v>522</v>
      </c>
      <c r="U296">
        <f t="shared" si="33"/>
        <v>522</v>
      </c>
      <c r="V296">
        <v>3</v>
      </c>
      <c r="W296" t="s">
        <v>3055</v>
      </c>
      <c r="X296" s="3" t="s">
        <v>3338</v>
      </c>
      <c r="Y296" s="3">
        <f t="shared" si="34"/>
        <v>44691</v>
      </c>
      <c r="Z296">
        <v>0.32219999999999999</v>
      </c>
    </row>
    <row r="297" spans="1:26" x14ac:dyDescent="0.35">
      <c r="A297" t="s">
        <v>312</v>
      </c>
      <c r="B297" t="str">
        <f t="shared" si="28"/>
        <v>OK</v>
      </c>
      <c r="C297" t="s">
        <v>1802</v>
      </c>
      <c r="D297" s="2">
        <v>52</v>
      </c>
      <c r="E297">
        <f>IF(OR(D297&lt;18, D297&gt;100),AD296,D297)</f>
        <v>52</v>
      </c>
      <c r="F297" t="s">
        <v>2992</v>
      </c>
      <c r="G297" t="str">
        <f t="shared" si="29"/>
        <v>Female</v>
      </c>
      <c r="H297" t="s">
        <v>3001</v>
      </c>
      <c r="I297" t="s">
        <v>3018</v>
      </c>
      <c r="K297" t="str">
        <f t="shared" si="30"/>
        <v>Business Owner</v>
      </c>
      <c r="L297">
        <v>13</v>
      </c>
      <c r="M297">
        <v>1729302</v>
      </c>
      <c r="N297">
        <f t="shared" si="31"/>
        <v>1729302</v>
      </c>
      <c r="O297">
        <v>441217</v>
      </c>
      <c r="P297">
        <v>26.77</v>
      </c>
      <c r="Q297">
        <v>60</v>
      </c>
      <c r="R297" t="s">
        <v>3047</v>
      </c>
      <c r="S297" t="str">
        <f t="shared" si="32"/>
        <v>Personal</v>
      </c>
      <c r="T297">
        <v>390</v>
      </c>
      <c r="U297">
        <f t="shared" si="33"/>
        <v>390</v>
      </c>
      <c r="V297">
        <v>6</v>
      </c>
      <c r="W297" t="s">
        <v>3056</v>
      </c>
      <c r="X297" s="3" t="s">
        <v>3339</v>
      </c>
      <c r="Y297" s="3">
        <f t="shared" si="34"/>
        <v>45049</v>
      </c>
      <c r="Z297">
        <v>0.25509999999999999</v>
      </c>
    </row>
    <row r="298" spans="1:26" x14ac:dyDescent="0.35">
      <c r="A298" t="s">
        <v>313</v>
      </c>
      <c r="B298" t="str">
        <f t="shared" si="28"/>
        <v>OK</v>
      </c>
      <c r="C298" t="s">
        <v>1803</v>
      </c>
      <c r="D298" s="2">
        <v>60</v>
      </c>
      <c r="E298">
        <f>IF(OR(D298&lt;18, D298&gt;100),AD297,D298)</f>
        <v>60</v>
      </c>
      <c r="F298" t="s">
        <v>2996</v>
      </c>
      <c r="G298" t="str">
        <f t="shared" si="29"/>
        <v>Female</v>
      </c>
      <c r="H298" t="s">
        <v>3000</v>
      </c>
      <c r="I298" t="s">
        <v>3021</v>
      </c>
      <c r="K298" t="str">
        <f t="shared" si="30"/>
        <v>Unemployed</v>
      </c>
      <c r="L298">
        <v>20</v>
      </c>
      <c r="M298">
        <v>676758</v>
      </c>
      <c r="N298">
        <f t="shared" si="31"/>
        <v>676758</v>
      </c>
      <c r="O298">
        <v>318335</v>
      </c>
      <c r="P298">
        <v>16.36</v>
      </c>
      <c r="Q298">
        <v>36</v>
      </c>
      <c r="R298" t="s">
        <v>3051</v>
      </c>
      <c r="S298" t="str">
        <f t="shared" si="32"/>
        <v>Education</v>
      </c>
      <c r="T298">
        <v>761</v>
      </c>
      <c r="U298">
        <f t="shared" si="33"/>
        <v>761</v>
      </c>
      <c r="V298">
        <v>7</v>
      </c>
      <c r="W298" t="s">
        <v>3053</v>
      </c>
      <c r="X298" s="3" t="s">
        <v>3340</v>
      </c>
      <c r="Y298" s="3">
        <f t="shared" si="34"/>
        <v>45048</v>
      </c>
      <c r="Z298">
        <v>0.47039999999999998</v>
      </c>
    </row>
    <row r="299" spans="1:26" x14ac:dyDescent="0.35">
      <c r="A299" t="s">
        <v>314</v>
      </c>
      <c r="B299" t="str">
        <f t="shared" si="28"/>
        <v>OK</v>
      </c>
      <c r="C299" t="s">
        <v>1804</v>
      </c>
      <c r="D299" s="2">
        <v>54</v>
      </c>
      <c r="E299">
        <f>IF(OR(D299&lt;18, D299&gt;100),AD298,D299)</f>
        <v>54</v>
      </c>
      <c r="F299" t="s">
        <v>2990</v>
      </c>
      <c r="G299" t="str">
        <f t="shared" si="29"/>
        <v>Male</v>
      </c>
      <c r="H299" t="s">
        <v>3001</v>
      </c>
      <c r="I299" t="s">
        <v>3021</v>
      </c>
      <c r="K299" t="str">
        <f t="shared" si="30"/>
        <v>Unemployed</v>
      </c>
      <c r="L299">
        <v>26</v>
      </c>
      <c r="M299">
        <v>1183171</v>
      </c>
      <c r="N299">
        <f t="shared" si="31"/>
        <v>1183171</v>
      </c>
      <c r="O299">
        <v>721160</v>
      </c>
      <c r="P299">
        <v>12.33</v>
      </c>
      <c r="Q299">
        <v>60</v>
      </c>
      <c r="R299" t="s">
        <v>3050</v>
      </c>
      <c r="S299" t="str">
        <f t="shared" si="32"/>
        <v>Agriculture</v>
      </c>
      <c r="T299">
        <v>548</v>
      </c>
      <c r="U299">
        <f t="shared" si="33"/>
        <v>548</v>
      </c>
      <c r="V299">
        <v>3</v>
      </c>
      <c r="W299" t="s">
        <v>3056</v>
      </c>
      <c r="X299" s="3" t="s">
        <v>3341</v>
      </c>
      <c r="Y299" s="3">
        <f t="shared" si="34"/>
        <v>44337</v>
      </c>
      <c r="Z299">
        <v>0.60950000000000004</v>
      </c>
    </row>
    <row r="300" spans="1:26" x14ac:dyDescent="0.35">
      <c r="A300" t="s">
        <v>315</v>
      </c>
      <c r="B300" t="str">
        <f t="shared" si="28"/>
        <v>OK</v>
      </c>
      <c r="C300" t="s">
        <v>1805</v>
      </c>
      <c r="D300" s="2">
        <v>24</v>
      </c>
      <c r="E300">
        <f>IF(OR(D300&lt;18, D300&gt;100),AD299,D300)</f>
        <v>24</v>
      </c>
      <c r="F300" t="s">
        <v>2990</v>
      </c>
      <c r="G300" t="str">
        <f t="shared" si="29"/>
        <v>Male</v>
      </c>
      <c r="H300" t="s">
        <v>3001</v>
      </c>
      <c r="I300" t="s">
        <v>3020</v>
      </c>
      <c r="K300" t="str">
        <f t="shared" si="30"/>
        <v>Self-Employed</v>
      </c>
      <c r="L300">
        <v>14</v>
      </c>
      <c r="M300">
        <v>1801219</v>
      </c>
      <c r="N300">
        <f t="shared" si="31"/>
        <v>1801219</v>
      </c>
      <c r="O300">
        <v>96361</v>
      </c>
      <c r="P300">
        <v>26.82</v>
      </c>
      <c r="Q300">
        <v>48</v>
      </c>
      <c r="R300" t="s">
        <v>3048</v>
      </c>
      <c r="S300" t="str">
        <f t="shared" si="32"/>
        <v>Home Improvement</v>
      </c>
      <c r="T300">
        <v>451</v>
      </c>
      <c r="U300">
        <f t="shared" si="33"/>
        <v>451</v>
      </c>
      <c r="V300">
        <v>2</v>
      </c>
      <c r="W300" t="s">
        <v>3053</v>
      </c>
      <c r="X300" s="3" t="s">
        <v>3328</v>
      </c>
      <c r="Y300" s="3">
        <f t="shared" si="34"/>
        <v>44708</v>
      </c>
      <c r="Z300">
        <v>5.3499999999999999E-2</v>
      </c>
    </row>
    <row r="301" spans="1:26" x14ac:dyDescent="0.35">
      <c r="A301" t="s">
        <v>316</v>
      </c>
      <c r="B301" t="str">
        <f t="shared" si="28"/>
        <v>OK</v>
      </c>
      <c r="C301" t="s">
        <v>1806</v>
      </c>
      <c r="D301" s="2">
        <v>64</v>
      </c>
      <c r="E301">
        <f>IF(OR(D301&lt;18, D301&gt;100),AD300,D301)</f>
        <v>64</v>
      </c>
      <c r="F301" t="s">
        <v>2992</v>
      </c>
      <c r="G301" t="str">
        <f t="shared" si="29"/>
        <v>Female</v>
      </c>
      <c r="H301" t="s">
        <v>3005</v>
      </c>
      <c r="I301" t="s">
        <v>3021</v>
      </c>
      <c r="K301" t="str">
        <f t="shared" si="30"/>
        <v>Unemployed</v>
      </c>
      <c r="L301">
        <v>26</v>
      </c>
      <c r="M301">
        <v>622061</v>
      </c>
      <c r="N301">
        <f t="shared" si="31"/>
        <v>622061</v>
      </c>
      <c r="O301">
        <v>754983</v>
      </c>
      <c r="P301">
        <v>19.940000000000001</v>
      </c>
      <c r="Q301">
        <v>36</v>
      </c>
      <c r="R301" t="s">
        <v>3048</v>
      </c>
      <c r="S301" t="str">
        <f t="shared" si="32"/>
        <v>Home Improvement</v>
      </c>
      <c r="T301">
        <v>414</v>
      </c>
      <c r="U301">
        <f t="shared" si="33"/>
        <v>414</v>
      </c>
      <c r="V301">
        <v>6</v>
      </c>
      <c r="W301" t="s">
        <v>3054</v>
      </c>
      <c r="X301" s="3" t="s">
        <v>3342</v>
      </c>
      <c r="Y301" s="3">
        <f t="shared" si="34"/>
        <v>44086</v>
      </c>
      <c r="Z301">
        <v>1.2137</v>
      </c>
    </row>
    <row r="302" spans="1:26" x14ac:dyDescent="0.35">
      <c r="A302" t="s">
        <v>317</v>
      </c>
      <c r="B302" t="str">
        <f t="shared" si="28"/>
        <v>OK</v>
      </c>
      <c r="C302" t="s">
        <v>1807</v>
      </c>
      <c r="D302" s="2">
        <v>48</v>
      </c>
      <c r="E302">
        <f>IF(OR(D302&lt;18, D302&gt;100),AD301,D302)</f>
        <v>48</v>
      </c>
      <c r="F302" t="s">
        <v>2992</v>
      </c>
      <c r="G302" t="str">
        <f t="shared" si="29"/>
        <v>Female</v>
      </c>
      <c r="H302" t="s">
        <v>3001</v>
      </c>
      <c r="I302" t="s">
        <v>3021</v>
      </c>
      <c r="K302" t="str">
        <f t="shared" si="30"/>
        <v>Unemployed</v>
      </c>
      <c r="L302">
        <v>12</v>
      </c>
      <c r="M302">
        <v>690370</v>
      </c>
      <c r="N302">
        <f t="shared" si="31"/>
        <v>690370</v>
      </c>
      <c r="O302">
        <v>563898</v>
      </c>
      <c r="P302">
        <v>12.08</v>
      </c>
      <c r="Q302">
        <v>12</v>
      </c>
      <c r="R302" t="s">
        <v>3051</v>
      </c>
      <c r="S302" t="str">
        <f t="shared" si="32"/>
        <v>Education</v>
      </c>
      <c r="T302">
        <v>585</v>
      </c>
      <c r="U302">
        <f t="shared" si="33"/>
        <v>585</v>
      </c>
      <c r="V302">
        <v>4</v>
      </c>
      <c r="W302" t="s">
        <v>3053</v>
      </c>
      <c r="X302" s="3" t="s">
        <v>3343</v>
      </c>
      <c r="Y302" s="3">
        <f t="shared" si="34"/>
        <v>44049</v>
      </c>
      <c r="Z302">
        <v>0.81679999999999997</v>
      </c>
    </row>
    <row r="303" spans="1:26" x14ac:dyDescent="0.35">
      <c r="A303" t="s">
        <v>318</v>
      </c>
      <c r="B303" t="str">
        <f t="shared" si="28"/>
        <v>OK</v>
      </c>
      <c r="C303" t="s">
        <v>1808</v>
      </c>
      <c r="D303" s="2">
        <v>22</v>
      </c>
      <c r="E303">
        <f>IF(OR(D303&lt;18, D303&gt;100),AD302,D303)</f>
        <v>22</v>
      </c>
      <c r="F303" t="s">
        <v>2992</v>
      </c>
      <c r="G303" t="str">
        <f t="shared" si="29"/>
        <v>Female</v>
      </c>
      <c r="H303" t="s">
        <v>3002</v>
      </c>
      <c r="I303" t="s">
        <v>3019</v>
      </c>
      <c r="K303" t="str">
        <f t="shared" si="30"/>
        <v>Employed</v>
      </c>
      <c r="L303">
        <v>19</v>
      </c>
      <c r="N303">
        <f t="shared" si="31"/>
        <v>1333224</v>
      </c>
      <c r="O303">
        <v>134397</v>
      </c>
      <c r="P303">
        <v>19.899999999999999</v>
      </c>
      <c r="Q303">
        <v>12</v>
      </c>
      <c r="R303" t="s">
        <v>3049</v>
      </c>
      <c r="S303" t="str">
        <f t="shared" si="32"/>
        <v>Business</v>
      </c>
      <c r="T303">
        <v>353</v>
      </c>
      <c r="U303">
        <f t="shared" si="33"/>
        <v>353</v>
      </c>
      <c r="V303">
        <v>4</v>
      </c>
      <c r="W303" t="s">
        <v>3057</v>
      </c>
      <c r="X303" s="3" t="s">
        <v>3344</v>
      </c>
      <c r="Y303" s="3">
        <f t="shared" si="34"/>
        <v>44921</v>
      </c>
      <c r="Z303">
        <v>0.63</v>
      </c>
    </row>
    <row r="304" spans="1:26" x14ac:dyDescent="0.35">
      <c r="A304" t="s">
        <v>319</v>
      </c>
      <c r="B304" t="str">
        <f t="shared" si="28"/>
        <v>OK</v>
      </c>
      <c r="C304" t="s">
        <v>1809</v>
      </c>
      <c r="D304" s="2">
        <v>52</v>
      </c>
      <c r="E304">
        <f>IF(OR(D304&lt;18, D304&gt;100),AD303,D304)</f>
        <v>52</v>
      </c>
      <c r="F304" t="s">
        <v>2992</v>
      </c>
      <c r="G304" t="str">
        <f t="shared" si="29"/>
        <v>Female</v>
      </c>
      <c r="H304" t="s">
        <v>3000</v>
      </c>
      <c r="I304" t="s">
        <v>3021</v>
      </c>
      <c r="K304" t="str">
        <f t="shared" si="30"/>
        <v>Unemployed</v>
      </c>
      <c r="L304">
        <v>10</v>
      </c>
      <c r="M304">
        <v>290155</v>
      </c>
      <c r="N304">
        <f t="shared" si="31"/>
        <v>290155</v>
      </c>
      <c r="O304">
        <v>399413</v>
      </c>
      <c r="P304">
        <v>25.52</v>
      </c>
      <c r="Q304">
        <v>24</v>
      </c>
      <c r="R304" t="s">
        <v>3048</v>
      </c>
      <c r="S304" t="str">
        <f t="shared" si="32"/>
        <v>Home Improvement</v>
      </c>
      <c r="T304">
        <v>775</v>
      </c>
      <c r="U304">
        <f t="shared" si="33"/>
        <v>775</v>
      </c>
      <c r="V304">
        <v>2</v>
      </c>
      <c r="W304" t="s">
        <v>3055</v>
      </c>
      <c r="X304" s="3" t="s">
        <v>3345</v>
      </c>
      <c r="Y304" s="3">
        <f t="shared" si="34"/>
        <v>44766</v>
      </c>
      <c r="Z304">
        <v>1.3766</v>
      </c>
    </row>
    <row r="305" spans="1:26" x14ac:dyDescent="0.35">
      <c r="A305" t="s">
        <v>320</v>
      </c>
      <c r="B305" t="str">
        <f t="shared" si="28"/>
        <v>OK</v>
      </c>
      <c r="C305" t="s">
        <v>1810</v>
      </c>
      <c r="D305" s="2">
        <v>31</v>
      </c>
      <c r="E305">
        <f>IF(OR(D305&lt;18, D305&gt;100),AD304,D305)</f>
        <v>31</v>
      </c>
      <c r="F305" t="s">
        <v>2990</v>
      </c>
      <c r="G305" t="str">
        <f t="shared" si="29"/>
        <v>Male</v>
      </c>
      <c r="H305" t="s">
        <v>3001</v>
      </c>
      <c r="I305" t="s">
        <v>3019</v>
      </c>
      <c r="K305" t="str">
        <f t="shared" si="30"/>
        <v>Employed</v>
      </c>
      <c r="L305">
        <v>11</v>
      </c>
      <c r="M305">
        <v>491955</v>
      </c>
      <c r="N305">
        <f t="shared" si="31"/>
        <v>491955</v>
      </c>
      <c r="O305">
        <v>96709</v>
      </c>
      <c r="P305">
        <v>15.16</v>
      </c>
      <c r="Q305">
        <v>36</v>
      </c>
      <c r="R305" t="s">
        <v>3050</v>
      </c>
      <c r="S305" t="str">
        <f t="shared" si="32"/>
        <v>Agriculture</v>
      </c>
      <c r="T305">
        <v>727</v>
      </c>
      <c r="U305">
        <f t="shared" si="33"/>
        <v>727</v>
      </c>
      <c r="V305">
        <v>0</v>
      </c>
      <c r="W305" t="s">
        <v>3055</v>
      </c>
      <c r="X305" s="3" t="s">
        <v>3245</v>
      </c>
      <c r="Y305" s="3">
        <f t="shared" si="34"/>
        <v>44458</v>
      </c>
      <c r="Z305">
        <v>0.1966</v>
      </c>
    </row>
    <row r="306" spans="1:26" x14ac:dyDescent="0.35">
      <c r="A306" t="s">
        <v>321</v>
      </c>
      <c r="B306" t="str">
        <f t="shared" si="28"/>
        <v>OK</v>
      </c>
      <c r="C306" t="s">
        <v>1811</v>
      </c>
      <c r="D306" s="2">
        <v>49</v>
      </c>
      <c r="E306">
        <f>IF(OR(D306&lt;18, D306&gt;100),AD305,D306)</f>
        <v>49</v>
      </c>
      <c r="F306" t="s">
        <v>2990</v>
      </c>
      <c r="G306" t="str">
        <f t="shared" si="29"/>
        <v>Male</v>
      </c>
      <c r="H306" t="s">
        <v>3006</v>
      </c>
      <c r="I306" t="s">
        <v>3020</v>
      </c>
      <c r="K306" t="str">
        <f t="shared" si="30"/>
        <v>Self-Employed</v>
      </c>
      <c r="L306">
        <v>11</v>
      </c>
      <c r="M306">
        <v>594299</v>
      </c>
      <c r="N306">
        <f t="shared" si="31"/>
        <v>594299</v>
      </c>
      <c r="O306">
        <v>621982</v>
      </c>
      <c r="P306">
        <v>16.71</v>
      </c>
      <c r="Q306">
        <v>24</v>
      </c>
      <c r="R306" t="s">
        <v>3051</v>
      </c>
      <c r="S306" t="str">
        <f t="shared" si="32"/>
        <v>Education</v>
      </c>
      <c r="T306">
        <v>739</v>
      </c>
      <c r="U306">
        <f t="shared" si="33"/>
        <v>739</v>
      </c>
      <c r="V306">
        <v>4</v>
      </c>
      <c r="W306" t="s">
        <v>3055</v>
      </c>
      <c r="X306" s="3" t="s">
        <v>3346</v>
      </c>
      <c r="Y306" s="3">
        <f t="shared" si="34"/>
        <v>44946</v>
      </c>
      <c r="Z306">
        <v>1.0466</v>
      </c>
    </row>
    <row r="307" spans="1:26" x14ac:dyDescent="0.35">
      <c r="A307" t="s">
        <v>322</v>
      </c>
      <c r="B307" t="str">
        <f t="shared" si="28"/>
        <v>OK</v>
      </c>
      <c r="C307" t="s">
        <v>1812</v>
      </c>
      <c r="D307" s="2">
        <v>46</v>
      </c>
      <c r="E307">
        <f>IF(OR(D307&lt;18, D307&gt;100),AD306,D307)</f>
        <v>46</v>
      </c>
      <c r="F307" t="s">
        <v>2990</v>
      </c>
      <c r="G307" t="str">
        <f t="shared" si="29"/>
        <v>Male</v>
      </c>
      <c r="H307" t="s">
        <v>3014</v>
      </c>
      <c r="I307" t="s">
        <v>3020</v>
      </c>
      <c r="K307" t="str">
        <f t="shared" si="30"/>
        <v>Self-Employed</v>
      </c>
      <c r="L307">
        <v>17</v>
      </c>
      <c r="M307">
        <v>496205</v>
      </c>
      <c r="N307">
        <f t="shared" si="31"/>
        <v>496205</v>
      </c>
      <c r="O307">
        <v>519797</v>
      </c>
      <c r="P307">
        <v>11.26</v>
      </c>
      <c r="Q307">
        <v>36</v>
      </c>
      <c r="R307" t="s">
        <v>3046</v>
      </c>
      <c r="S307" t="str">
        <f t="shared" si="32"/>
        <v>Medical</v>
      </c>
      <c r="T307">
        <v>502</v>
      </c>
      <c r="U307">
        <f t="shared" si="33"/>
        <v>502</v>
      </c>
      <c r="V307">
        <v>3</v>
      </c>
      <c r="W307" t="s">
        <v>3052</v>
      </c>
      <c r="X307" s="3" t="s">
        <v>3347</v>
      </c>
      <c r="Y307" s="3">
        <f t="shared" si="34"/>
        <v>44478</v>
      </c>
      <c r="Z307">
        <v>1.0475000000000001</v>
      </c>
    </row>
    <row r="308" spans="1:26" x14ac:dyDescent="0.35">
      <c r="A308" t="s">
        <v>323</v>
      </c>
      <c r="B308" t="str">
        <f t="shared" si="28"/>
        <v>OK</v>
      </c>
      <c r="C308" t="s">
        <v>1813</v>
      </c>
      <c r="D308" s="2">
        <v>25</v>
      </c>
      <c r="E308">
        <f>IF(OR(D308&lt;18, D308&gt;100),AD307,D308)</f>
        <v>25</v>
      </c>
      <c r="F308" t="s">
        <v>2992</v>
      </c>
      <c r="G308" t="str">
        <f t="shared" si="29"/>
        <v>Female</v>
      </c>
      <c r="H308" t="s">
        <v>3002</v>
      </c>
      <c r="I308" t="s">
        <v>3021</v>
      </c>
      <c r="K308" t="str">
        <f t="shared" si="30"/>
        <v>Unemployed</v>
      </c>
      <c r="L308">
        <v>13</v>
      </c>
      <c r="M308">
        <v>2072064</v>
      </c>
      <c r="N308">
        <f t="shared" si="31"/>
        <v>2072064</v>
      </c>
      <c r="O308">
        <v>328617</v>
      </c>
      <c r="P308">
        <v>21.24</v>
      </c>
      <c r="Q308">
        <v>60</v>
      </c>
      <c r="R308" t="s">
        <v>3048</v>
      </c>
      <c r="S308" t="str">
        <f t="shared" si="32"/>
        <v>Home Improvement</v>
      </c>
      <c r="T308">
        <v>528</v>
      </c>
      <c r="U308">
        <f t="shared" si="33"/>
        <v>528</v>
      </c>
      <c r="V308">
        <v>2</v>
      </c>
      <c r="W308" t="s">
        <v>3055</v>
      </c>
      <c r="X308" s="3" t="s">
        <v>3348</v>
      </c>
      <c r="Y308" s="3">
        <f t="shared" si="34"/>
        <v>45180</v>
      </c>
      <c r="Z308">
        <v>0.15859999999999999</v>
      </c>
    </row>
    <row r="309" spans="1:26" x14ac:dyDescent="0.35">
      <c r="A309" t="s">
        <v>324</v>
      </c>
      <c r="B309" t="str">
        <f t="shared" si="28"/>
        <v>OK</v>
      </c>
      <c r="C309" t="s">
        <v>1814</v>
      </c>
      <c r="D309" s="2">
        <v>46</v>
      </c>
      <c r="E309">
        <f>IF(OR(D309&lt;18, D309&gt;100),AD308,D309)</f>
        <v>46</v>
      </c>
      <c r="F309" t="s">
        <v>2990</v>
      </c>
      <c r="G309" t="str">
        <f t="shared" si="29"/>
        <v>Male</v>
      </c>
      <c r="H309" t="s">
        <v>3005</v>
      </c>
      <c r="I309" t="s">
        <v>3018</v>
      </c>
      <c r="K309" t="str">
        <f t="shared" si="30"/>
        <v>Business Owner</v>
      </c>
      <c r="L309">
        <v>21</v>
      </c>
      <c r="M309">
        <v>736110</v>
      </c>
      <c r="N309">
        <f t="shared" si="31"/>
        <v>736110</v>
      </c>
      <c r="O309">
        <v>712924</v>
      </c>
      <c r="P309">
        <v>13.69</v>
      </c>
      <c r="Q309">
        <v>36</v>
      </c>
      <c r="R309" t="s">
        <v>3051</v>
      </c>
      <c r="S309" t="str">
        <f t="shared" si="32"/>
        <v>Education</v>
      </c>
      <c r="T309">
        <v>598</v>
      </c>
      <c r="U309">
        <f t="shared" si="33"/>
        <v>598</v>
      </c>
      <c r="V309">
        <v>0</v>
      </c>
      <c r="W309" t="s">
        <v>3053</v>
      </c>
      <c r="X309" s="3" t="s">
        <v>3349</v>
      </c>
      <c r="Y309" s="3">
        <f t="shared" si="34"/>
        <v>44229</v>
      </c>
      <c r="Z309">
        <v>0.96850000000000003</v>
      </c>
    </row>
    <row r="310" spans="1:26" x14ac:dyDescent="0.35">
      <c r="A310" t="s">
        <v>325</v>
      </c>
      <c r="B310" t="str">
        <f t="shared" si="28"/>
        <v>OK</v>
      </c>
      <c r="C310" t="s">
        <v>1815</v>
      </c>
      <c r="D310" s="2">
        <v>25</v>
      </c>
      <c r="E310">
        <f>IF(OR(D310&lt;18, D310&gt;100),AD309,D310)</f>
        <v>25</v>
      </c>
      <c r="G310" t="str">
        <f t="shared" si="29"/>
        <v>Unknown</v>
      </c>
      <c r="H310" t="s">
        <v>3004</v>
      </c>
      <c r="I310" t="s">
        <v>3019</v>
      </c>
      <c r="K310" t="str">
        <f t="shared" si="30"/>
        <v>Employed</v>
      </c>
      <c r="L310">
        <v>12</v>
      </c>
      <c r="M310">
        <v>206806</v>
      </c>
      <c r="N310">
        <f t="shared" si="31"/>
        <v>206806</v>
      </c>
      <c r="O310">
        <v>381719</v>
      </c>
      <c r="P310">
        <v>18.82</v>
      </c>
      <c r="Q310">
        <v>24</v>
      </c>
      <c r="R310" t="s">
        <v>3049</v>
      </c>
      <c r="S310" t="str">
        <f t="shared" si="32"/>
        <v>Business</v>
      </c>
      <c r="T310">
        <v>545</v>
      </c>
      <c r="U310">
        <f t="shared" si="33"/>
        <v>545</v>
      </c>
      <c r="V310">
        <v>3</v>
      </c>
      <c r="W310" t="s">
        <v>3054</v>
      </c>
      <c r="X310" s="3" t="s">
        <v>3350</v>
      </c>
      <c r="Y310" s="3">
        <f t="shared" si="34"/>
        <v>44586</v>
      </c>
      <c r="Z310">
        <v>1.8458000000000001</v>
      </c>
    </row>
    <row r="311" spans="1:26" x14ac:dyDescent="0.35">
      <c r="A311" t="s">
        <v>326</v>
      </c>
      <c r="B311" t="str">
        <f t="shared" si="28"/>
        <v>OK</v>
      </c>
      <c r="C311" t="s">
        <v>1816</v>
      </c>
      <c r="D311" s="2">
        <v>33</v>
      </c>
      <c r="E311">
        <f>IF(OR(D311&lt;18, D311&gt;100),AD310,D311)</f>
        <v>33</v>
      </c>
      <c r="F311" t="s">
        <v>2992</v>
      </c>
      <c r="G311" t="str">
        <f t="shared" si="29"/>
        <v>Female</v>
      </c>
      <c r="H311" t="s">
        <v>3001</v>
      </c>
      <c r="I311" t="s">
        <v>3019</v>
      </c>
      <c r="K311" t="str">
        <f t="shared" si="30"/>
        <v>Employed</v>
      </c>
      <c r="L311">
        <v>5</v>
      </c>
      <c r="M311">
        <v>1151248</v>
      </c>
      <c r="N311">
        <f t="shared" si="31"/>
        <v>1151248</v>
      </c>
      <c r="O311">
        <v>628814</v>
      </c>
      <c r="P311">
        <v>21.19</v>
      </c>
      <c r="Q311">
        <v>60</v>
      </c>
      <c r="R311" t="s">
        <v>3046</v>
      </c>
      <c r="S311" t="str">
        <f t="shared" si="32"/>
        <v>Medical</v>
      </c>
      <c r="T311">
        <v>509</v>
      </c>
      <c r="U311">
        <f t="shared" si="33"/>
        <v>509</v>
      </c>
      <c r="V311">
        <v>0</v>
      </c>
      <c r="W311" t="s">
        <v>3055</v>
      </c>
      <c r="X311" s="3" t="s">
        <v>3351</v>
      </c>
      <c r="Y311" s="3">
        <f t="shared" si="34"/>
        <v>44419</v>
      </c>
      <c r="Z311">
        <v>0.54620000000000002</v>
      </c>
    </row>
    <row r="312" spans="1:26" x14ac:dyDescent="0.35">
      <c r="A312" t="s">
        <v>327</v>
      </c>
      <c r="B312" t="str">
        <f t="shared" si="28"/>
        <v>OK</v>
      </c>
      <c r="C312" t="s">
        <v>1817</v>
      </c>
      <c r="D312" s="2">
        <v>63</v>
      </c>
      <c r="E312">
        <f>IF(OR(D312&lt;18, D312&gt;100),AD311,D312)</f>
        <v>63</v>
      </c>
      <c r="F312" t="s">
        <v>2990</v>
      </c>
      <c r="G312" t="str">
        <f t="shared" si="29"/>
        <v>Male</v>
      </c>
      <c r="H312" t="s">
        <v>3003</v>
      </c>
      <c r="I312" t="s">
        <v>3020</v>
      </c>
      <c r="K312" t="str">
        <f t="shared" si="30"/>
        <v>Self-Employed</v>
      </c>
      <c r="L312">
        <v>24</v>
      </c>
      <c r="M312">
        <v>814457</v>
      </c>
      <c r="N312">
        <f t="shared" si="31"/>
        <v>814457</v>
      </c>
      <c r="O312">
        <v>159227</v>
      </c>
      <c r="P312">
        <v>10.71</v>
      </c>
      <c r="Q312">
        <v>12</v>
      </c>
      <c r="S312" t="str">
        <f t="shared" si="32"/>
        <v>Unknown</v>
      </c>
      <c r="T312">
        <v>655</v>
      </c>
      <c r="U312">
        <f t="shared" si="33"/>
        <v>655</v>
      </c>
      <c r="V312">
        <v>6</v>
      </c>
      <c r="W312" t="s">
        <v>3054</v>
      </c>
      <c r="X312" s="3" t="s">
        <v>3352</v>
      </c>
      <c r="Y312" s="3">
        <f t="shared" si="34"/>
        <v>44319</v>
      </c>
      <c r="Z312">
        <v>0.19550000000000001</v>
      </c>
    </row>
    <row r="313" spans="1:26" x14ac:dyDescent="0.35">
      <c r="A313" t="s">
        <v>328</v>
      </c>
      <c r="B313" t="str">
        <f t="shared" si="28"/>
        <v>OK</v>
      </c>
      <c r="C313" t="s">
        <v>1818</v>
      </c>
      <c r="D313" s="2">
        <v>57</v>
      </c>
      <c r="E313">
        <f>IF(OR(D313&lt;18, D313&gt;100),AD312,D313)</f>
        <v>57</v>
      </c>
      <c r="F313" t="s">
        <v>2992</v>
      </c>
      <c r="G313" t="str">
        <f t="shared" si="29"/>
        <v>Female</v>
      </c>
      <c r="H313" t="s">
        <v>3002</v>
      </c>
      <c r="I313" t="s">
        <v>3021</v>
      </c>
      <c r="K313" t="str">
        <f t="shared" si="30"/>
        <v>Unemployed</v>
      </c>
      <c r="L313">
        <v>12</v>
      </c>
      <c r="M313">
        <v>2100444</v>
      </c>
      <c r="N313">
        <f t="shared" si="31"/>
        <v>2100444</v>
      </c>
      <c r="O313">
        <v>512750</v>
      </c>
      <c r="P313">
        <v>8.01</v>
      </c>
      <c r="Q313">
        <v>60</v>
      </c>
      <c r="R313" t="s">
        <v>3046</v>
      </c>
      <c r="S313" t="str">
        <f t="shared" si="32"/>
        <v>Medical</v>
      </c>
      <c r="T313">
        <v>842</v>
      </c>
      <c r="U313">
        <f t="shared" si="33"/>
        <v>842</v>
      </c>
      <c r="V313">
        <v>1</v>
      </c>
      <c r="W313" t="s">
        <v>3055</v>
      </c>
      <c r="X313" s="3" t="s">
        <v>3353</v>
      </c>
      <c r="Y313" s="3">
        <f t="shared" si="34"/>
        <v>44845</v>
      </c>
      <c r="Z313">
        <v>0.24410000000000001</v>
      </c>
    </row>
    <row r="314" spans="1:26" x14ac:dyDescent="0.35">
      <c r="A314" t="s">
        <v>329</v>
      </c>
      <c r="B314" t="str">
        <f t="shared" si="28"/>
        <v>OK</v>
      </c>
      <c r="C314" t="s">
        <v>1819</v>
      </c>
      <c r="D314" s="2">
        <v>55</v>
      </c>
      <c r="E314">
        <f>IF(OR(D314&lt;18, D314&gt;100),AD313,D314)</f>
        <v>55</v>
      </c>
      <c r="F314" t="s">
        <v>2990</v>
      </c>
      <c r="G314" t="str">
        <f t="shared" si="29"/>
        <v>Male</v>
      </c>
      <c r="H314" t="s">
        <v>3005</v>
      </c>
      <c r="I314" t="s">
        <v>3019</v>
      </c>
      <c r="K314" t="str">
        <f t="shared" si="30"/>
        <v>Employed</v>
      </c>
      <c r="L314">
        <v>10</v>
      </c>
      <c r="M314">
        <v>1523862</v>
      </c>
      <c r="N314">
        <f t="shared" si="31"/>
        <v>1523862</v>
      </c>
      <c r="O314">
        <v>754275</v>
      </c>
      <c r="P314">
        <v>24.67</v>
      </c>
      <c r="Q314">
        <v>12</v>
      </c>
      <c r="R314" t="s">
        <v>3047</v>
      </c>
      <c r="S314" t="str">
        <f t="shared" si="32"/>
        <v>Personal</v>
      </c>
      <c r="T314">
        <v>589</v>
      </c>
      <c r="U314">
        <f t="shared" si="33"/>
        <v>589</v>
      </c>
      <c r="V314">
        <v>0</v>
      </c>
      <c r="W314" t="s">
        <v>3056</v>
      </c>
      <c r="X314" s="3" t="s">
        <v>3354</v>
      </c>
      <c r="Y314" s="3">
        <f t="shared" si="34"/>
        <v>44787</v>
      </c>
      <c r="Z314">
        <v>0.495</v>
      </c>
    </row>
    <row r="315" spans="1:26" x14ac:dyDescent="0.35">
      <c r="A315" t="s">
        <v>330</v>
      </c>
      <c r="B315" t="str">
        <f t="shared" si="28"/>
        <v>OK</v>
      </c>
      <c r="C315" t="s">
        <v>1820</v>
      </c>
      <c r="D315" s="2">
        <v>64</v>
      </c>
      <c r="E315">
        <f>IF(OR(D315&lt;18, D315&gt;100),AD314,D315)</f>
        <v>64</v>
      </c>
      <c r="F315" t="s">
        <v>2992</v>
      </c>
      <c r="G315" t="str">
        <f t="shared" si="29"/>
        <v>Female</v>
      </c>
      <c r="H315" t="s">
        <v>3007</v>
      </c>
      <c r="I315" t="s">
        <v>3021</v>
      </c>
      <c r="K315" t="str">
        <f t="shared" si="30"/>
        <v>Unemployed</v>
      </c>
      <c r="L315">
        <v>23</v>
      </c>
      <c r="M315">
        <v>425546</v>
      </c>
      <c r="N315">
        <f t="shared" si="31"/>
        <v>425546</v>
      </c>
      <c r="O315">
        <v>358365</v>
      </c>
      <c r="P315">
        <v>22.57</v>
      </c>
      <c r="Q315">
        <v>48</v>
      </c>
      <c r="R315" t="s">
        <v>3046</v>
      </c>
      <c r="S315" t="str">
        <f t="shared" si="32"/>
        <v>Medical</v>
      </c>
      <c r="T315">
        <v>345</v>
      </c>
      <c r="U315">
        <f t="shared" si="33"/>
        <v>345</v>
      </c>
      <c r="V315">
        <v>0</v>
      </c>
      <c r="W315" t="s">
        <v>3056</v>
      </c>
      <c r="X315" s="3" t="s">
        <v>3076</v>
      </c>
      <c r="Y315" s="3">
        <f t="shared" si="34"/>
        <v>43955</v>
      </c>
      <c r="Z315">
        <v>0.84209999999999996</v>
      </c>
    </row>
    <row r="316" spans="1:26" x14ac:dyDescent="0.35">
      <c r="A316" t="s">
        <v>331</v>
      </c>
      <c r="B316" t="str">
        <f t="shared" si="28"/>
        <v>OK</v>
      </c>
      <c r="C316" t="s">
        <v>1821</v>
      </c>
      <c r="D316" s="2">
        <v>36</v>
      </c>
      <c r="E316">
        <f>IF(OR(D316&lt;18, D316&gt;100),AD315,D316)</f>
        <v>36</v>
      </c>
      <c r="F316" t="s">
        <v>2992</v>
      </c>
      <c r="G316" t="str">
        <f t="shared" si="29"/>
        <v>Female</v>
      </c>
      <c r="H316" t="s">
        <v>3005</v>
      </c>
      <c r="I316" t="s">
        <v>3021</v>
      </c>
      <c r="K316" t="str">
        <f t="shared" si="30"/>
        <v>Unemployed</v>
      </c>
      <c r="L316">
        <v>15</v>
      </c>
      <c r="M316">
        <v>414386</v>
      </c>
      <c r="N316">
        <f t="shared" si="31"/>
        <v>414386</v>
      </c>
      <c r="O316">
        <v>458242</v>
      </c>
      <c r="P316">
        <v>13.88</v>
      </c>
      <c r="Q316">
        <v>36</v>
      </c>
      <c r="R316" t="s">
        <v>3051</v>
      </c>
      <c r="S316" t="str">
        <f t="shared" si="32"/>
        <v>Education</v>
      </c>
      <c r="T316">
        <v>655</v>
      </c>
      <c r="U316">
        <f t="shared" si="33"/>
        <v>655</v>
      </c>
      <c r="V316">
        <v>6</v>
      </c>
      <c r="W316" t="s">
        <v>3056</v>
      </c>
      <c r="X316" s="3" t="s">
        <v>3355</v>
      </c>
      <c r="Y316" s="3">
        <f t="shared" si="34"/>
        <v>43881</v>
      </c>
      <c r="Z316">
        <v>1.1057999999999999</v>
      </c>
    </row>
    <row r="317" spans="1:26" x14ac:dyDescent="0.35">
      <c r="A317" t="s">
        <v>332</v>
      </c>
      <c r="B317" t="str">
        <f t="shared" si="28"/>
        <v>OK</v>
      </c>
      <c r="C317" t="s">
        <v>1822</v>
      </c>
      <c r="D317" s="2">
        <v>22</v>
      </c>
      <c r="E317">
        <f>IF(OR(D317&lt;18, D317&gt;100),AD316,D317)</f>
        <v>22</v>
      </c>
      <c r="F317" t="s">
        <v>2992</v>
      </c>
      <c r="G317" t="str">
        <f t="shared" si="29"/>
        <v>Female</v>
      </c>
      <c r="H317" t="s">
        <v>3003</v>
      </c>
      <c r="I317" t="s">
        <v>3020</v>
      </c>
      <c r="K317" t="str">
        <f t="shared" si="30"/>
        <v>Self-Employed</v>
      </c>
      <c r="L317">
        <v>1</v>
      </c>
      <c r="M317">
        <v>1306798</v>
      </c>
      <c r="N317">
        <f t="shared" si="31"/>
        <v>1306798</v>
      </c>
      <c r="O317">
        <v>323664</v>
      </c>
      <c r="P317">
        <v>19.649999999999999</v>
      </c>
      <c r="Q317">
        <v>60</v>
      </c>
      <c r="R317" t="s">
        <v>3049</v>
      </c>
      <c r="S317" t="str">
        <f t="shared" si="32"/>
        <v>Business</v>
      </c>
      <c r="T317">
        <v>759</v>
      </c>
      <c r="U317">
        <f t="shared" si="33"/>
        <v>759</v>
      </c>
      <c r="V317">
        <v>5</v>
      </c>
      <c r="W317" t="s">
        <v>3052</v>
      </c>
      <c r="X317" s="3" t="s">
        <v>3273</v>
      </c>
      <c r="Y317" s="3">
        <f t="shared" si="34"/>
        <v>45190</v>
      </c>
      <c r="Z317">
        <v>0.2477</v>
      </c>
    </row>
    <row r="318" spans="1:26" x14ac:dyDescent="0.35">
      <c r="A318" t="s">
        <v>333</v>
      </c>
      <c r="B318" t="str">
        <f t="shared" si="28"/>
        <v>OK</v>
      </c>
      <c r="C318" t="s">
        <v>1823</v>
      </c>
      <c r="D318" s="2">
        <v>27</v>
      </c>
      <c r="E318">
        <f>IF(OR(D318&lt;18, D318&gt;100),AD317,D318)</f>
        <v>27</v>
      </c>
      <c r="G318" t="str">
        <f t="shared" si="29"/>
        <v>Unknown</v>
      </c>
      <c r="H318" t="s">
        <v>2998</v>
      </c>
      <c r="I318" t="s">
        <v>3018</v>
      </c>
      <c r="K318" t="str">
        <f t="shared" si="30"/>
        <v>Business Owner</v>
      </c>
      <c r="L318">
        <v>9</v>
      </c>
      <c r="M318">
        <v>1240899</v>
      </c>
      <c r="N318">
        <f t="shared" si="31"/>
        <v>1240899</v>
      </c>
      <c r="O318">
        <v>634741</v>
      </c>
      <c r="P318">
        <v>9.6300000000000008</v>
      </c>
      <c r="Q318">
        <v>60</v>
      </c>
      <c r="R318" t="s">
        <v>3047</v>
      </c>
      <c r="S318" t="str">
        <f t="shared" si="32"/>
        <v>Personal</v>
      </c>
      <c r="T318">
        <v>839</v>
      </c>
      <c r="U318">
        <f t="shared" si="33"/>
        <v>839</v>
      </c>
      <c r="V318">
        <v>6</v>
      </c>
      <c r="W318" t="s">
        <v>3054</v>
      </c>
      <c r="X318" s="3" t="s">
        <v>3356</v>
      </c>
      <c r="Y318" s="3">
        <f t="shared" si="34"/>
        <v>44365</v>
      </c>
      <c r="Z318">
        <v>0.51149999999999995</v>
      </c>
    </row>
    <row r="319" spans="1:26" x14ac:dyDescent="0.35">
      <c r="A319" t="s">
        <v>334</v>
      </c>
      <c r="B319" t="str">
        <f t="shared" si="28"/>
        <v>OK</v>
      </c>
      <c r="C319" t="s">
        <v>1824</v>
      </c>
      <c r="D319" s="2">
        <v>43</v>
      </c>
      <c r="E319">
        <f>IF(OR(D319&lt;18, D319&gt;100),AD318,D319)</f>
        <v>43</v>
      </c>
      <c r="F319" t="s">
        <v>2990</v>
      </c>
      <c r="G319" t="str">
        <f t="shared" si="29"/>
        <v>Male</v>
      </c>
      <c r="H319" t="s">
        <v>3002</v>
      </c>
      <c r="I319" t="s">
        <v>3020</v>
      </c>
      <c r="K319" t="str">
        <f t="shared" si="30"/>
        <v>Self-Employed</v>
      </c>
      <c r="L319">
        <v>8</v>
      </c>
      <c r="M319">
        <v>413782</v>
      </c>
      <c r="N319">
        <f t="shared" si="31"/>
        <v>413782</v>
      </c>
      <c r="O319">
        <v>85942</v>
      </c>
      <c r="P319" t="s">
        <v>3027</v>
      </c>
      <c r="Q319">
        <v>48</v>
      </c>
      <c r="R319" t="s">
        <v>3051</v>
      </c>
      <c r="S319" t="str">
        <f t="shared" si="32"/>
        <v>Education</v>
      </c>
      <c r="T319">
        <v>619</v>
      </c>
      <c r="U319">
        <f t="shared" si="33"/>
        <v>619</v>
      </c>
      <c r="V319">
        <v>2</v>
      </c>
      <c r="W319" t="s">
        <v>3054</v>
      </c>
      <c r="X319" s="3" t="s">
        <v>3302</v>
      </c>
      <c r="Y319" s="3">
        <f t="shared" si="34"/>
        <v>44711</v>
      </c>
      <c r="Z319">
        <v>0.2077</v>
      </c>
    </row>
    <row r="320" spans="1:26" x14ac:dyDescent="0.35">
      <c r="A320" t="s">
        <v>335</v>
      </c>
      <c r="B320" t="str">
        <f t="shared" si="28"/>
        <v>OK</v>
      </c>
      <c r="C320" t="s">
        <v>1825</v>
      </c>
      <c r="D320" s="2">
        <v>44</v>
      </c>
      <c r="E320">
        <f>IF(OR(D320&lt;18, D320&gt;100),AD319,D320)</f>
        <v>44</v>
      </c>
      <c r="F320" t="s">
        <v>2990</v>
      </c>
      <c r="G320" t="str">
        <f t="shared" si="29"/>
        <v>Male</v>
      </c>
      <c r="H320" t="s">
        <v>2999</v>
      </c>
      <c r="I320" t="s">
        <v>3020</v>
      </c>
      <c r="K320" t="str">
        <f t="shared" si="30"/>
        <v>Self-Employed</v>
      </c>
      <c r="L320">
        <v>8</v>
      </c>
      <c r="M320">
        <v>729148</v>
      </c>
      <c r="N320">
        <f t="shared" si="31"/>
        <v>729148</v>
      </c>
      <c r="O320">
        <v>775612</v>
      </c>
      <c r="P320">
        <v>15.6</v>
      </c>
      <c r="Q320">
        <v>12</v>
      </c>
      <c r="R320" t="s">
        <v>3049</v>
      </c>
      <c r="S320" t="str">
        <f t="shared" si="32"/>
        <v>Business</v>
      </c>
      <c r="T320">
        <v>776</v>
      </c>
      <c r="U320">
        <f t="shared" si="33"/>
        <v>776</v>
      </c>
      <c r="V320">
        <v>7</v>
      </c>
      <c r="W320" t="s">
        <v>3055</v>
      </c>
      <c r="X320" s="3" t="s">
        <v>3357</v>
      </c>
      <c r="Y320" s="3">
        <f t="shared" si="34"/>
        <v>44377</v>
      </c>
      <c r="Z320">
        <v>1.0637000000000001</v>
      </c>
    </row>
    <row r="321" spans="1:26" x14ac:dyDescent="0.35">
      <c r="A321" t="s">
        <v>336</v>
      </c>
      <c r="B321" t="str">
        <f t="shared" si="28"/>
        <v>OK</v>
      </c>
      <c r="C321" t="s">
        <v>1826</v>
      </c>
      <c r="D321" s="2">
        <v>45</v>
      </c>
      <c r="E321">
        <f>IF(OR(D321&lt;18, D321&gt;100),AD320,D321)</f>
        <v>45</v>
      </c>
      <c r="F321" t="s">
        <v>2992</v>
      </c>
      <c r="G321" t="str">
        <f t="shared" si="29"/>
        <v>Female</v>
      </c>
      <c r="H321" t="s">
        <v>3005</v>
      </c>
      <c r="I321" t="s">
        <v>3021</v>
      </c>
      <c r="K321" t="str">
        <f t="shared" si="30"/>
        <v>Unemployed</v>
      </c>
      <c r="L321">
        <v>26</v>
      </c>
      <c r="M321">
        <v>1999822</v>
      </c>
      <c r="N321">
        <f t="shared" si="31"/>
        <v>1999822</v>
      </c>
      <c r="O321">
        <v>70081</v>
      </c>
      <c r="P321">
        <v>18.93</v>
      </c>
      <c r="Q321">
        <v>48</v>
      </c>
      <c r="R321" t="s">
        <v>3046</v>
      </c>
      <c r="S321" t="str">
        <f t="shared" si="32"/>
        <v>Medical</v>
      </c>
      <c r="T321">
        <v>683</v>
      </c>
      <c r="U321">
        <f t="shared" si="33"/>
        <v>683</v>
      </c>
      <c r="V321">
        <v>2</v>
      </c>
      <c r="W321" t="s">
        <v>3055</v>
      </c>
      <c r="X321" s="3" t="s">
        <v>3358</v>
      </c>
      <c r="Y321" s="3">
        <f t="shared" si="34"/>
        <v>44076</v>
      </c>
      <c r="Z321">
        <v>3.5000000000000003E-2</v>
      </c>
    </row>
    <row r="322" spans="1:26" x14ac:dyDescent="0.35">
      <c r="A322" t="s">
        <v>337</v>
      </c>
      <c r="B322" t="str">
        <f t="shared" ref="B322:B385" si="35">IF(A322="", "MISSING", "OK")</f>
        <v>OK</v>
      </c>
      <c r="C322" t="s">
        <v>1827</v>
      </c>
      <c r="D322" s="2">
        <v>23</v>
      </c>
      <c r="E322">
        <f>IF(OR(D322&lt;18, D322&gt;100),AD321,D322)</f>
        <v>23</v>
      </c>
      <c r="F322" t="s">
        <v>2992</v>
      </c>
      <c r="G322" t="str">
        <f t="shared" si="29"/>
        <v>Female</v>
      </c>
      <c r="H322" t="s">
        <v>3005</v>
      </c>
      <c r="I322" t="s">
        <v>3021</v>
      </c>
      <c r="K322" t="str">
        <f t="shared" si="30"/>
        <v>Unemployed</v>
      </c>
      <c r="L322">
        <v>15</v>
      </c>
      <c r="M322">
        <v>686079</v>
      </c>
      <c r="N322">
        <f t="shared" si="31"/>
        <v>686079</v>
      </c>
      <c r="O322">
        <v>140263</v>
      </c>
      <c r="P322">
        <v>15.49</v>
      </c>
      <c r="Q322">
        <v>12</v>
      </c>
      <c r="R322" t="s">
        <v>3049</v>
      </c>
      <c r="S322" t="str">
        <f t="shared" si="32"/>
        <v>Business</v>
      </c>
      <c r="T322">
        <v>1200</v>
      </c>
      <c r="U322">
        <f t="shared" si="33"/>
        <v>556</v>
      </c>
      <c r="V322">
        <v>7</v>
      </c>
      <c r="W322" t="s">
        <v>3054</v>
      </c>
      <c r="X322" s="3" t="s">
        <v>3359</v>
      </c>
      <c r="Y322" s="3">
        <f t="shared" si="34"/>
        <v>44022</v>
      </c>
      <c r="Z322">
        <v>0.2044</v>
      </c>
    </row>
    <row r="323" spans="1:26" x14ac:dyDescent="0.35">
      <c r="A323" t="s">
        <v>338</v>
      </c>
      <c r="B323" t="str">
        <f t="shared" si="35"/>
        <v>OK</v>
      </c>
      <c r="C323" t="s">
        <v>1828</v>
      </c>
      <c r="D323" s="2">
        <v>60</v>
      </c>
      <c r="E323">
        <f>IF(OR(D323&lt;18, D323&gt;100),AD322,D323)</f>
        <v>60</v>
      </c>
      <c r="F323" t="s">
        <v>2990</v>
      </c>
      <c r="G323" t="str">
        <f t="shared" ref="G323:G386" si="36">IF(F323="", "Unknown", IF(OR(F323="F", F323="FEMALE", F323="Female"), "Female", IF(OR(F323="M", F323="MALE", F323="Male"), "Male", "Other")))</f>
        <v>Male</v>
      </c>
      <c r="H323" t="s">
        <v>3004</v>
      </c>
      <c r="I323" t="s">
        <v>3019</v>
      </c>
      <c r="K323" t="str">
        <f t="shared" ref="K323:K386" si="37">IF(I323="", "Unknown", I323)</f>
        <v>Employed</v>
      </c>
      <c r="L323">
        <v>23</v>
      </c>
      <c r="M323">
        <v>652501</v>
      </c>
      <c r="N323">
        <f t="shared" ref="N323:N386" si="38">IF(OR(M323="",M323&lt;0),$AD$3,M323)</f>
        <v>652501</v>
      </c>
      <c r="O323">
        <v>563576</v>
      </c>
      <c r="P323">
        <v>21.8</v>
      </c>
      <c r="Q323">
        <v>24</v>
      </c>
      <c r="S323" t="str">
        <f t="shared" ref="S323:S386" si="39">IF(R323="", "Unknown", R323)</f>
        <v>Unknown</v>
      </c>
      <c r="T323">
        <v>496</v>
      </c>
      <c r="U323">
        <f t="shared" ref="U323:U386" si="40">IF(OR(T323="",T323&gt;999),$AD$2,T323)</f>
        <v>496</v>
      </c>
      <c r="V323">
        <v>7</v>
      </c>
      <c r="W323" t="s">
        <v>3056</v>
      </c>
      <c r="X323" s="3" t="s">
        <v>3360</v>
      </c>
      <c r="Y323" s="3">
        <f t="shared" ref="Y323:Y386" si="41">IF(ISNUMBER(X323), X323, DATEVALUE(X323))</f>
        <v>43875</v>
      </c>
      <c r="Z323">
        <v>0.86370000000000002</v>
      </c>
    </row>
    <row r="324" spans="1:26" x14ac:dyDescent="0.35">
      <c r="A324" t="s">
        <v>339</v>
      </c>
      <c r="B324" t="str">
        <f t="shared" si="35"/>
        <v>OK</v>
      </c>
      <c r="C324" t="s">
        <v>1829</v>
      </c>
      <c r="D324" s="2">
        <v>46</v>
      </c>
      <c r="E324">
        <f>IF(OR(D324&lt;18, D324&gt;100),AD323,D324)</f>
        <v>46</v>
      </c>
      <c r="F324" t="s">
        <v>2990</v>
      </c>
      <c r="G324" t="str">
        <f t="shared" si="36"/>
        <v>Male</v>
      </c>
      <c r="H324" t="s">
        <v>3002</v>
      </c>
      <c r="I324" t="s">
        <v>3021</v>
      </c>
      <c r="K324" t="str">
        <f t="shared" si="37"/>
        <v>Unemployed</v>
      </c>
      <c r="L324">
        <v>13</v>
      </c>
      <c r="M324">
        <v>2164117</v>
      </c>
      <c r="N324">
        <f t="shared" si="38"/>
        <v>2164117</v>
      </c>
      <c r="O324">
        <v>639955</v>
      </c>
      <c r="P324">
        <v>10.47</v>
      </c>
      <c r="Q324">
        <v>48</v>
      </c>
      <c r="R324" t="s">
        <v>3047</v>
      </c>
      <c r="S324" t="str">
        <f t="shared" si="39"/>
        <v>Personal</v>
      </c>
      <c r="T324">
        <v>821</v>
      </c>
      <c r="U324">
        <f t="shared" si="40"/>
        <v>821</v>
      </c>
      <c r="V324">
        <v>3</v>
      </c>
      <c r="W324" t="s">
        <v>3055</v>
      </c>
      <c r="X324" s="3" t="s">
        <v>3361</v>
      </c>
      <c r="Y324" s="3">
        <f t="shared" si="41"/>
        <v>45279</v>
      </c>
      <c r="Z324">
        <v>0.29570000000000002</v>
      </c>
    </row>
    <row r="325" spans="1:26" x14ac:dyDescent="0.35">
      <c r="A325" t="s">
        <v>340</v>
      </c>
      <c r="B325" t="str">
        <f t="shared" si="35"/>
        <v>OK</v>
      </c>
      <c r="C325" t="s">
        <v>1830</v>
      </c>
      <c r="D325" s="2">
        <v>25</v>
      </c>
      <c r="E325">
        <f>IF(OR(D325&lt;18, D325&gt;100),AD324,D325)</f>
        <v>25</v>
      </c>
      <c r="F325" t="s">
        <v>2990</v>
      </c>
      <c r="G325" t="str">
        <f t="shared" si="36"/>
        <v>Male</v>
      </c>
      <c r="H325" t="s">
        <v>3000</v>
      </c>
      <c r="I325" t="s">
        <v>3021</v>
      </c>
      <c r="K325" t="str">
        <f t="shared" si="37"/>
        <v>Unemployed</v>
      </c>
      <c r="L325">
        <v>17</v>
      </c>
      <c r="M325">
        <v>1710814</v>
      </c>
      <c r="N325">
        <f t="shared" si="38"/>
        <v>1710814</v>
      </c>
      <c r="O325">
        <v>755430</v>
      </c>
      <c r="P325">
        <v>27.85</v>
      </c>
      <c r="Q325">
        <v>24</v>
      </c>
      <c r="S325" t="str">
        <f t="shared" si="39"/>
        <v>Unknown</v>
      </c>
      <c r="T325">
        <v>462</v>
      </c>
      <c r="U325">
        <f t="shared" si="40"/>
        <v>462</v>
      </c>
      <c r="V325">
        <v>6</v>
      </c>
      <c r="W325" t="s">
        <v>3052</v>
      </c>
      <c r="X325" s="3" t="s">
        <v>3362</v>
      </c>
      <c r="Y325" s="3">
        <f t="shared" si="41"/>
        <v>44948</v>
      </c>
      <c r="Z325">
        <v>0.44159999999999999</v>
      </c>
    </row>
    <row r="326" spans="1:26" x14ac:dyDescent="0.35">
      <c r="A326" t="s">
        <v>341</v>
      </c>
      <c r="B326" t="str">
        <f t="shared" si="35"/>
        <v>OK</v>
      </c>
      <c r="C326" t="s">
        <v>1831</v>
      </c>
      <c r="D326" s="2">
        <v>55</v>
      </c>
      <c r="E326">
        <f>IF(OR(D326&lt;18, D326&gt;100),AD325,D326)</f>
        <v>55</v>
      </c>
      <c r="F326" t="s">
        <v>2995</v>
      </c>
      <c r="G326" t="str">
        <f t="shared" si="36"/>
        <v>Male</v>
      </c>
      <c r="H326" t="s">
        <v>3003</v>
      </c>
      <c r="I326" t="s">
        <v>3021</v>
      </c>
      <c r="K326" t="str">
        <f t="shared" si="37"/>
        <v>Unemployed</v>
      </c>
      <c r="L326">
        <v>9</v>
      </c>
      <c r="M326">
        <v>1617188</v>
      </c>
      <c r="N326">
        <f t="shared" si="38"/>
        <v>1617188</v>
      </c>
      <c r="O326">
        <v>513814</v>
      </c>
      <c r="P326">
        <v>12.41</v>
      </c>
      <c r="Q326">
        <v>48</v>
      </c>
      <c r="R326" t="s">
        <v>3047</v>
      </c>
      <c r="S326" t="str">
        <f t="shared" si="39"/>
        <v>Personal</v>
      </c>
      <c r="T326">
        <v>381</v>
      </c>
      <c r="U326">
        <f t="shared" si="40"/>
        <v>381</v>
      </c>
      <c r="V326">
        <v>5</v>
      </c>
      <c r="W326" t="s">
        <v>3052</v>
      </c>
      <c r="X326" s="3" t="s">
        <v>3363</v>
      </c>
      <c r="Y326" s="3">
        <f t="shared" si="41"/>
        <v>43997</v>
      </c>
      <c r="Z326">
        <v>0.31769999999999998</v>
      </c>
    </row>
    <row r="327" spans="1:26" x14ac:dyDescent="0.35">
      <c r="A327" t="s">
        <v>342</v>
      </c>
      <c r="B327" t="str">
        <f t="shared" si="35"/>
        <v>OK</v>
      </c>
      <c r="C327" t="s">
        <v>1832</v>
      </c>
      <c r="D327" s="2">
        <v>46</v>
      </c>
      <c r="E327">
        <f>IF(OR(D327&lt;18, D327&gt;100),AD326,D327)</f>
        <v>46</v>
      </c>
      <c r="F327" t="s">
        <v>2990</v>
      </c>
      <c r="G327" t="str">
        <f t="shared" si="36"/>
        <v>Male</v>
      </c>
      <c r="H327" t="s">
        <v>3015</v>
      </c>
      <c r="I327" t="s">
        <v>3020</v>
      </c>
      <c r="K327" t="str">
        <f t="shared" si="37"/>
        <v>Self-Employed</v>
      </c>
      <c r="L327">
        <v>26</v>
      </c>
      <c r="M327">
        <v>1844221</v>
      </c>
      <c r="N327">
        <f t="shared" si="38"/>
        <v>1844221</v>
      </c>
      <c r="O327">
        <v>156643</v>
      </c>
      <c r="P327">
        <v>9</v>
      </c>
      <c r="Q327">
        <v>60</v>
      </c>
      <c r="R327" t="s">
        <v>3047</v>
      </c>
      <c r="S327" t="str">
        <f t="shared" si="39"/>
        <v>Personal</v>
      </c>
      <c r="T327">
        <v>310</v>
      </c>
      <c r="U327">
        <f t="shared" si="40"/>
        <v>310</v>
      </c>
      <c r="V327">
        <v>7</v>
      </c>
      <c r="W327" t="s">
        <v>3056</v>
      </c>
      <c r="X327" s="3" t="s">
        <v>3364</v>
      </c>
      <c r="Y327" s="3">
        <f t="shared" si="41"/>
        <v>44297</v>
      </c>
      <c r="Z327">
        <v>8.4900000000000003E-2</v>
      </c>
    </row>
    <row r="328" spans="1:26" x14ac:dyDescent="0.35">
      <c r="A328" t="s">
        <v>343</v>
      </c>
      <c r="B328" t="str">
        <f t="shared" si="35"/>
        <v>OK</v>
      </c>
      <c r="C328" t="s">
        <v>1833</v>
      </c>
      <c r="D328" s="2">
        <v>29</v>
      </c>
      <c r="E328">
        <f>IF(OR(D328&lt;18, D328&gt;100),AD327,D328)</f>
        <v>29</v>
      </c>
      <c r="F328" t="s">
        <v>2992</v>
      </c>
      <c r="G328" t="str">
        <f t="shared" si="36"/>
        <v>Female</v>
      </c>
      <c r="H328" t="s">
        <v>3001</v>
      </c>
      <c r="I328" t="s">
        <v>3021</v>
      </c>
      <c r="K328" t="str">
        <f t="shared" si="37"/>
        <v>Unemployed</v>
      </c>
      <c r="L328">
        <v>12</v>
      </c>
      <c r="M328">
        <v>551233</v>
      </c>
      <c r="N328">
        <f t="shared" si="38"/>
        <v>551233</v>
      </c>
      <c r="O328">
        <v>720636</v>
      </c>
      <c r="P328">
        <v>16.16</v>
      </c>
      <c r="Q328">
        <v>12</v>
      </c>
      <c r="R328" t="s">
        <v>3047</v>
      </c>
      <c r="S328" t="str">
        <f t="shared" si="39"/>
        <v>Personal</v>
      </c>
      <c r="T328">
        <v>457</v>
      </c>
      <c r="U328">
        <f t="shared" si="40"/>
        <v>457</v>
      </c>
      <c r="V328">
        <v>2</v>
      </c>
      <c r="W328" t="s">
        <v>3052</v>
      </c>
      <c r="X328" s="3" t="s">
        <v>3365</v>
      </c>
      <c r="Y328" s="3">
        <f t="shared" si="41"/>
        <v>44493</v>
      </c>
      <c r="Z328">
        <v>1.3072999999999999</v>
      </c>
    </row>
    <row r="329" spans="1:26" x14ac:dyDescent="0.35">
      <c r="A329" t="s">
        <v>344</v>
      </c>
      <c r="B329" t="str">
        <f t="shared" si="35"/>
        <v>OK</v>
      </c>
      <c r="C329" t="s">
        <v>1834</v>
      </c>
      <c r="D329" s="2">
        <v>42</v>
      </c>
      <c r="E329">
        <f>IF(OR(D329&lt;18, D329&gt;100),AD328,D329)</f>
        <v>42</v>
      </c>
      <c r="F329" t="s">
        <v>2992</v>
      </c>
      <c r="G329" t="str">
        <f t="shared" si="36"/>
        <v>Female</v>
      </c>
      <c r="H329" t="s">
        <v>3007</v>
      </c>
      <c r="I329" t="s">
        <v>3019</v>
      </c>
      <c r="K329" t="str">
        <f t="shared" si="37"/>
        <v>Employed</v>
      </c>
      <c r="L329">
        <v>12</v>
      </c>
      <c r="M329">
        <v>814122</v>
      </c>
      <c r="N329">
        <f t="shared" si="38"/>
        <v>814122</v>
      </c>
      <c r="O329">
        <v>218784</v>
      </c>
      <c r="P329">
        <v>24.65</v>
      </c>
      <c r="Q329">
        <v>48</v>
      </c>
      <c r="R329" t="s">
        <v>3050</v>
      </c>
      <c r="S329" t="str">
        <f t="shared" si="39"/>
        <v>Agriculture</v>
      </c>
      <c r="T329">
        <v>445</v>
      </c>
      <c r="U329">
        <f t="shared" si="40"/>
        <v>445</v>
      </c>
      <c r="V329">
        <v>1</v>
      </c>
      <c r="W329" t="s">
        <v>3053</v>
      </c>
      <c r="X329" s="3" t="s">
        <v>3366</v>
      </c>
      <c r="Y329" s="3">
        <f t="shared" si="41"/>
        <v>44728</v>
      </c>
      <c r="Z329">
        <v>0.26869999999999999</v>
      </c>
    </row>
    <row r="330" spans="1:26" x14ac:dyDescent="0.35">
      <c r="A330" t="s">
        <v>345</v>
      </c>
      <c r="B330" t="str">
        <f t="shared" si="35"/>
        <v>OK</v>
      </c>
      <c r="C330" t="s">
        <v>1835</v>
      </c>
      <c r="D330" s="2">
        <v>33</v>
      </c>
      <c r="E330">
        <f>IF(OR(D330&lt;18, D330&gt;100),AD329,D330)</f>
        <v>33</v>
      </c>
      <c r="F330" t="s">
        <v>2992</v>
      </c>
      <c r="G330" t="str">
        <f t="shared" si="36"/>
        <v>Female</v>
      </c>
      <c r="H330" t="s">
        <v>3004</v>
      </c>
      <c r="I330" t="s">
        <v>3019</v>
      </c>
      <c r="K330" t="str">
        <f t="shared" si="37"/>
        <v>Employed</v>
      </c>
      <c r="L330">
        <v>2</v>
      </c>
      <c r="M330">
        <v>2319980</v>
      </c>
      <c r="N330">
        <f t="shared" si="38"/>
        <v>2319980</v>
      </c>
      <c r="O330">
        <v>146479</v>
      </c>
      <c r="P330">
        <v>13.87</v>
      </c>
      <c r="Q330">
        <v>60</v>
      </c>
      <c r="R330" t="s">
        <v>3049</v>
      </c>
      <c r="S330" t="str">
        <f t="shared" si="39"/>
        <v>Business</v>
      </c>
      <c r="T330">
        <v>463</v>
      </c>
      <c r="U330">
        <f t="shared" si="40"/>
        <v>463</v>
      </c>
      <c r="V330">
        <v>1</v>
      </c>
      <c r="W330" t="s">
        <v>3054</v>
      </c>
      <c r="X330" s="3" t="s">
        <v>3124</v>
      </c>
      <c r="Y330" s="3">
        <f t="shared" si="41"/>
        <v>44933</v>
      </c>
      <c r="Z330">
        <v>6.3100000000000003E-2</v>
      </c>
    </row>
    <row r="331" spans="1:26" x14ac:dyDescent="0.35">
      <c r="A331" t="s">
        <v>346</v>
      </c>
      <c r="B331" t="str">
        <f t="shared" si="35"/>
        <v>OK</v>
      </c>
      <c r="C331" t="s">
        <v>1836</v>
      </c>
      <c r="D331" s="2">
        <v>42</v>
      </c>
      <c r="E331">
        <f>IF(OR(D331&lt;18, D331&gt;100),AD330,D331)</f>
        <v>42</v>
      </c>
      <c r="F331" t="s">
        <v>2992</v>
      </c>
      <c r="G331" t="str">
        <f t="shared" si="36"/>
        <v>Female</v>
      </c>
      <c r="H331" t="s">
        <v>3000</v>
      </c>
      <c r="I331" t="s">
        <v>3019</v>
      </c>
      <c r="K331" t="str">
        <f t="shared" si="37"/>
        <v>Employed</v>
      </c>
      <c r="L331">
        <v>8</v>
      </c>
      <c r="M331">
        <v>1319664</v>
      </c>
      <c r="N331">
        <f t="shared" si="38"/>
        <v>1319664</v>
      </c>
      <c r="O331">
        <v>712459</v>
      </c>
      <c r="P331">
        <v>15.87</v>
      </c>
      <c r="Q331">
        <v>24</v>
      </c>
      <c r="R331" t="s">
        <v>3049</v>
      </c>
      <c r="S331" t="str">
        <f t="shared" si="39"/>
        <v>Business</v>
      </c>
      <c r="T331">
        <v>394</v>
      </c>
      <c r="U331">
        <f t="shared" si="40"/>
        <v>394</v>
      </c>
      <c r="V331">
        <v>7</v>
      </c>
      <c r="W331" t="s">
        <v>3054</v>
      </c>
      <c r="X331" s="3" t="s">
        <v>3065</v>
      </c>
      <c r="Y331" s="3">
        <f t="shared" si="41"/>
        <v>44689</v>
      </c>
      <c r="Z331">
        <v>0.53990000000000005</v>
      </c>
    </row>
    <row r="332" spans="1:26" x14ac:dyDescent="0.35">
      <c r="A332" t="s">
        <v>347</v>
      </c>
      <c r="B332" t="str">
        <f t="shared" si="35"/>
        <v>OK</v>
      </c>
      <c r="C332" t="s">
        <v>1837</v>
      </c>
      <c r="D332" s="2">
        <v>24</v>
      </c>
      <c r="E332">
        <f>IF(OR(D332&lt;18, D332&gt;100),AD331,D332)</f>
        <v>24</v>
      </c>
      <c r="F332" t="s">
        <v>2990</v>
      </c>
      <c r="G332" t="str">
        <f t="shared" si="36"/>
        <v>Male</v>
      </c>
      <c r="H332" t="s">
        <v>3004</v>
      </c>
      <c r="I332" t="s">
        <v>3021</v>
      </c>
      <c r="K332" t="str">
        <f t="shared" si="37"/>
        <v>Unemployed</v>
      </c>
      <c r="L332">
        <v>11</v>
      </c>
      <c r="M332">
        <v>1554572</v>
      </c>
      <c r="N332">
        <f t="shared" si="38"/>
        <v>1554572</v>
      </c>
      <c r="O332">
        <v>254104</v>
      </c>
      <c r="P332">
        <v>12.09</v>
      </c>
      <c r="Q332">
        <v>24</v>
      </c>
      <c r="R332" t="s">
        <v>3048</v>
      </c>
      <c r="S332" t="str">
        <f t="shared" si="39"/>
        <v>Home Improvement</v>
      </c>
      <c r="T332">
        <v>821</v>
      </c>
      <c r="U332">
        <f t="shared" si="40"/>
        <v>821</v>
      </c>
      <c r="V332">
        <v>4</v>
      </c>
      <c r="W332" t="s">
        <v>3052</v>
      </c>
      <c r="X332" s="3" t="s">
        <v>3367</v>
      </c>
      <c r="Y332" s="3">
        <f t="shared" si="41"/>
        <v>44571</v>
      </c>
      <c r="Z332">
        <v>0.16350000000000001</v>
      </c>
    </row>
    <row r="333" spans="1:26" x14ac:dyDescent="0.35">
      <c r="A333" t="s">
        <v>348</v>
      </c>
      <c r="B333" t="str">
        <f t="shared" si="35"/>
        <v>OK</v>
      </c>
      <c r="C333" t="s">
        <v>1838</v>
      </c>
      <c r="D333" s="2">
        <v>60</v>
      </c>
      <c r="E333">
        <f>IF(OR(D333&lt;18, D333&gt;100),AD332,D333)</f>
        <v>60</v>
      </c>
      <c r="F333" t="s">
        <v>2992</v>
      </c>
      <c r="G333" t="str">
        <f t="shared" si="36"/>
        <v>Female</v>
      </c>
      <c r="H333" t="s">
        <v>3005</v>
      </c>
      <c r="I333" t="s">
        <v>3020</v>
      </c>
      <c r="K333" t="str">
        <f t="shared" si="37"/>
        <v>Self-Employed</v>
      </c>
      <c r="L333">
        <v>22</v>
      </c>
      <c r="M333">
        <v>968768</v>
      </c>
      <c r="N333">
        <f t="shared" si="38"/>
        <v>968768</v>
      </c>
      <c r="O333">
        <v>371181</v>
      </c>
      <c r="P333">
        <v>26.63</v>
      </c>
      <c r="Q333">
        <v>60</v>
      </c>
      <c r="R333" t="s">
        <v>3051</v>
      </c>
      <c r="S333" t="str">
        <f t="shared" si="39"/>
        <v>Education</v>
      </c>
      <c r="U333">
        <f t="shared" si="40"/>
        <v>556</v>
      </c>
      <c r="V333">
        <v>3</v>
      </c>
      <c r="W333" t="s">
        <v>3057</v>
      </c>
      <c r="X333" s="3" t="s">
        <v>3368</v>
      </c>
      <c r="Y333" s="3">
        <f t="shared" si="41"/>
        <v>45102</v>
      </c>
      <c r="Z333">
        <v>0.3831</v>
      </c>
    </row>
    <row r="334" spans="1:26" x14ac:dyDescent="0.35">
      <c r="A334" t="s">
        <v>349</v>
      </c>
      <c r="B334" t="str">
        <f t="shared" si="35"/>
        <v>OK</v>
      </c>
      <c r="C334" t="s">
        <v>1839</v>
      </c>
      <c r="D334" s="2">
        <v>27</v>
      </c>
      <c r="E334">
        <f>IF(OR(D334&lt;18, D334&gt;100),AD333,D334)</f>
        <v>27</v>
      </c>
      <c r="F334" t="s">
        <v>2992</v>
      </c>
      <c r="G334" t="str">
        <f t="shared" si="36"/>
        <v>Female</v>
      </c>
      <c r="H334" t="s">
        <v>3005</v>
      </c>
      <c r="I334" t="s">
        <v>3020</v>
      </c>
      <c r="K334" t="str">
        <f t="shared" si="37"/>
        <v>Self-Employed</v>
      </c>
      <c r="L334">
        <v>6</v>
      </c>
      <c r="M334">
        <v>1734510</v>
      </c>
      <c r="N334">
        <f t="shared" si="38"/>
        <v>1734510</v>
      </c>
      <c r="O334">
        <v>531511</v>
      </c>
      <c r="P334">
        <v>19.32</v>
      </c>
      <c r="Q334">
        <v>60</v>
      </c>
      <c r="R334" t="s">
        <v>3047</v>
      </c>
      <c r="S334" t="str">
        <f t="shared" si="39"/>
        <v>Personal</v>
      </c>
      <c r="T334">
        <v>539</v>
      </c>
      <c r="U334">
        <f t="shared" si="40"/>
        <v>539</v>
      </c>
      <c r="V334">
        <v>7</v>
      </c>
      <c r="W334" t="s">
        <v>3054</v>
      </c>
      <c r="X334" s="3" t="s">
        <v>3369</v>
      </c>
      <c r="Y334" s="3">
        <f t="shared" si="41"/>
        <v>44924</v>
      </c>
      <c r="Z334">
        <v>0.30640000000000001</v>
      </c>
    </row>
    <row r="335" spans="1:26" x14ac:dyDescent="0.35">
      <c r="A335" t="s">
        <v>350</v>
      </c>
      <c r="B335" t="str">
        <f t="shared" si="35"/>
        <v>OK</v>
      </c>
      <c r="C335" t="s">
        <v>1840</v>
      </c>
      <c r="D335" s="2">
        <v>55</v>
      </c>
      <c r="E335">
        <f>IF(OR(D335&lt;18, D335&gt;100),AD334,D335)</f>
        <v>55</v>
      </c>
      <c r="F335" t="s">
        <v>2990</v>
      </c>
      <c r="G335" t="str">
        <f t="shared" si="36"/>
        <v>Male</v>
      </c>
      <c r="H335" t="s">
        <v>3007</v>
      </c>
      <c r="I335" t="s">
        <v>3020</v>
      </c>
      <c r="K335" t="str">
        <f t="shared" si="37"/>
        <v>Self-Employed</v>
      </c>
      <c r="L335">
        <v>15</v>
      </c>
      <c r="M335">
        <v>1303994</v>
      </c>
      <c r="N335">
        <f t="shared" si="38"/>
        <v>1303994</v>
      </c>
      <c r="O335">
        <v>186277</v>
      </c>
      <c r="P335">
        <v>23.39</v>
      </c>
      <c r="Q335">
        <v>48</v>
      </c>
      <c r="R335" t="s">
        <v>3049</v>
      </c>
      <c r="S335" t="str">
        <f t="shared" si="39"/>
        <v>Business</v>
      </c>
      <c r="U335">
        <f t="shared" si="40"/>
        <v>556</v>
      </c>
      <c r="V335">
        <v>5</v>
      </c>
      <c r="W335" t="s">
        <v>3052</v>
      </c>
      <c r="X335" s="3" t="s">
        <v>3181</v>
      </c>
      <c r="Y335" s="3">
        <f t="shared" si="41"/>
        <v>43992</v>
      </c>
      <c r="Z335">
        <v>0.1429</v>
      </c>
    </row>
    <row r="336" spans="1:26" x14ac:dyDescent="0.35">
      <c r="A336" t="s">
        <v>351</v>
      </c>
      <c r="B336" t="str">
        <f t="shared" si="35"/>
        <v>OK</v>
      </c>
      <c r="C336" t="s">
        <v>1841</v>
      </c>
      <c r="D336" s="2">
        <v>32</v>
      </c>
      <c r="E336">
        <f>IF(OR(D336&lt;18, D336&gt;100),AD335,D336)</f>
        <v>32</v>
      </c>
      <c r="F336" t="s">
        <v>2992</v>
      </c>
      <c r="G336" t="str">
        <f t="shared" si="36"/>
        <v>Female</v>
      </c>
      <c r="H336" t="s">
        <v>3005</v>
      </c>
      <c r="I336" t="s">
        <v>3019</v>
      </c>
      <c r="K336" t="str">
        <f t="shared" si="37"/>
        <v>Employed</v>
      </c>
      <c r="L336">
        <v>22</v>
      </c>
      <c r="M336">
        <v>2012684</v>
      </c>
      <c r="N336">
        <f t="shared" si="38"/>
        <v>2012684</v>
      </c>
      <c r="O336">
        <v>66101</v>
      </c>
      <c r="P336">
        <v>12.36</v>
      </c>
      <c r="Q336">
        <v>24</v>
      </c>
      <c r="R336" t="s">
        <v>3048</v>
      </c>
      <c r="S336" t="str">
        <f t="shared" si="39"/>
        <v>Home Improvement</v>
      </c>
      <c r="U336">
        <f t="shared" si="40"/>
        <v>556</v>
      </c>
      <c r="V336">
        <v>6</v>
      </c>
      <c r="W336" t="s">
        <v>3056</v>
      </c>
      <c r="X336" s="3" t="s">
        <v>3370</v>
      </c>
      <c r="Y336" s="3">
        <f t="shared" si="41"/>
        <v>44947</v>
      </c>
      <c r="Z336">
        <v>3.2800000000000003E-2</v>
      </c>
    </row>
    <row r="337" spans="1:26" x14ac:dyDescent="0.35">
      <c r="A337" t="s">
        <v>352</v>
      </c>
      <c r="B337" t="str">
        <f t="shared" si="35"/>
        <v>OK</v>
      </c>
      <c r="C337" t="s">
        <v>1842</v>
      </c>
      <c r="D337" s="2">
        <v>63</v>
      </c>
      <c r="E337">
        <f>IF(OR(D337&lt;18, D337&gt;100),AD336,D337)</f>
        <v>63</v>
      </c>
      <c r="F337" t="s">
        <v>2990</v>
      </c>
      <c r="G337" t="str">
        <f t="shared" si="36"/>
        <v>Male</v>
      </c>
      <c r="H337" t="s">
        <v>2998</v>
      </c>
      <c r="I337" t="s">
        <v>3021</v>
      </c>
      <c r="K337" t="str">
        <f t="shared" si="37"/>
        <v>Unemployed</v>
      </c>
      <c r="L337">
        <v>24</v>
      </c>
      <c r="M337">
        <v>1158836</v>
      </c>
      <c r="N337">
        <f t="shared" si="38"/>
        <v>1158836</v>
      </c>
      <c r="O337">
        <v>295049</v>
      </c>
      <c r="P337">
        <v>11.27</v>
      </c>
      <c r="Q337">
        <v>36</v>
      </c>
      <c r="R337" t="s">
        <v>3051</v>
      </c>
      <c r="S337" t="str">
        <f t="shared" si="39"/>
        <v>Education</v>
      </c>
      <c r="T337">
        <v>432</v>
      </c>
      <c r="U337">
        <f t="shared" si="40"/>
        <v>432</v>
      </c>
      <c r="V337">
        <v>1</v>
      </c>
      <c r="W337" t="s">
        <v>3054</v>
      </c>
      <c r="X337" s="3" t="s">
        <v>3371</v>
      </c>
      <c r="Y337" s="3">
        <f t="shared" si="41"/>
        <v>44643</v>
      </c>
      <c r="Z337">
        <v>0.25459999999999999</v>
      </c>
    </row>
    <row r="338" spans="1:26" x14ac:dyDescent="0.35">
      <c r="A338" t="s">
        <v>353</v>
      </c>
      <c r="B338" t="str">
        <f t="shared" si="35"/>
        <v>OK</v>
      </c>
      <c r="C338" t="s">
        <v>1843</v>
      </c>
      <c r="D338" s="2">
        <v>22</v>
      </c>
      <c r="E338">
        <f>IF(OR(D338&lt;18, D338&gt;100),AD337,D338)</f>
        <v>22</v>
      </c>
      <c r="F338" t="s">
        <v>2992</v>
      </c>
      <c r="G338" t="str">
        <f t="shared" si="36"/>
        <v>Female</v>
      </c>
      <c r="H338" t="s">
        <v>3001</v>
      </c>
      <c r="I338" t="s">
        <v>3019</v>
      </c>
      <c r="K338" t="str">
        <f t="shared" si="37"/>
        <v>Employed</v>
      </c>
      <c r="L338">
        <v>29</v>
      </c>
      <c r="M338">
        <v>1270805</v>
      </c>
      <c r="N338">
        <f t="shared" si="38"/>
        <v>1270805</v>
      </c>
      <c r="O338">
        <v>359384</v>
      </c>
      <c r="P338">
        <v>10.33</v>
      </c>
      <c r="Q338">
        <v>24</v>
      </c>
      <c r="R338" t="s">
        <v>3048</v>
      </c>
      <c r="S338" t="str">
        <f t="shared" si="39"/>
        <v>Home Improvement</v>
      </c>
      <c r="T338">
        <v>519</v>
      </c>
      <c r="U338">
        <f t="shared" si="40"/>
        <v>519</v>
      </c>
      <c r="V338">
        <v>0</v>
      </c>
      <c r="W338" t="s">
        <v>3054</v>
      </c>
      <c r="X338" s="3" t="s">
        <v>3372</v>
      </c>
      <c r="Y338" s="3">
        <f t="shared" si="41"/>
        <v>44220</v>
      </c>
      <c r="Z338">
        <v>0.2828</v>
      </c>
    </row>
    <row r="339" spans="1:26" x14ac:dyDescent="0.35">
      <c r="A339" t="s">
        <v>354</v>
      </c>
      <c r="B339" t="str">
        <f t="shared" si="35"/>
        <v>OK</v>
      </c>
      <c r="C339" t="s">
        <v>1844</v>
      </c>
      <c r="D339" s="2">
        <v>47</v>
      </c>
      <c r="E339">
        <f>IF(OR(D339&lt;18, D339&gt;100),AD338,D339)</f>
        <v>47</v>
      </c>
      <c r="F339" t="s">
        <v>2992</v>
      </c>
      <c r="G339" t="str">
        <f t="shared" si="36"/>
        <v>Female</v>
      </c>
      <c r="H339" t="s">
        <v>3005</v>
      </c>
      <c r="I339" t="s">
        <v>3021</v>
      </c>
      <c r="K339" t="str">
        <f t="shared" si="37"/>
        <v>Unemployed</v>
      </c>
      <c r="L339">
        <v>27</v>
      </c>
      <c r="M339">
        <v>1245923</v>
      </c>
      <c r="N339">
        <f t="shared" si="38"/>
        <v>1245923</v>
      </c>
      <c r="O339">
        <v>201517</v>
      </c>
      <c r="P339">
        <v>11.73</v>
      </c>
      <c r="Q339">
        <v>24</v>
      </c>
      <c r="R339" t="s">
        <v>3048</v>
      </c>
      <c r="S339" t="str">
        <f t="shared" si="39"/>
        <v>Home Improvement</v>
      </c>
      <c r="T339">
        <v>678</v>
      </c>
      <c r="U339">
        <f t="shared" si="40"/>
        <v>678</v>
      </c>
      <c r="V339">
        <v>4</v>
      </c>
      <c r="W339" t="s">
        <v>3054</v>
      </c>
      <c r="X339" s="3" t="s">
        <v>3373</v>
      </c>
      <c r="Y339" s="3">
        <f t="shared" si="41"/>
        <v>45120</v>
      </c>
      <c r="Z339">
        <v>0.16170000000000001</v>
      </c>
    </row>
    <row r="340" spans="1:26" x14ac:dyDescent="0.35">
      <c r="A340" t="s">
        <v>355</v>
      </c>
      <c r="B340" t="str">
        <f t="shared" si="35"/>
        <v>OK</v>
      </c>
      <c r="C340" t="s">
        <v>1845</v>
      </c>
      <c r="D340" s="2">
        <v>48</v>
      </c>
      <c r="E340">
        <f>IF(OR(D340&lt;18, D340&gt;100),AD339,D340)</f>
        <v>48</v>
      </c>
      <c r="F340" t="s">
        <v>2992</v>
      </c>
      <c r="G340" t="str">
        <f t="shared" si="36"/>
        <v>Female</v>
      </c>
      <c r="H340" t="s">
        <v>2999</v>
      </c>
      <c r="I340" t="s">
        <v>3018</v>
      </c>
      <c r="K340" t="str">
        <f t="shared" si="37"/>
        <v>Business Owner</v>
      </c>
      <c r="L340">
        <v>18</v>
      </c>
      <c r="M340">
        <v>1514742</v>
      </c>
      <c r="N340">
        <f t="shared" si="38"/>
        <v>1514742</v>
      </c>
      <c r="O340">
        <v>255419</v>
      </c>
      <c r="P340">
        <v>9.24</v>
      </c>
      <c r="Q340">
        <v>36</v>
      </c>
      <c r="R340" t="s">
        <v>3050</v>
      </c>
      <c r="S340" t="str">
        <f t="shared" si="39"/>
        <v>Agriculture</v>
      </c>
      <c r="T340">
        <v>630</v>
      </c>
      <c r="U340">
        <f t="shared" si="40"/>
        <v>630</v>
      </c>
      <c r="V340">
        <v>6</v>
      </c>
      <c r="W340" t="s">
        <v>3053</v>
      </c>
      <c r="X340" s="3" t="s">
        <v>3142</v>
      </c>
      <c r="Y340" s="3">
        <f t="shared" si="41"/>
        <v>44937</v>
      </c>
      <c r="Z340">
        <v>0.1686</v>
      </c>
    </row>
    <row r="341" spans="1:26" x14ac:dyDescent="0.35">
      <c r="A341" t="s">
        <v>356</v>
      </c>
      <c r="B341" t="str">
        <f t="shared" si="35"/>
        <v>OK</v>
      </c>
      <c r="C341" t="s">
        <v>1846</v>
      </c>
      <c r="D341" s="2">
        <v>53</v>
      </c>
      <c r="E341">
        <f>IF(OR(D341&lt;18, D341&gt;100),AD340,D341)</f>
        <v>53</v>
      </c>
      <c r="F341" t="s">
        <v>2990</v>
      </c>
      <c r="G341" t="str">
        <f t="shared" si="36"/>
        <v>Male</v>
      </c>
      <c r="H341" t="s">
        <v>3000</v>
      </c>
      <c r="I341" t="s">
        <v>3020</v>
      </c>
      <c r="K341" t="str">
        <f t="shared" si="37"/>
        <v>Self-Employed</v>
      </c>
      <c r="L341">
        <v>16</v>
      </c>
      <c r="M341">
        <v>405049</v>
      </c>
      <c r="N341">
        <f t="shared" si="38"/>
        <v>405049</v>
      </c>
      <c r="O341">
        <v>645043</v>
      </c>
      <c r="P341">
        <v>9.91</v>
      </c>
      <c r="Q341">
        <v>12</v>
      </c>
      <c r="R341" t="s">
        <v>3051</v>
      </c>
      <c r="S341" t="str">
        <f t="shared" si="39"/>
        <v>Education</v>
      </c>
      <c r="T341">
        <v>552</v>
      </c>
      <c r="U341">
        <f t="shared" si="40"/>
        <v>552</v>
      </c>
      <c r="V341">
        <v>4</v>
      </c>
      <c r="W341" t="s">
        <v>3052</v>
      </c>
      <c r="X341" s="3" t="s">
        <v>3252</v>
      </c>
      <c r="Y341" s="3">
        <f t="shared" si="41"/>
        <v>44914</v>
      </c>
      <c r="Z341">
        <v>1.5925</v>
      </c>
    </row>
    <row r="342" spans="1:26" x14ac:dyDescent="0.35">
      <c r="A342" t="s">
        <v>357</v>
      </c>
      <c r="B342" t="str">
        <f t="shared" si="35"/>
        <v>OK</v>
      </c>
      <c r="C342" t="s">
        <v>1847</v>
      </c>
      <c r="D342" s="2">
        <v>22</v>
      </c>
      <c r="E342">
        <f>IF(OR(D342&lt;18, D342&gt;100),AD341,D342)</f>
        <v>22</v>
      </c>
      <c r="F342" t="s">
        <v>2990</v>
      </c>
      <c r="G342" t="str">
        <f t="shared" si="36"/>
        <v>Male</v>
      </c>
      <c r="H342" t="s">
        <v>3005</v>
      </c>
      <c r="I342" t="s">
        <v>3019</v>
      </c>
      <c r="K342" t="str">
        <f t="shared" si="37"/>
        <v>Employed</v>
      </c>
      <c r="L342">
        <v>0</v>
      </c>
      <c r="M342">
        <v>1312658</v>
      </c>
      <c r="N342">
        <f t="shared" si="38"/>
        <v>1312658</v>
      </c>
      <c r="O342">
        <v>20159</v>
      </c>
      <c r="P342" t="s">
        <v>3028</v>
      </c>
      <c r="Q342">
        <v>24</v>
      </c>
      <c r="R342" t="s">
        <v>3050</v>
      </c>
      <c r="S342" t="str">
        <f t="shared" si="39"/>
        <v>Agriculture</v>
      </c>
      <c r="T342">
        <v>597</v>
      </c>
      <c r="U342">
        <f t="shared" si="40"/>
        <v>597</v>
      </c>
      <c r="V342">
        <v>0</v>
      </c>
      <c r="W342" t="s">
        <v>3056</v>
      </c>
      <c r="X342" s="3" t="s">
        <v>3374</v>
      </c>
      <c r="Y342" s="3">
        <f t="shared" si="41"/>
        <v>44307</v>
      </c>
      <c r="Z342">
        <v>1.54E-2</v>
      </c>
    </row>
    <row r="343" spans="1:26" x14ac:dyDescent="0.35">
      <c r="A343" t="s">
        <v>358</v>
      </c>
      <c r="B343" t="str">
        <f t="shared" si="35"/>
        <v>OK</v>
      </c>
      <c r="C343" t="s">
        <v>1848</v>
      </c>
      <c r="D343" s="2">
        <v>23</v>
      </c>
      <c r="E343">
        <f>IF(OR(D343&lt;18, D343&gt;100),AD342,D343)</f>
        <v>23</v>
      </c>
      <c r="F343" t="s">
        <v>2992</v>
      </c>
      <c r="G343" t="str">
        <f t="shared" si="36"/>
        <v>Female</v>
      </c>
      <c r="H343" t="s">
        <v>3005</v>
      </c>
      <c r="I343" t="s">
        <v>3019</v>
      </c>
      <c r="K343" t="str">
        <f t="shared" si="37"/>
        <v>Employed</v>
      </c>
      <c r="L343">
        <v>9</v>
      </c>
      <c r="M343">
        <v>2298433</v>
      </c>
      <c r="N343">
        <f t="shared" si="38"/>
        <v>2298433</v>
      </c>
      <c r="O343">
        <v>441594</v>
      </c>
      <c r="P343">
        <v>14.73</v>
      </c>
      <c r="Q343">
        <v>24</v>
      </c>
      <c r="R343" t="s">
        <v>3048</v>
      </c>
      <c r="S343" t="str">
        <f t="shared" si="39"/>
        <v>Home Improvement</v>
      </c>
      <c r="T343">
        <v>632</v>
      </c>
      <c r="U343">
        <f t="shared" si="40"/>
        <v>632</v>
      </c>
      <c r="V343">
        <v>3</v>
      </c>
      <c r="W343" t="s">
        <v>3057</v>
      </c>
      <c r="X343" s="3" t="s">
        <v>3375</v>
      </c>
      <c r="Y343" s="3">
        <f t="shared" si="41"/>
        <v>44494</v>
      </c>
      <c r="Z343">
        <v>0.19209999999999999</v>
      </c>
    </row>
    <row r="344" spans="1:26" x14ac:dyDescent="0.35">
      <c r="A344" t="s">
        <v>359</v>
      </c>
      <c r="B344" t="str">
        <f t="shared" si="35"/>
        <v>OK</v>
      </c>
      <c r="C344" t="s">
        <v>1849</v>
      </c>
      <c r="D344" s="2">
        <v>55</v>
      </c>
      <c r="E344">
        <f>IF(OR(D344&lt;18, D344&gt;100),AD343,D344)</f>
        <v>55</v>
      </c>
      <c r="F344" t="s">
        <v>2990</v>
      </c>
      <c r="G344" t="str">
        <f t="shared" si="36"/>
        <v>Male</v>
      </c>
      <c r="H344" t="s">
        <v>3001</v>
      </c>
      <c r="I344" t="s">
        <v>3020</v>
      </c>
      <c r="K344" t="str">
        <f t="shared" si="37"/>
        <v>Self-Employed</v>
      </c>
      <c r="L344">
        <v>16</v>
      </c>
      <c r="M344">
        <v>714003</v>
      </c>
      <c r="N344">
        <f t="shared" si="38"/>
        <v>714003</v>
      </c>
      <c r="O344">
        <v>271514</v>
      </c>
      <c r="P344">
        <v>21</v>
      </c>
      <c r="Q344">
        <v>24</v>
      </c>
      <c r="R344" t="s">
        <v>3051</v>
      </c>
      <c r="S344" t="str">
        <f t="shared" si="39"/>
        <v>Education</v>
      </c>
      <c r="T344">
        <v>653</v>
      </c>
      <c r="U344">
        <f t="shared" si="40"/>
        <v>653</v>
      </c>
      <c r="V344">
        <v>4</v>
      </c>
      <c r="W344" t="s">
        <v>3053</v>
      </c>
      <c r="X344" s="3" t="s">
        <v>3376</v>
      </c>
      <c r="Y344" s="3">
        <f t="shared" si="41"/>
        <v>44692</v>
      </c>
      <c r="Z344">
        <v>0.38030000000000003</v>
      </c>
    </row>
    <row r="345" spans="1:26" x14ac:dyDescent="0.35">
      <c r="A345" t="s">
        <v>360</v>
      </c>
      <c r="B345" t="str">
        <f t="shared" si="35"/>
        <v>OK</v>
      </c>
      <c r="C345" t="s">
        <v>1850</v>
      </c>
      <c r="D345" s="2">
        <v>40</v>
      </c>
      <c r="E345">
        <f>IF(OR(D345&lt;18, D345&gt;100),AD344,D345)</f>
        <v>40</v>
      </c>
      <c r="F345" t="s">
        <v>2990</v>
      </c>
      <c r="G345" t="str">
        <f t="shared" si="36"/>
        <v>Male</v>
      </c>
      <c r="H345" t="s">
        <v>3006</v>
      </c>
      <c r="I345" t="s">
        <v>3020</v>
      </c>
      <c r="K345" t="str">
        <f t="shared" si="37"/>
        <v>Self-Employed</v>
      </c>
      <c r="L345">
        <v>26</v>
      </c>
      <c r="M345">
        <v>1112883</v>
      </c>
      <c r="N345">
        <f t="shared" si="38"/>
        <v>1112883</v>
      </c>
      <c r="O345">
        <v>615131</v>
      </c>
      <c r="P345">
        <v>14.68</v>
      </c>
      <c r="Q345">
        <v>24</v>
      </c>
      <c r="R345" t="s">
        <v>3048</v>
      </c>
      <c r="S345" t="str">
        <f t="shared" si="39"/>
        <v>Home Improvement</v>
      </c>
      <c r="T345">
        <v>582</v>
      </c>
      <c r="U345">
        <f t="shared" si="40"/>
        <v>582</v>
      </c>
      <c r="V345">
        <v>1</v>
      </c>
      <c r="W345" t="s">
        <v>3053</v>
      </c>
      <c r="X345" s="3" t="s">
        <v>3377</v>
      </c>
      <c r="Y345" s="3">
        <f t="shared" si="41"/>
        <v>44323</v>
      </c>
      <c r="Z345">
        <v>0.55269999999999997</v>
      </c>
    </row>
    <row r="346" spans="1:26" x14ac:dyDescent="0.35">
      <c r="A346" t="s">
        <v>361</v>
      </c>
      <c r="B346" t="str">
        <f t="shared" si="35"/>
        <v>OK</v>
      </c>
      <c r="C346" t="s">
        <v>1851</v>
      </c>
      <c r="D346" s="2">
        <v>30</v>
      </c>
      <c r="E346">
        <f>IF(OR(D346&lt;18, D346&gt;100),AD345,D346)</f>
        <v>30</v>
      </c>
      <c r="F346" t="s">
        <v>2992</v>
      </c>
      <c r="G346" t="str">
        <f t="shared" si="36"/>
        <v>Female</v>
      </c>
      <c r="H346" t="s">
        <v>2998</v>
      </c>
      <c r="I346" t="s">
        <v>3018</v>
      </c>
      <c r="K346" t="str">
        <f t="shared" si="37"/>
        <v>Business Owner</v>
      </c>
      <c r="L346">
        <v>7</v>
      </c>
      <c r="M346">
        <v>937771</v>
      </c>
      <c r="N346">
        <f t="shared" si="38"/>
        <v>937771</v>
      </c>
      <c r="O346">
        <v>610504</v>
      </c>
      <c r="P346">
        <v>12.81</v>
      </c>
      <c r="Q346">
        <v>60</v>
      </c>
      <c r="R346" t="s">
        <v>3051</v>
      </c>
      <c r="S346" t="str">
        <f t="shared" si="39"/>
        <v>Education</v>
      </c>
      <c r="T346">
        <v>778</v>
      </c>
      <c r="U346">
        <f t="shared" si="40"/>
        <v>778</v>
      </c>
      <c r="V346">
        <v>6</v>
      </c>
      <c r="W346" t="s">
        <v>3053</v>
      </c>
      <c r="X346" s="3" t="s">
        <v>3378</v>
      </c>
      <c r="Y346" s="3">
        <f t="shared" si="41"/>
        <v>44736</v>
      </c>
      <c r="Z346">
        <v>0.65100000000000002</v>
      </c>
    </row>
    <row r="347" spans="1:26" x14ac:dyDescent="0.35">
      <c r="A347" t="s">
        <v>362</v>
      </c>
      <c r="B347" t="str">
        <f t="shared" si="35"/>
        <v>OK</v>
      </c>
      <c r="C347" t="s">
        <v>1852</v>
      </c>
      <c r="D347" s="2">
        <v>44</v>
      </c>
      <c r="E347">
        <f>IF(OR(D347&lt;18, D347&gt;100),AD346,D347)</f>
        <v>44</v>
      </c>
      <c r="F347" t="s">
        <v>2992</v>
      </c>
      <c r="G347" t="str">
        <f t="shared" si="36"/>
        <v>Female</v>
      </c>
      <c r="H347" t="s">
        <v>3007</v>
      </c>
      <c r="I347" t="s">
        <v>3018</v>
      </c>
      <c r="K347" t="str">
        <f t="shared" si="37"/>
        <v>Business Owner</v>
      </c>
      <c r="L347">
        <v>22</v>
      </c>
      <c r="M347">
        <v>1906605</v>
      </c>
      <c r="N347">
        <f t="shared" si="38"/>
        <v>1906605</v>
      </c>
      <c r="O347">
        <v>729676</v>
      </c>
      <c r="P347">
        <v>13.67</v>
      </c>
      <c r="Q347">
        <v>12</v>
      </c>
      <c r="R347" t="s">
        <v>3050</v>
      </c>
      <c r="S347" t="str">
        <f t="shared" si="39"/>
        <v>Agriculture</v>
      </c>
      <c r="T347">
        <v>491</v>
      </c>
      <c r="U347">
        <f t="shared" si="40"/>
        <v>491</v>
      </c>
      <c r="V347">
        <v>0</v>
      </c>
      <c r="W347" t="s">
        <v>3056</v>
      </c>
      <c r="X347" s="3" t="s">
        <v>3379</v>
      </c>
      <c r="Y347" s="3">
        <f t="shared" si="41"/>
        <v>44973</v>
      </c>
      <c r="Z347">
        <v>0.38269999999999998</v>
      </c>
    </row>
    <row r="348" spans="1:26" x14ac:dyDescent="0.35">
      <c r="A348" t="s">
        <v>363</v>
      </c>
      <c r="B348" t="str">
        <f t="shared" si="35"/>
        <v>OK</v>
      </c>
      <c r="C348" t="s">
        <v>1853</v>
      </c>
      <c r="D348" s="2">
        <v>55</v>
      </c>
      <c r="E348">
        <f>IF(OR(D348&lt;18, D348&gt;100),AD347,D348)</f>
        <v>55</v>
      </c>
      <c r="F348" t="s">
        <v>2992</v>
      </c>
      <c r="G348" t="str">
        <f t="shared" si="36"/>
        <v>Female</v>
      </c>
      <c r="H348" t="s">
        <v>3005</v>
      </c>
      <c r="I348" t="s">
        <v>3020</v>
      </c>
      <c r="K348" t="str">
        <f t="shared" si="37"/>
        <v>Self-Employed</v>
      </c>
      <c r="L348">
        <v>25</v>
      </c>
      <c r="M348">
        <v>643547</v>
      </c>
      <c r="N348">
        <f t="shared" si="38"/>
        <v>643547</v>
      </c>
      <c r="O348">
        <v>421062</v>
      </c>
      <c r="P348">
        <v>16.84</v>
      </c>
      <c r="Q348">
        <v>48</v>
      </c>
      <c r="R348" t="s">
        <v>3050</v>
      </c>
      <c r="S348" t="str">
        <f t="shared" si="39"/>
        <v>Agriculture</v>
      </c>
      <c r="T348">
        <v>713</v>
      </c>
      <c r="U348">
        <f t="shared" si="40"/>
        <v>713</v>
      </c>
      <c r="V348">
        <v>3</v>
      </c>
      <c r="W348" t="s">
        <v>3052</v>
      </c>
      <c r="X348" s="3" t="s">
        <v>3380</v>
      </c>
      <c r="Y348" s="3">
        <f t="shared" si="41"/>
        <v>44942</v>
      </c>
      <c r="Z348">
        <v>0.65429999999999999</v>
      </c>
    </row>
    <row r="349" spans="1:26" x14ac:dyDescent="0.35">
      <c r="A349" t="s">
        <v>364</v>
      </c>
      <c r="B349" t="str">
        <f t="shared" si="35"/>
        <v>OK</v>
      </c>
      <c r="C349" t="s">
        <v>1854</v>
      </c>
      <c r="D349" s="2">
        <v>31</v>
      </c>
      <c r="E349">
        <f>IF(OR(D349&lt;18, D349&gt;100),AD348,D349)</f>
        <v>31</v>
      </c>
      <c r="F349" t="s">
        <v>2990</v>
      </c>
      <c r="G349" t="str">
        <f t="shared" si="36"/>
        <v>Male</v>
      </c>
      <c r="H349" t="s">
        <v>3007</v>
      </c>
      <c r="I349" t="s">
        <v>3021</v>
      </c>
      <c r="K349" t="str">
        <f t="shared" si="37"/>
        <v>Unemployed</v>
      </c>
      <c r="L349">
        <v>18</v>
      </c>
      <c r="M349">
        <v>997052</v>
      </c>
      <c r="N349">
        <f t="shared" si="38"/>
        <v>997052</v>
      </c>
      <c r="O349">
        <v>271671</v>
      </c>
      <c r="P349">
        <v>10.54</v>
      </c>
      <c r="Q349">
        <v>12</v>
      </c>
      <c r="R349" t="s">
        <v>3048</v>
      </c>
      <c r="S349" t="str">
        <f t="shared" si="39"/>
        <v>Home Improvement</v>
      </c>
      <c r="T349">
        <v>575</v>
      </c>
      <c r="U349">
        <f t="shared" si="40"/>
        <v>575</v>
      </c>
      <c r="V349">
        <v>3</v>
      </c>
      <c r="W349" t="s">
        <v>3057</v>
      </c>
      <c r="X349" s="3" t="s">
        <v>3381</v>
      </c>
      <c r="Y349" s="3">
        <f t="shared" si="41"/>
        <v>43843</v>
      </c>
      <c r="Z349">
        <v>0.27250000000000002</v>
      </c>
    </row>
    <row r="350" spans="1:26" x14ac:dyDescent="0.35">
      <c r="A350" t="s">
        <v>365</v>
      </c>
      <c r="B350" t="str">
        <f t="shared" si="35"/>
        <v>OK</v>
      </c>
      <c r="C350" t="s">
        <v>1855</v>
      </c>
      <c r="D350" s="2">
        <v>44</v>
      </c>
      <c r="E350">
        <f>IF(OR(D350&lt;18, D350&gt;100),AD349,D350)</f>
        <v>44</v>
      </c>
      <c r="F350" t="s">
        <v>2990</v>
      </c>
      <c r="G350" t="str">
        <f t="shared" si="36"/>
        <v>Male</v>
      </c>
      <c r="H350" t="s">
        <v>3002</v>
      </c>
      <c r="I350" t="s">
        <v>3018</v>
      </c>
      <c r="K350" t="str">
        <f t="shared" si="37"/>
        <v>Business Owner</v>
      </c>
      <c r="L350">
        <v>29</v>
      </c>
      <c r="M350">
        <v>1848321</v>
      </c>
      <c r="N350">
        <f t="shared" si="38"/>
        <v>1848321</v>
      </c>
      <c r="O350">
        <v>206633</v>
      </c>
      <c r="P350">
        <v>20.63</v>
      </c>
      <c r="Q350">
        <v>36</v>
      </c>
      <c r="R350" t="s">
        <v>3050</v>
      </c>
      <c r="S350" t="str">
        <f t="shared" si="39"/>
        <v>Agriculture</v>
      </c>
      <c r="T350">
        <v>432</v>
      </c>
      <c r="U350">
        <f t="shared" si="40"/>
        <v>432</v>
      </c>
      <c r="V350">
        <v>2</v>
      </c>
      <c r="W350" t="s">
        <v>3060</v>
      </c>
      <c r="X350" s="3" t="s">
        <v>3382</v>
      </c>
      <c r="Y350" s="3">
        <f t="shared" si="41"/>
        <v>44986</v>
      </c>
      <c r="Z350">
        <v>0.1118</v>
      </c>
    </row>
    <row r="351" spans="1:26" x14ac:dyDescent="0.35">
      <c r="A351" t="s">
        <v>366</v>
      </c>
      <c r="B351" t="str">
        <f t="shared" si="35"/>
        <v>OK</v>
      </c>
      <c r="C351" t="s">
        <v>1856</v>
      </c>
      <c r="D351" s="2">
        <v>34</v>
      </c>
      <c r="E351">
        <f>IF(OR(D351&lt;18, D351&gt;100),AD350,D351)</f>
        <v>34</v>
      </c>
      <c r="F351" t="s">
        <v>2990</v>
      </c>
      <c r="G351" t="str">
        <f t="shared" si="36"/>
        <v>Male</v>
      </c>
      <c r="H351" t="s">
        <v>2999</v>
      </c>
      <c r="I351" t="s">
        <v>3021</v>
      </c>
      <c r="K351" t="str">
        <f t="shared" si="37"/>
        <v>Unemployed</v>
      </c>
      <c r="L351">
        <v>28</v>
      </c>
      <c r="M351">
        <v>1004255</v>
      </c>
      <c r="N351">
        <f t="shared" si="38"/>
        <v>1004255</v>
      </c>
      <c r="O351">
        <v>778761</v>
      </c>
      <c r="P351">
        <v>23.32</v>
      </c>
      <c r="Q351">
        <v>24</v>
      </c>
      <c r="R351" t="s">
        <v>3051</v>
      </c>
      <c r="S351" t="str">
        <f t="shared" si="39"/>
        <v>Education</v>
      </c>
      <c r="T351">
        <v>556</v>
      </c>
      <c r="U351">
        <f t="shared" si="40"/>
        <v>556</v>
      </c>
      <c r="V351">
        <v>4</v>
      </c>
      <c r="W351" t="s">
        <v>3053</v>
      </c>
      <c r="X351" s="3" t="s">
        <v>3383</v>
      </c>
      <c r="Y351" s="3">
        <f t="shared" si="41"/>
        <v>44421</v>
      </c>
      <c r="Z351">
        <v>0.77549999999999997</v>
      </c>
    </row>
    <row r="352" spans="1:26" x14ac:dyDescent="0.35">
      <c r="A352" t="s">
        <v>367</v>
      </c>
      <c r="B352" t="str">
        <f t="shared" si="35"/>
        <v>OK</v>
      </c>
      <c r="C352" t="s">
        <v>1857</v>
      </c>
      <c r="D352" s="2">
        <v>37</v>
      </c>
      <c r="E352">
        <f>IF(OR(D352&lt;18, D352&gt;100),AD351,D352)</f>
        <v>37</v>
      </c>
      <c r="F352" t="s">
        <v>2992</v>
      </c>
      <c r="G352" t="str">
        <f t="shared" si="36"/>
        <v>Female</v>
      </c>
      <c r="H352" t="s">
        <v>3004</v>
      </c>
      <c r="I352" t="s">
        <v>3021</v>
      </c>
      <c r="K352" t="str">
        <f t="shared" si="37"/>
        <v>Unemployed</v>
      </c>
      <c r="L352">
        <v>19</v>
      </c>
      <c r="M352">
        <v>465555</v>
      </c>
      <c r="N352">
        <f t="shared" si="38"/>
        <v>465555</v>
      </c>
      <c r="O352">
        <v>298355</v>
      </c>
      <c r="P352">
        <v>12.69</v>
      </c>
      <c r="Q352">
        <v>48</v>
      </c>
      <c r="R352" t="s">
        <v>3049</v>
      </c>
      <c r="S352" t="str">
        <f t="shared" si="39"/>
        <v>Business</v>
      </c>
      <c r="T352">
        <v>674</v>
      </c>
      <c r="U352">
        <f t="shared" si="40"/>
        <v>674</v>
      </c>
      <c r="V352">
        <v>3</v>
      </c>
      <c r="W352" t="s">
        <v>3053</v>
      </c>
      <c r="X352" s="3" t="s">
        <v>3384</v>
      </c>
      <c r="Y352" s="3">
        <f t="shared" si="41"/>
        <v>44971</v>
      </c>
      <c r="Z352">
        <v>0.64090000000000003</v>
      </c>
    </row>
    <row r="353" spans="1:26" x14ac:dyDescent="0.35">
      <c r="A353" t="s">
        <v>368</v>
      </c>
      <c r="B353" t="str">
        <f t="shared" si="35"/>
        <v>OK</v>
      </c>
      <c r="C353" t="s">
        <v>1858</v>
      </c>
      <c r="D353" s="2">
        <v>39</v>
      </c>
      <c r="E353">
        <f>IF(OR(D353&lt;18, D353&gt;100),AD352,D353)</f>
        <v>39</v>
      </c>
      <c r="F353" t="s">
        <v>2992</v>
      </c>
      <c r="G353" t="str">
        <f t="shared" si="36"/>
        <v>Female</v>
      </c>
      <c r="H353" t="s">
        <v>2999</v>
      </c>
      <c r="I353" t="s">
        <v>3019</v>
      </c>
      <c r="K353" t="str">
        <f t="shared" si="37"/>
        <v>Employed</v>
      </c>
      <c r="L353">
        <v>4</v>
      </c>
      <c r="M353">
        <v>255388</v>
      </c>
      <c r="N353">
        <f t="shared" si="38"/>
        <v>255388</v>
      </c>
      <c r="O353">
        <v>211387</v>
      </c>
      <c r="P353">
        <v>19.12</v>
      </c>
      <c r="Q353">
        <v>24</v>
      </c>
      <c r="S353" t="str">
        <f t="shared" si="39"/>
        <v>Unknown</v>
      </c>
      <c r="T353">
        <v>675</v>
      </c>
      <c r="U353">
        <f t="shared" si="40"/>
        <v>675</v>
      </c>
      <c r="V353">
        <v>2</v>
      </c>
      <c r="W353" t="s">
        <v>3057</v>
      </c>
      <c r="X353" s="3" t="s">
        <v>3385</v>
      </c>
      <c r="Y353" s="3">
        <f t="shared" si="41"/>
        <v>44663</v>
      </c>
      <c r="Z353">
        <v>0.82769999999999999</v>
      </c>
    </row>
    <row r="354" spans="1:26" x14ac:dyDescent="0.35">
      <c r="A354" t="s">
        <v>369</v>
      </c>
      <c r="B354" t="str">
        <f t="shared" si="35"/>
        <v>OK</v>
      </c>
      <c r="C354" t="s">
        <v>1859</v>
      </c>
      <c r="D354" s="2">
        <v>58</v>
      </c>
      <c r="E354">
        <f>IF(OR(D354&lt;18, D354&gt;100),AD353,D354)</f>
        <v>58</v>
      </c>
      <c r="F354" t="s">
        <v>2992</v>
      </c>
      <c r="G354" t="str">
        <f t="shared" si="36"/>
        <v>Female</v>
      </c>
      <c r="H354" t="s">
        <v>2998</v>
      </c>
      <c r="I354" t="s">
        <v>3019</v>
      </c>
      <c r="K354" t="str">
        <f t="shared" si="37"/>
        <v>Employed</v>
      </c>
      <c r="L354">
        <v>7</v>
      </c>
      <c r="M354">
        <v>1692760</v>
      </c>
      <c r="N354">
        <f t="shared" si="38"/>
        <v>1692760</v>
      </c>
      <c r="O354">
        <v>25520</v>
      </c>
      <c r="P354">
        <v>16.010000000000002</v>
      </c>
      <c r="Q354">
        <v>60</v>
      </c>
      <c r="R354" t="s">
        <v>3048</v>
      </c>
      <c r="S354" t="str">
        <f t="shared" si="39"/>
        <v>Home Improvement</v>
      </c>
      <c r="T354">
        <v>406</v>
      </c>
      <c r="U354">
        <f t="shared" si="40"/>
        <v>406</v>
      </c>
      <c r="V354">
        <v>0</v>
      </c>
      <c r="W354" t="s">
        <v>3054</v>
      </c>
      <c r="X354" s="3" t="s">
        <v>3386</v>
      </c>
      <c r="Y354" s="3">
        <f t="shared" si="41"/>
        <v>44683</v>
      </c>
      <c r="Z354">
        <v>1.5100000000000001E-2</v>
      </c>
    </row>
    <row r="355" spans="1:26" x14ac:dyDescent="0.35">
      <c r="A355" t="s">
        <v>370</v>
      </c>
      <c r="B355" t="str">
        <f t="shared" si="35"/>
        <v>OK</v>
      </c>
      <c r="C355" t="s">
        <v>1860</v>
      </c>
      <c r="D355" s="2">
        <v>50</v>
      </c>
      <c r="E355">
        <f>IF(OR(D355&lt;18, D355&gt;100),AD354,D355)</f>
        <v>50</v>
      </c>
      <c r="F355" t="s">
        <v>2992</v>
      </c>
      <c r="G355" t="str">
        <f t="shared" si="36"/>
        <v>Female</v>
      </c>
      <c r="H355" t="s">
        <v>2998</v>
      </c>
      <c r="I355" t="s">
        <v>3021</v>
      </c>
      <c r="K355" t="str">
        <f t="shared" si="37"/>
        <v>Unemployed</v>
      </c>
      <c r="L355">
        <v>13</v>
      </c>
      <c r="M355">
        <v>988258</v>
      </c>
      <c r="N355">
        <f t="shared" si="38"/>
        <v>988258</v>
      </c>
      <c r="O355">
        <v>694943</v>
      </c>
      <c r="P355">
        <v>19.29</v>
      </c>
      <c r="Q355">
        <v>24</v>
      </c>
      <c r="R355" t="s">
        <v>3051</v>
      </c>
      <c r="S355" t="str">
        <f t="shared" si="39"/>
        <v>Education</v>
      </c>
      <c r="T355">
        <v>496</v>
      </c>
      <c r="U355">
        <f t="shared" si="40"/>
        <v>496</v>
      </c>
      <c r="V355">
        <v>1</v>
      </c>
      <c r="W355" t="s">
        <v>3055</v>
      </c>
      <c r="X355" s="3" t="s">
        <v>3387</v>
      </c>
      <c r="Y355" s="3">
        <f t="shared" si="41"/>
        <v>44265</v>
      </c>
      <c r="Z355">
        <v>0.70320000000000005</v>
      </c>
    </row>
    <row r="356" spans="1:26" x14ac:dyDescent="0.35">
      <c r="A356" t="s">
        <v>371</v>
      </c>
      <c r="B356" t="str">
        <f t="shared" si="35"/>
        <v>OK</v>
      </c>
      <c r="C356" t="s">
        <v>1861</v>
      </c>
      <c r="D356" s="2">
        <v>54</v>
      </c>
      <c r="E356">
        <f>IF(OR(D356&lt;18, D356&gt;100),AD355,D356)</f>
        <v>54</v>
      </c>
      <c r="F356" t="s">
        <v>2992</v>
      </c>
      <c r="G356" t="str">
        <f t="shared" si="36"/>
        <v>Female</v>
      </c>
      <c r="H356" t="s">
        <v>3004</v>
      </c>
      <c r="I356" t="s">
        <v>3021</v>
      </c>
      <c r="K356" t="str">
        <f t="shared" si="37"/>
        <v>Unemployed</v>
      </c>
      <c r="L356">
        <v>17</v>
      </c>
      <c r="M356">
        <v>2276952</v>
      </c>
      <c r="N356">
        <f t="shared" si="38"/>
        <v>2276952</v>
      </c>
      <c r="O356">
        <v>234127</v>
      </c>
      <c r="P356">
        <v>12.12</v>
      </c>
      <c r="Q356">
        <v>36</v>
      </c>
      <c r="R356" t="s">
        <v>3049</v>
      </c>
      <c r="S356" t="str">
        <f t="shared" si="39"/>
        <v>Business</v>
      </c>
      <c r="T356">
        <v>311</v>
      </c>
      <c r="U356">
        <f t="shared" si="40"/>
        <v>311</v>
      </c>
      <c r="V356">
        <v>6</v>
      </c>
      <c r="W356" t="s">
        <v>3057</v>
      </c>
      <c r="X356" s="3" t="s">
        <v>3388</v>
      </c>
      <c r="Y356" s="3">
        <f t="shared" si="41"/>
        <v>44344</v>
      </c>
      <c r="Z356">
        <v>0.1028</v>
      </c>
    </row>
    <row r="357" spans="1:26" x14ac:dyDescent="0.35">
      <c r="A357" t="s">
        <v>372</v>
      </c>
      <c r="B357" t="str">
        <f t="shared" si="35"/>
        <v>OK</v>
      </c>
      <c r="C357" t="s">
        <v>1862</v>
      </c>
      <c r="D357" s="2">
        <v>22</v>
      </c>
      <c r="E357">
        <f>IF(OR(D357&lt;18, D357&gt;100),AD356,D357)</f>
        <v>22</v>
      </c>
      <c r="G357" t="str">
        <f t="shared" si="36"/>
        <v>Unknown</v>
      </c>
      <c r="H357" t="s">
        <v>2999</v>
      </c>
      <c r="I357" t="s">
        <v>3021</v>
      </c>
      <c r="K357" t="str">
        <f t="shared" si="37"/>
        <v>Unemployed</v>
      </c>
      <c r="L357">
        <v>18</v>
      </c>
      <c r="M357">
        <v>1402471</v>
      </c>
      <c r="N357">
        <f t="shared" si="38"/>
        <v>1402471</v>
      </c>
      <c r="O357">
        <v>632181</v>
      </c>
      <c r="P357">
        <v>20.05</v>
      </c>
      <c r="Q357">
        <v>12</v>
      </c>
      <c r="R357" t="s">
        <v>3048</v>
      </c>
      <c r="S357" t="str">
        <f t="shared" si="39"/>
        <v>Home Improvement</v>
      </c>
      <c r="T357">
        <v>747</v>
      </c>
      <c r="U357">
        <f t="shared" si="40"/>
        <v>747</v>
      </c>
      <c r="V357">
        <v>7</v>
      </c>
      <c r="W357" t="s">
        <v>3055</v>
      </c>
      <c r="X357" s="3" t="s">
        <v>3389</v>
      </c>
      <c r="Y357" s="3">
        <f t="shared" si="41"/>
        <v>44901</v>
      </c>
      <c r="Z357">
        <v>0.45079999999999998</v>
      </c>
    </row>
    <row r="358" spans="1:26" x14ac:dyDescent="0.35">
      <c r="A358" t="s">
        <v>373</v>
      </c>
      <c r="B358" t="str">
        <f t="shared" si="35"/>
        <v>OK</v>
      </c>
      <c r="C358" t="s">
        <v>1863</v>
      </c>
      <c r="D358" s="2">
        <v>35</v>
      </c>
      <c r="E358">
        <f>IF(OR(D358&lt;18, D358&gt;100),AD357,D358)</f>
        <v>35</v>
      </c>
      <c r="F358" t="s">
        <v>2990</v>
      </c>
      <c r="G358" t="str">
        <f t="shared" si="36"/>
        <v>Male</v>
      </c>
      <c r="H358" t="s">
        <v>3002</v>
      </c>
      <c r="I358" t="s">
        <v>3020</v>
      </c>
      <c r="K358" t="str">
        <f t="shared" si="37"/>
        <v>Self-Employed</v>
      </c>
      <c r="L358">
        <v>10</v>
      </c>
      <c r="M358">
        <v>1887017</v>
      </c>
      <c r="N358">
        <f t="shared" si="38"/>
        <v>1887017</v>
      </c>
      <c r="O358">
        <v>425841</v>
      </c>
      <c r="P358">
        <v>16.309999999999999</v>
      </c>
      <c r="Q358">
        <v>60</v>
      </c>
      <c r="S358" t="str">
        <f t="shared" si="39"/>
        <v>Unknown</v>
      </c>
      <c r="T358">
        <v>388</v>
      </c>
      <c r="U358">
        <f t="shared" si="40"/>
        <v>388</v>
      </c>
      <c r="V358">
        <v>3</v>
      </c>
      <c r="W358" t="s">
        <v>3056</v>
      </c>
      <c r="X358" s="3" t="s">
        <v>3390</v>
      </c>
      <c r="Y358" s="3">
        <f t="shared" si="41"/>
        <v>44008</v>
      </c>
      <c r="Z358">
        <v>0.22570000000000001</v>
      </c>
    </row>
    <row r="359" spans="1:26" x14ac:dyDescent="0.35">
      <c r="A359" t="s">
        <v>374</v>
      </c>
      <c r="B359" t="str">
        <f t="shared" si="35"/>
        <v>OK</v>
      </c>
      <c r="C359" t="s">
        <v>1864</v>
      </c>
      <c r="D359" s="2">
        <v>64</v>
      </c>
      <c r="E359">
        <f>IF(OR(D359&lt;18, D359&gt;100),AD358,D359)</f>
        <v>64</v>
      </c>
      <c r="F359" t="s">
        <v>2990</v>
      </c>
      <c r="G359" t="str">
        <f t="shared" si="36"/>
        <v>Male</v>
      </c>
      <c r="H359" t="s">
        <v>2998</v>
      </c>
      <c r="I359" t="s">
        <v>3018</v>
      </c>
      <c r="K359" t="str">
        <f t="shared" si="37"/>
        <v>Business Owner</v>
      </c>
      <c r="L359">
        <v>29</v>
      </c>
      <c r="M359">
        <v>1771218</v>
      </c>
      <c r="N359">
        <f t="shared" si="38"/>
        <v>1771218</v>
      </c>
      <c r="O359">
        <v>560023</v>
      </c>
      <c r="P359">
        <v>27.06</v>
      </c>
      <c r="Q359">
        <v>48</v>
      </c>
      <c r="R359" t="s">
        <v>3051</v>
      </c>
      <c r="S359" t="str">
        <f t="shared" si="39"/>
        <v>Education</v>
      </c>
      <c r="T359">
        <v>791</v>
      </c>
      <c r="U359">
        <f t="shared" si="40"/>
        <v>791</v>
      </c>
      <c r="V359">
        <v>4</v>
      </c>
      <c r="W359" t="s">
        <v>3054</v>
      </c>
      <c r="X359" s="3" t="s">
        <v>3391</v>
      </c>
      <c r="Y359" s="3">
        <f t="shared" si="41"/>
        <v>45151</v>
      </c>
      <c r="Z359">
        <v>0.31619999999999998</v>
      </c>
    </row>
    <row r="360" spans="1:26" x14ac:dyDescent="0.35">
      <c r="A360" t="s">
        <v>375</v>
      </c>
      <c r="B360" t="str">
        <f t="shared" si="35"/>
        <v>OK</v>
      </c>
      <c r="C360" t="s">
        <v>1865</v>
      </c>
      <c r="D360" s="2">
        <v>33</v>
      </c>
      <c r="E360">
        <f>IF(OR(D360&lt;18, D360&gt;100),AD359,D360)</f>
        <v>33</v>
      </c>
      <c r="F360" t="s">
        <v>2992</v>
      </c>
      <c r="G360" t="str">
        <f t="shared" si="36"/>
        <v>Female</v>
      </c>
      <c r="H360" t="s">
        <v>2999</v>
      </c>
      <c r="I360" t="s">
        <v>3020</v>
      </c>
      <c r="K360" t="str">
        <f t="shared" si="37"/>
        <v>Self-Employed</v>
      </c>
      <c r="L360">
        <v>17</v>
      </c>
      <c r="M360">
        <v>510904</v>
      </c>
      <c r="N360">
        <f t="shared" si="38"/>
        <v>510904</v>
      </c>
      <c r="O360">
        <v>601793</v>
      </c>
      <c r="P360">
        <v>12.93</v>
      </c>
      <c r="Q360">
        <v>24</v>
      </c>
      <c r="R360" t="s">
        <v>3050</v>
      </c>
      <c r="S360" t="str">
        <f t="shared" si="39"/>
        <v>Agriculture</v>
      </c>
      <c r="T360">
        <v>435</v>
      </c>
      <c r="U360">
        <f t="shared" si="40"/>
        <v>435</v>
      </c>
      <c r="V360">
        <v>1</v>
      </c>
      <c r="W360" t="s">
        <v>3057</v>
      </c>
      <c r="X360" s="3" t="s">
        <v>3392</v>
      </c>
      <c r="Y360" s="3">
        <f t="shared" si="41"/>
        <v>44158</v>
      </c>
      <c r="Z360">
        <v>1.1778999999999999</v>
      </c>
    </row>
    <row r="361" spans="1:26" x14ac:dyDescent="0.35">
      <c r="A361" t="s">
        <v>376</v>
      </c>
      <c r="B361" t="str">
        <f t="shared" si="35"/>
        <v>OK</v>
      </c>
      <c r="C361" t="s">
        <v>1866</v>
      </c>
      <c r="D361" s="2">
        <v>62</v>
      </c>
      <c r="E361">
        <f>IF(OR(D361&lt;18, D361&gt;100),AD360,D361)</f>
        <v>62</v>
      </c>
      <c r="F361" t="s">
        <v>2990</v>
      </c>
      <c r="G361" t="str">
        <f t="shared" si="36"/>
        <v>Male</v>
      </c>
      <c r="H361" t="s">
        <v>3005</v>
      </c>
      <c r="I361" t="s">
        <v>3020</v>
      </c>
      <c r="K361" t="str">
        <f t="shared" si="37"/>
        <v>Self-Employed</v>
      </c>
      <c r="L361">
        <v>8</v>
      </c>
      <c r="M361">
        <v>1643807</v>
      </c>
      <c r="N361">
        <f t="shared" si="38"/>
        <v>1643807</v>
      </c>
      <c r="O361">
        <v>189530</v>
      </c>
      <c r="P361">
        <v>27.42</v>
      </c>
      <c r="Q361">
        <v>60</v>
      </c>
      <c r="R361" t="s">
        <v>3051</v>
      </c>
      <c r="S361" t="str">
        <f t="shared" si="39"/>
        <v>Education</v>
      </c>
      <c r="T361">
        <v>628</v>
      </c>
      <c r="U361">
        <f t="shared" si="40"/>
        <v>628</v>
      </c>
      <c r="V361">
        <v>6</v>
      </c>
      <c r="W361" t="s">
        <v>3055</v>
      </c>
      <c r="X361" s="3" t="s">
        <v>3243</v>
      </c>
      <c r="Y361" s="3">
        <f t="shared" si="41"/>
        <v>45011</v>
      </c>
      <c r="Z361">
        <v>0.1153</v>
      </c>
    </row>
    <row r="362" spans="1:26" x14ac:dyDescent="0.35">
      <c r="A362" t="s">
        <v>377</v>
      </c>
      <c r="B362" t="str">
        <f t="shared" si="35"/>
        <v>OK</v>
      </c>
      <c r="C362" t="s">
        <v>1867</v>
      </c>
      <c r="D362" s="2">
        <v>28</v>
      </c>
      <c r="E362">
        <f>IF(OR(D362&lt;18, D362&gt;100),AD361,D362)</f>
        <v>28</v>
      </c>
      <c r="F362" t="s">
        <v>2992</v>
      </c>
      <c r="G362" t="str">
        <f t="shared" si="36"/>
        <v>Female</v>
      </c>
      <c r="H362" t="s">
        <v>3004</v>
      </c>
      <c r="I362" t="s">
        <v>3020</v>
      </c>
      <c r="K362" t="str">
        <f t="shared" si="37"/>
        <v>Self-Employed</v>
      </c>
      <c r="L362">
        <v>20</v>
      </c>
      <c r="M362">
        <v>370706</v>
      </c>
      <c r="N362">
        <f t="shared" si="38"/>
        <v>370706</v>
      </c>
      <c r="O362">
        <v>593458</v>
      </c>
      <c r="P362">
        <v>26.69</v>
      </c>
      <c r="Q362">
        <v>36</v>
      </c>
      <c r="R362" t="s">
        <v>3046</v>
      </c>
      <c r="S362" t="str">
        <f t="shared" si="39"/>
        <v>Medical</v>
      </c>
      <c r="T362">
        <v>398</v>
      </c>
      <c r="U362">
        <f t="shared" si="40"/>
        <v>398</v>
      </c>
      <c r="V362">
        <v>2</v>
      </c>
      <c r="W362" t="s">
        <v>3056</v>
      </c>
      <c r="X362" s="3" t="s">
        <v>3393</v>
      </c>
      <c r="Y362" s="3">
        <f t="shared" si="41"/>
        <v>44427</v>
      </c>
      <c r="Z362">
        <v>1.6009</v>
      </c>
    </row>
    <row r="363" spans="1:26" x14ac:dyDescent="0.35">
      <c r="A363" t="s">
        <v>378</v>
      </c>
      <c r="B363" t="str">
        <f t="shared" si="35"/>
        <v>OK</v>
      </c>
      <c r="C363" t="s">
        <v>1868</v>
      </c>
      <c r="D363" s="2">
        <v>44</v>
      </c>
      <c r="E363">
        <f>IF(OR(D363&lt;18, D363&gt;100),AD362,D363)</f>
        <v>44</v>
      </c>
      <c r="F363" t="s">
        <v>2990</v>
      </c>
      <c r="G363" t="str">
        <f t="shared" si="36"/>
        <v>Male</v>
      </c>
      <c r="H363" t="s">
        <v>3016</v>
      </c>
      <c r="I363" t="s">
        <v>3020</v>
      </c>
      <c r="K363" t="str">
        <f t="shared" si="37"/>
        <v>Self-Employed</v>
      </c>
      <c r="L363">
        <v>14</v>
      </c>
      <c r="M363">
        <v>2218540</v>
      </c>
      <c r="N363">
        <f t="shared" si="38"/>
        <v>2218540</v>
      </c>
      <c r="O363">
        <v>607515</v>
      </c>
      <c r="P363">
        <v>19.48</v>
      </c>
      <c r="Q363">
        <v>60</v>
      </c>
      <c r="R363" t="s">
        <v>3050</v>
      </c>
      <c r="S363" t="str">
        <f t="shared" si="39"/>
        <v>Agriculture</v>
      </c>
      <c r="T363">
        <v>620</v>
      </c>
      <c r="U363">
        <f t="shared" si="40"/>
        <v>620</v>
      </c>
      <c r="V363">
        <v>6</v>
      </c>
      <c r="W363" t="s">
        <v>3057</v>
      </c>
      <c r="X363" s="3" t="s">
        <v>3394</v>
      </c>
      <c r="Y363" s="3">
        <f t="shared" si="41"/>
        <v>44767</v>
      </c>
      <c r="Z363">
        <v>0.27379999999999999</v>
      </c>
    </row>
    <row r="364" spans="1:26" x14ac:dyDescent="0.35">
      <c r="A364" t="s">
        <v>379</v>
      </c>
      <c r="B364" t="str">
        <f t="shared" si="35"/>
        <v>OK</v>
      </c>
      <c r="C364" t="s">
        <v>1869</v>
      </c>
      <c r="D364" s="2">
        <v>55</v>
      </c>
      <c r="E364">
        <f>IF(OR(D364&lt;18, D364&gt;100),AD363,D364)</f>
        <v>55</v>
      </c>
      <c r="F364" t="s">
        <v>2992</v>
      </c>
      <c r="G364" t="str">
        <f t="shared" si="36"/>
        <v>Female</v>
      </c>
      <c r="H364" t="s">
        <v>3006</v>
      </c>
      <c r="I364" t="s">
        <v>3018</v>
      </c>
      <c r="K364" t="str">
        <f t="shared" si="37"/>
        <v>Business Owner</v>
      </c>
      <c r="L364">
        <v>16</v>
      </c>
      <c r="M364">
        <v>1734094</v>
      </c>
      <c r="N364">
        <f t="shared" si="38"/>
        <v>1734094</v>
      </c>
      <c r="O364">
        <v>476331</v>
      </c>
      <c r="P364">
        <v>27.23</v>
      </c>
      <c r="Q364">
        <v>12</v>
      </c>
      <c r="R364" t="s">
        <v>3051</v>
      </c>
      <c r="S364" t="str">
        <f t="shared" si="39"/>
        <v>Education</v>
      </c>
      <c r="T364">
        <v>727</v>
      </c>
      <c r="U364">
        <f t="shared" si="40"/>
        <v>727</v>
      </c>
      <c r="V364">
        <v>7</v>
      </c>
      <c r="W364" t="s">
        <v>3054</v>
      </c>
      <c r="X364" s="3" t="s">
        <v>3395</v>
      </c>
      <c r="Y364" s="3">
        <f t="shared" si="41"/>
        <v>44495</v>
      </c>
      <c r="Z364">
        <v>0.2747</v>
      </c>
    </row>
    <row r="365" spans="1:26" x14ac:dyDescent="0.35">
      <c r="A365" t="s">
        <v>380</v>
      </c>
      <c r="B365" t="str">
        <f t="shared" si="35"/>
        <v>OK</v>
      </c>
      <c r="C365" t="s">
        <v>1870</v>
      </c>
      <c r="D365" s="2">
        <v>27</v>
      </c>
      <c r="E365">
        <f>IF(OR(D365&lt;18, D365&gt;100),AD364,D365)</f>
        <v>27</v>
      </c>
      <c r="F365" t="s">
        <v>2992</v>
      </c>
      <c r="G365" t="str">
        <f t="shared" si="36"/>
        <v>Female</v>
      </c>
      <c r="H365" t="s">
        <v>2999</v>
      </c>
      <c r="I365" t="s">
        <v>3020</v>
      </c>
      <c r="K365" t="str">
        <f t="shared" si="37"/>
        <v>Self-Employed</v>
      </c>
      <c r="L365">
        <v>21</v>
      </c>
      <c r="M365">
        <v>901384</v>
      </c>
      <c r="N365">
        <f t="shared" si="38"/>
        <v>901384</v>
      </c>
      <c r="O365">
        <v>628577</v>
      </c>
      <c r="P365">
        <v>8.57</v>
      </c>
      <c r="Q365">
        <v>48</v>
      </c>
      <c r="S365" t="str">
        <f t="shared" si="39"/>
        <v>Unknown</v>
      </c>
      <c r="T365">
        <v>733</v>
      </c>
      <c r="U365">
        <f t="shared" si="40"/>
        <v>733</v>
      </c>
      <c r="V365">
        <v>7</v>
      </c>
      <c r="W365" t="s">
        <v>3054</v>
      </c>
      <c r="X365" s="3" t="s">
        <v>3396</v>
      </c>
      <c r="Y365" s="3">
        <f t="shared" si="41"/>
        <v>43979</v>
      </c>
      <c r="Z365">
        <v>0.69730000000000003</v>
      </c>
    </row>
    <row r="366" spans="1:26" x14ac:dyDescent="0.35">
      <c r="A366" t="s">
        <v>381</v>
      </c>
      <c r="B366" t="str">
        <f t="shared" si="35"/>
        <v>OK</v>
      </c>
      <c r="C366" t="s">
        <v>1871</v>
      </c>
      <c r="D366" s="2">
        <v>28</v>
      </c>
      <c r="E366">
        <f>IF(OR(D366&lt;18, D366&gt;100),AD365,D366)</f>
        <v>28</v>
      </c>
      <c r="F366" t="s">
        <v>2990</v>
      </c>
      <c r="G366" t="str">
        <f t="shared" si="36"/>
        <v>Male</v>
      </c>
      <c r="H366" t="s">
        <v>3000</v>
      </c>
      <c r="I366" t="s">
        <v>3018</v>
      </c>
      <c r="K366" t="str">
        <f t="shared" si="37"/>
        <v>Business Owner</v>
      </c>
      <c r="L366">
        <v>26</v>
      </c>
      <c r="M366">
        <v>1506283</v>
      </c>
      <c r="N366">
        <f t="shared" si="38"/>
        <v>1506283</v>
      </c>
      <c r="O366">
        <v>366709</v>
      </c>
      <c r="P366">
        <v>18.63</v>
      </c>
      <c r="Q366">
        <v>36</v>
      </c>
      <c r="R366" t="s">
        <v>3049</v>
      </c>
      <c r="S366" t="str">
        <f t="shared" si="39"/>
        <v>Business</v>
      </c>
      <c r="T366">
        <v>391</v>
      </c>
      <c r="U366">
        <f t="shared" si="40"/>
        <v>391</v>
      </c>
      <c r="V366">
        <v>5</v>
      </c>
      <c r="W366" t="s">
        <v>3053</v>
      </c>
      <c r="X366" s="3" t="s">
        <v>3385</v>
      </c>
      <c r="Y366" s="3">
        <f t="shared" si="41"/>
        <v>44663</v>
      </c>
      <c r="Z366">
        <v>0.24349999999999999</v>
      </c>
    </row>
    <row r="367" spans="1:26" x14ac:dyDescent="0.35">
      <c r="A367" t="s">
        <v>382</v>
      </c>
      <c r="B367" t="str">
        <f t="shared" si="35"/>
        <v>OK</v>
      </c>
      <c r="C367" t="s">
        <v>1872</v>
      </c>
      <c r="D367" s="2">
        <v>28</v>
      </c>
      <c r="E367">
        <f>IF(OR(D367&lt;18, D367&gt;100),AD366,D367)</f>
        <v>28</v>
      </c>
      <c r="F367" t="s">
        <v>2992</v>
      </c>
      <c r="G367" t="str">
        <f t="shared" si="36"/>
        <v>Female</v>
      </c>
      <c r="H367" t="s">
        <v>3005</v>
      </c>
      <c r="I367" t="s">
        <v>3021</v>
      </c>
      <c r="K367" t="str">
        <f t="shared" si="37"/>
        <v>Unemployed</v>
      </c>
      <c r="L367">
        <v>3</v>
      </c>
      <c r="M367">
        <v>1051808</v>
      </c>
      <c r="N367">
        <f t="shared" si="38"/>
        <v>1051808</v>
      </c>
      <c r="O367">
        <v>410452</v>
      </c>
      <c r="P367">
        <v>25.96</v>
      </c>
      <c r="Q367">
        <v>12</v>
      </c>
      <c r="R367" t="s">
        <v>3046</v>
      </c>
      <c r="S367" t="str">
        <f t="shared" si="39"/>
        <v>Medical</v>
      </c>
      <c r="T367">
        <v>774</v>
      </c>
      <c r="U367">
        <f t="shared" si="40"/>
        <v>774</v>
      </c>
      <c r="V367">
        <v>2</v>
      </c>
      <c r="W367" t="s">
        <v>3057</v>
      </c>
      <c r="X367" s="3" t="s">
        <v>3397</v>
      </c>
      <c r="Y367" s="3">
        <f t="shared" si="41"/>
        <v>44980</v>
      </c>
      <c r="Z367">
        <v>0.39019999999999999</v>
      </c>
    </row>
    <row r="368" spans="1:26" x14ac:dyDescent="0.35">
      <c r="A368" t="s">
        <v>383</v>
      </c>
      <c r="B368" t="str">
        <f t="shared" si="35"/>
        <v>OK</v>
      </c>
      <c r="C368" t="s">
        <v>1873</v>
      </c>
      <c r="D368" s="2">
        <v>26</v>
      </c>
      <c r="E368">
        <f>IF(OR(D368&lt;18, D368&gt;100),AD367,D368)</f>
        <v>26</v>
      </c>
      <c r="F368" t="s">
        <v>2992</v>
      </c>
      <c r="G368" t="str">
        <f t="shared" si="36"/>
        <v>Female</v>
      </c>
      <c r="H368" t="s">
        <v>3002</v>
      </c>
      <c r="I368" t="s">
        <v>3019</v>
      </c>
      <c r="K368" t="str">
        <f t="shared" si="37"/>
        <v>Employed</v>
      </c>
      <c r="L368">
        <v>9</v>
      </c>
      <c r="M368">
        <v>2347478</v>
      </c>
      <c r="N368">
        <f t="shared" si="38"/>
        <v>2347478</v>
      </c>
      <c r="O368">
        <v>798883</v>
      </c>
      <c r="P368">
        <v>15.02</v>
      </c>
      <c r="Q368">
        <v>60</v>
      </c>
      <c r="R368" t="s">
        <v>3049</v>
      </c>
      <c r="S368" t="str">
        <f t="shared" si="39"/>
        <v>Business</v>
      </c>
      <c r="T368">
        <v>512</v>
      </c>
      <c r="U368">
        <f t="shared" si="40"/>
        <v>512</v>
      </c>
      <c r="V368">
        <v>4</v>
      </c>
      <c r="W368" t="s">
        <v>3055</v>
      </c>
      <c r="X368" s="3" t="s">
        <v>3398</v>
      </c>
      <c r="Y368" s="3">
        <f t="shared" si="41"/>
        <v>44523</v>
      </c>
      <c r="Z368">
        <v>0.34029999999999999</v>
      </c>
    </row>
    <row r="369" spans="1:26" x14ac:dyDescent="0.35">
      <c r="A369" t="s">
        <v>384</v>
      </c>
      <c r="B369" t="str">
        <f t="shared" si="35"/>
        <v>OK</v>
      </c>
      <c r="C369" t="s">
        <v>1874</v>
      </c>
      <c r="D369" s="2">
        <v>48</v>
      </c>
      <c r="E369">
        <f>IF(OR(D369&lt;18, D369&gt;100),AD368,D369)</f>
        <v>48</v>
      </c>
      <c r="F369" t="s">
        <v>2990</v>
      </c>
      <c r="G369" t="str">
        <f t="shared" si="36"/>
        <v>Male</v>
      </c>
      <c r="H369" t="s">
        <v>3007</v>
      </c>
      <c r="I369" t="s">
        <v>3020</v>
      </c>
      <c r="K369" t="str">
        <f t="shared" si="37"/>
        <v>Self-Employed</v>
      </c>
      <c r="L369">
        <v>12</v>
      </c>
      <c r="M369">
        <v>1945982</v>
      </c>
      <c r="N369">
        <f t="shared" si="38"/>
        <v>1945982</v>
      </c>
      <c r="O369">
        <v>529452</v>
      </c>
      <c r="P369">
        <v>26.18</v>
      </c>
      <c r="Q369">
        <v>48</v>
      </c>
      <c r="R369" t="s">
        <v>3047</v>
      </c>
      <c r="S369" t="str">
        <f t="shared" si="39"/>
        <v>Personal</v>
      </c>
      <c r="T369">
        <v>480</v>
      </c>
      <c r="U369">
        <f t="shared" si="40"/>
        <v>480</v>
      </c>
      <c r="V369">
        <v>6</v>
      </c>
      <c r="W369" t="s">
        <v>3052</v>
      </c>
      <c r="X369" s="3" t="s">
        <v>3357</v>
      </c>
      <c r="Y369" s="3">
        <f t="shared" si="41"/>
        <v>44377</v>
      </c>
      <c r="Z369">
        <v>0.27210000000000001</v>
      </c>
    </row>
    <row r="370" spans="1:26" x14ac:dyDescent="0.35">
      <c r="A370" t="s">
        <v>385</v>
      </c>
      <c r="B370" t="str">
        <f t="shared" si="35"/>
        <v>OK</v>
      </c>
      <c r="C370" t="s">
        <v>1875</v>
      </c>
      <c r="D370" s="2">
        <v>35</v>
      </c>
      <c r="E370">
        <f>IF(OR(D370&lt;18, D370&gt;100),AD369,D370)</f>
        <v>35</v>
      </c>
      <c r="F370" t="s">
        <v>2990</v>
      </c>
      <c r="G370" t="str">
        <f t="shared" si="36"/>
        <v>Male</v>
      </c>
      <c r="H370" t="s">
        <v>3007</v>
      </c>
      <c r="I370" t="s">
        <v>3018</v>
      </c>
      <c r="K370" t="str">
        <f t="shared" si="37"/>
        <v>Business Owner</v>
      </c>
      <c r="L370">
        <v>0</v>
      </c>
      <c r="M370">
        <v>1096383</v>
      </c>
      <c r="N370">
        <f t="shared" si="38"/>
        <v>1096383</v>
      </c>
      <c r="O370">
        <v>62056</v>
      </c>
      <c r="P370">
        <v>18.21</v>
      </c>
      <c r="Q370">
        <v>24</v>
      </c>
      <c r="R370" t="s">
        <v>3046</v>
      </c>
      <c r="S370" t="str">
        <f t="shared" si="39"/>
        <v>Medical</v>
      </c>
      <c r="T370">
        <v>516</v>
      </c>
      <c r="U370">
        <f t="shared" si="40"/>
        <v>516</v>
      </c>
      <c r="V370">
        <v>7</v>
      </c>
      <c r="W370" t="s">
        <v>3057</v>
      </c>
      <c r="X370" s="3" t="s">
        <v>3399</v>
      </c>
      <c r="Y370" s="3">
        <f t="shared" si="41"/>
        <v>44343</v>
      </c>
      <c r="Z370">
        <v>5.6599999999999998E-2</v>
      </c>
    </row>
    <row r="371" spans="1:26" x14ac:dyDescent="0.35">
      <c r="A371" t="s">
        <v>386</v>
      </c>
      <c r="B371" t="str">
        <f t="shared" si="35"/>
        <v>OK</v>
      </c>
      <c r="C371" t="s">
        <v>1876</v>
      </c>
      <c r="D371" s="2">
        <v>21</v>
      </c>
      <c r="E371">
        <f>IF(OR(D371&lt;18, D371&gt;100),AD370,D371)</f>
        <v>21</v>
      </c>
      <c r="F371" t="s">
        <v>2990</v>
      </c>
      <c r="G371" t="str">
        <f t="shared" si="36"/>
        <v>Male</v>
      </c>
      <c r="H371" t="s">
        <v>3004</v>
      </c>
      <c r="I371" t="s">
        <v>3019</v>
      </c>
      <c r="K371" t="str">
        <f t="shared" si="37"/>
        <v>Employed</v>
      </c>
      <c r="L371">
        <v>21</v>
      </c>
      <c r="M371">
        <v>1232330</v>
      </c>
      <c r="N371">
        <f t="shared" si="38"/>
        <v>1232330</v>
      </c>
      <c r="O371">
        <v>376007</v>
      </c>
      <c r="P371">
        <v>13.93</v>
      </c>
      <c r="Q371">
        <v>60</v>
      </c>
      <c r="R371" t="s">
        <v>3048</v>
      </c>
      <c r="S371" t="str">
        <f t="shared" si="39"/>
        <v>Home Improvement</v>
      </c>
      <c r="T371">
        <v>599</v>
      </c>
      <c r="U371">
        <f t="shared" si="40"/>
        <v>599</v>
      </c>
      <c r="V371">
        <v>5</v>
      </c>
      <c r="W371" t="s">
        <v>3056</v>
      </c>
      <c r="X371" s="3" t="s">
        <v>3400</v>
      </c>
      <c r="Y371" s="3">
        <f t="shared" si="41"/>
        <v>44718</v>
      </c>
      <c r="Z371">
        <v>0.30509999999999998</v>
      </c>
    </row>
    <row r="372" spans="1:26" x14ac:dyDescent="0.35">
      <c r="A372" t="s">
        <v>387</v>
      </c>
      <c r="B372" t="str">
        <f t="shared" si="35"/>
        <v>OK</v>
      </c>
      <c r="C372" t="s">
        <v>1877</v>
      </c>
      <c r="D372" s="2">
        <v>29</v>
      </c>
      <c r="E372">
        <f>IF(OR(D372&lt;18, D372&gt;100),AD371,D372)</f>
        <v>29</v>
      </c>
      <c r="G372" t="str">
        <f t="shared" si="36"/>
        <v>Unknown</v>
      </c>
      <c r="H372" t="s">
        <v>3004</v>
      </c>
      <c r="I372" t="s">
        <v>3021</v>
      </c>
      <c r="K372" t="str">
        <f t="shared" si="37"/>
        <v>Unemployed</v>
      </c>
      <c r="L372">
        <v>18</v>
      </c>
      <c r="M372">
        <v>1920534</v>
      </c>
      <c r="N372">
        <f t="shared" si="38"/>
        <v>1920534</v>
      </c>
      <c r="O372">
        <v>613130</v>
      </c>
      <c r="P372">
        <v>18.41</v>
      </c>
      <c r="Q372">
        <v>36</v>
      </c>
      <c r="R372" t="s">
        <v>3049</v>
      </c>
      <c r="S372" t="str">
        <f t="shared" si="39"/>
        <v>Business</v>
      </c>
      <c r="T372">
        <v>719</v>
      </c>
      <c r="U372">
        <f t="shared" si="40"/>
        <v>719</v>
      </c>
      <c r="V372">
        <v>3</v>
      </c>
      <c r="W372" t="s">
        <v>3053</v>
      </c>
      <c r="X372" s="3" t="s">
        <v>3357</v>
      </c>
      <c r="Y372" s="3">
        <f t="shared" si="41"/>
        <v>44377</v>
      </c>
      <c r="Z372">
        <v>0.31919999999999998</v>
      </c>
    </row>
    <row r="373" spans="1:26" x14ac:dyDescent="0.35">
      <c r="A373" t="s">
        <v>388</v>
      </c>
      <c r="B373" t="str">
        <f t="shared" si="35"/>
        <v>OK</v>
      </c>
      <c r="C373" t="s">
        <v>1878</v>
      </c>
      <c r="D373" s="2">
        <v>27</v>
      </c>
      <c r="E373">
        <f>IF(OR(D373&lt;18, D373&gt;100),AD372,D373)</f>
        <v>27</v>
      </c>
      <c r="F373" t="s">
        <v>2992</v>
      </c>
      <c r="G373" t="str">
        <f t="shared" si="36"/>
        <v>Female</v>
      </c>
      <c r="H373" t="s">
        <v>3004</v>
      </c>
      <c r="I373" t="s">
        <v>3021</v>
      </c>
      <c r="K373" t="str">
        <f t="shared" si="37"/>
        <v>Unemployed</v>
      </c>
      <c r="L373">
        <v>27</v>
      </c>
      <c r="M373">
        <v>1637640</v>
      </c>
      <c r="N373">
        <f t="shared" si="38"/>
        <v>1637640</v>
      </c>
      <c r="O373">
        <v>328974</v>
      </c>
      <c r="P373">
        <v>18.91</v>
      </c>
      <c r="Q373">
        <v>36</v>
      </c>
      <c r="R373" t="s">
        <v>3049</v>
      </c>
      <c r="S373" t="str">
        <f t="shared" si="39"/>
        <v>Business</v>
      </c>
      <c r="T373">
        <v>643</v>
      </c>
      <c r="U373">
        <f t="shared" si="40"/>
        <v>643</v>
      </c>
      <c r="V373">
        <v>6</v>
      </c>
      <c r="W373" t="s">
        <v>3054</v>
      </c>
      <c r="X373" s="3" t="s">
        <v>3401</v>
      </c>
      <c r="Y373" s="3">
        <f t="shared" si="41"/>
        <v>44367</v>
      </c>
      <c r="Z373">
        <v>0.2009</v>
      </c>
    </row>
    <row r="374" spans="1:26" x14ac:dyDescent="0.35">
      <c r="A374" t="s">
        <v>389</v>
      </c>
      <c r="B374" t="str">
        <f t="shared" si="35"/>
        <v>OK</v>
      </c>
      <c r="C374" t="s">
        <v>1879</v>
      </c>
      <c r="D374" s="2">
        <v>56</v>
      </c>
      <c r="E374">
        <f>IF(OR(D374&lt;18, D374&gt;100),AD373,D374)</f>
        <v>56</v>
      </c>
      <c r="F374" t="s">
        <v>2992</v>
      </c>
      <c r="G374" t="str">
        <f t="shared" si="36"/>
        <v>Female</v>
      </c>
      <c r="H374" t="s">
        <v>3006</v>
      </c>
      <c r="I374" t="s">
        <v>3018</v>
      </c>
      <c r="K374" t="str">
        <f t="shared" si="37"/>
        <v>Business Owner</v>
      </c>
      <c r="L374">
        <v>18</v>
      </c>
      <c r="M374">
        <v>1490875</v>
      </c>
      <c r="N374">
        <f t="shared" si="38"/>
        <v>1490875</v>
      </c>
      <c r="O374">
        <v>370067</v>
      </c>
      <c r="P374">
        <v>10.79</v>
      </c>
      <c r="Q374">
        <v>12</v>
      </c>
      <c r="R374" t="s">
        <v>3048</v>
      </c>
      <c r="S374" t="str">
        <f t="shared" si="39"/>
        <v>Home Improvement</v>
      </c>
      <c r="T374">
        <v>348</v>
      </c>
      <c r="U374">
        <f t="shared" si="40"/>
        <v>348</v>
      </c>
      <c r="V374">
        <v>7</v>
      </c>
      <c r="W374" t="s">
        <v>3052</v>
      </c>
      <c r="X374" s="3" t="s">
        <v>3367</v>
      </c>
      <c r="Y374" s="3">
        <f t="shared" si="41"/>
        <v>44571</v>
      </c>
      <c r="Z374">
        <v>0.2482</v>
      </c>
    </row>
    <row r="375" spans="1:26" x14ac:dyDescent="0.35">
      <c r="A375" t="s">
        <v>390</v>
      </c>
      <c r="B375" t="str">
        <f t="shared" si="35"/>
        <v>OK</v>
      </c>
      <c r="C375" t="s">
        <v>1880</v>
      </c>
      <c r="D375" s="2">
        <v>25</v>
      </c>
      <c r="E375">
        <f>IF(OR(D375&lt;18, D375&gt;100),AD374,D375)</f>
        <v>25</v>
      </c>
      <c r="F375" t="s">
        <v>2992</v>
      </c>
      <c r="G375" t="str">
        <f t="shared" si="36"/>
        <v>Female</v>
      </c>
      <c r="H375" t="s">
        <v>2998</v>
      </c>
      <c r="I375" t="s">
        <v>3020</v>
      </c>
      <c r="K375" t="str">
        <f t="shared" si="37"/>
        <v>Self-Employed</v>
      </c>
      <c r="L375">
        <v>21</v>
      </c>
      <c r="M375">
        <v>1779792</v>
      </c>
      <c r="N375">
        <f t="shared" si="38"/>
        <v>1779792</v>
      </c>
      <c r="O375">
        <v>667652</v>
      </c>
      <c r="P375">
        <v>21.38</v>
      </c>
      <c r="Q375">
        <v>12</v>
      </c>
      <c r="R375" t="s">
        <v>3050</v>
      </c>
      <c r="S375" t="str">
        <f t="shared" si="39"/>
        <v>Agriculture</v>
      </c>
      <c r="T375">
        <v>767</v>
      </c>
      <c r="U375">
        <f t="shared" si="40"/>
        <v>767</v>
      </c>
      <c r="V375">
        <v>5</v>
      </c>
      <c r="W375" t="s">
        <v>3054</v>
      </c>
      <c r="X375" s="3" t="s">
        <v>3402</v>
      </c>
      <c r="Y375" s="3">
        <f t="shared" si="41"/>
        <v>44293</v>
      </c>
      <c r="Z375">
        <v>0.37509999999999999</v>
      </c>
    </row>
    <row r="376" spans="1:26" x14ac:dyDescent="0.35">
      <c r="A376" t="s">
        <v>391</v>
      </c>
      <c r="B376" t="str">
        <f t="shared" si="35"/>
        <v>OK</v>
      </c>
      <c r="C376" t="s">
        <v>1881</v>
      </c>
      <c r="D376" s="2">
        <v>32</v>
      </c>
      <c r="E376">
        <f>IF(OR(D376&lt;18, D376&gt;100),AD375,D376)</f>
        <v>32</v>
      </c>
      <c r="F376" t="s">
        <v>2990</v>
      </c>
      <c r="G376" t="str">
        <f t="shared" si="36"/>
        <v>Male</v>
      </c>
      <c r="H376" t="s">
        <v>2999</v>
      </c>
      <c r="I376" t="s">
        <v>3018</v>
      </c>
      <c r="K376" t="str">
        <f t="shared" si="37"/>
        <v>Business Owner</v>
      </c>
      <c r="L376">
        <v>8</v>
      </c>
      <c r="M376">
        <v>1516092</v>
      </c>
      <c r="N376">
        <f t="shared" si="38"/>
        <v>1516092</v>
      </c>
      <c r="O376">
        <v>632439</v>
      </c>
      <c r="P376">
        <v>16.04</v>
      </c>
      <c r="Q376">
        <v>36</v>
      </c>
      <c r="R376" t="s">
        <v>3049</v>
      </c>
      <c r="S376" t="str">
        <f t="shared" si="39"/>
        <v>Business</v>
      </c>
      <c r="T376">
        <v>303</v>
      </c>
      <c r="U376">
        <f t="shared" si="40"/>
        <v>303</v>
      </c>
      <c r="V376">
        <v>0</v>
      </c>
      <c r="W376" t="s">
        <v>3056</v>
      </c>
      <c r="X376" s="3" t="s">
        <v>3403</v>
      </c>
      <c r="Y376" s="3">
        <f t="shared" si="41"/>
        <v>43859</v>
      </c>
      <c r="Z376">
        <v>0.41720000000000002</v>
      </c>
    </row>
    <row r="377" spans="1:26" x14ac:dyDescent="0.35">
      <c r="A377" t="s">
        <v>392</v>
      </c>
      <c r="B377" t="str">
        <f t="shared" si="35"/>
        <v>OK</v>
      </c>
      <c r="C377" t="s">
        <v>1882</v>
      </c>
      <c r="D377" s="2">
        <v>23</v>
      </c>
      <c r="E377">
        <f>IF(OR(D377&lt;18, D377&gt;100),AD376,D377)</f>
        <v>23</v>
      </c>
      <c r="F377" t="s">
        <v>2992</v>
      </c>
      <c r="G377" t="str">
        <f t="shared" si="36"/>
        <v>Female</v>
      </c>
      <c r="H377" t="s">
        <v>2998</v>
      </c>
      <c r="I377" t="s">
        <v>3019</v>
      </c>
      <c r="K377" t="str">
        <f t="shared" si="37"/>
        <v>Employed</v>
      </c>
      <c r="L377">
        <v>23</v>
      </c>
      <c r="M377">
        <v>510170</v>
      </c>
      <c r="N377">
        <f t="shared" si="38"/>
        <v>510170</v>
      </c>
      <c r="O377">
        <v>173837</v>
      </c>
      <c r="P377">
        <v>20.010000000000002</v>
      </c>
      <c r="Q377">
        <v>24</v>
      </c>
      <c r="R377" t="s">
        <v>3049</v>
      </c>
      <c r="S377" t="str">
        <f t="shared" si="39"/>
        <v>Business</v>
      </c>
      <c r="T377">
        <v>322</v>
      </c>
      <c r="U377">
        <f t="shared" si="40"/>
        <v>322</v>
      </c>
      <c r="V377">
        <v>6</v>
      </c>
      <c r="W377" t="s">
        <v>3056</v>
      </c>
      <c r="X377" s="3" t="s">
        <v>3404</v>
      </c>
      <c r="Y377" s="3">
        <f t="shared" si="41"/>
        <v>45145</v>
      </c>
      <c r="Z377">
        <v>0.3407</v>
      </c>
    </row>
    <row r="378" spans="1:26" x14ac:dyDescent="0.35">
      <c r="A378" t="s">
        <v>393</v>
      </c>
      <c r="B378" t="str">
        <f t="shared" si="35"/>
        <v>OK</v>
      </c>
      <c r="C378" t="s">
        <v>1883</v>
      </c>
      <c r="D378" s="2">
        <v>37</v>
      </c>
      <c r="E378">
        <f>IF(OR(D378&lt;18, D378&gt;100),AD377,D378)</f>
        <v>37</v>
      </c>
      <c r="F378" t="s">
        <v>2992</v>
      </c>
      <c r="G378" t="str">
        <f t="shared" si="36"/>
        <v>Female</v>
      </c>
      <c r="H378" t="s">
        <v>3007</v>
      </c>
      <c r="I378" t="s">
        <v>3021</v>
      </c>
      <c r="K378" t="str">
        <f t="shared" si="37"/>
        <v>Unemployed</v>
      </c>
      <c r="L378">
        <v>9</v>
      </c>
      <c r="M378">
        <v>1150834</v>
      </c>
      <c r="N378">
        <f t="shared" si="38"/>
        <v>1150834</v>
      </c>
      <c r="O378">
        <v>768943</v>
      </c>
      <c r="P378">
        <v>12.39</v>
      </c>
      <c r="Q378">
        <v>60</v>
      </c>
      <c r="R378" t="s">
        <v>3051</v>
      </c>
      <c r="S378" t="str">
        <f t="shared" si="39"/>
        <v>Education</v>
      </c>
      <c r="T378">
        <v>459</v>
      </c>
      <c r="U378">
        <f t="shared" si="40"/>
        <v>459</v>
      </c>
      <c r="V378">
        <v>3</v>
      </c>
      <c r="W378" t="s">
        <v>3061</v>
      </c>
      <c r="X378" s="3" t="s">
        <v>3305</v>
      </c>
      <c r="Y378" s="3">
        <f t="shared" si="41"/>
        <v>44681</v>
      </c>
      <c r="Z378">
        <v>0.66820000000000002</v>
      </c>
    </row>
    <row r="379" spans="1:26" x14ac:dyDescent="0.35">
      <c r="A379" t="s">
        <v>394</v>
      </c>
      <c r="B379" t="str">
        <f t="shared" si="35"/>
        <v>OK</v>
      </c>
      <c r="C379" t="s">
        <v>1884</v>
      </c>
      <c r="D379" s="2">
        <v>40</v>
      </c>
      <c r="E379">
        <f>IF(OR(D379&lt;18, D379&gt;100),AD378,D379)</f>
        <v>40</v>
      </c>
      <c r="F379" t="s">
        <v>2990</v>
      </c>
      <c r="G379" t="str">
        <f t="shared" si="36"/>
        <v>Male</v>
      </c>
      <c r="H379" t="s">
        <v>3003</v>
      </c>
      <c r="I379" t="s">
        <v>3020</v>
      </c>
      <c r="K379" t="str">
        <f t="shared" si="37"/>
        <v>Self-Employed</v>
      </c>
      <c r="L379">
        <v>28</v>
      </c>
      <c r="M379">
        <v>1370402</v>
      </c>
      <c r="N379">
        <f t="shared" si="38"/>
        <v>1370402</v>
      </c>
      <c r="O379">
        <v>392282</v>
      </c>
      <c r="P379">
        <v>26.92</v>
      </c>
      <c r="Q379">
        <v>24</v>
      </c>
      <c r="R379" t="s">
        <v>3050</v>
      </c>
      <c r="S379" t="str">
        <f t="shared" si="39"/>
        <v>Agriculture</v>
      </c>
      <c r="T379">
        <v>769</v>
      </c>
      <c r="U379">
        <f t="shared" si="40"/>
        <v>769</v>
      </c>
      <c r="V379">
        <v>6</v>
      </c>
      <c r="W379" t="s">
        <v>3057</v>
      </c>
      <c r="X379" s="3" t="s">
        <v>3405</v>
      </c>
      <c r="Y379" s="3">
        <f t="shared" si="41"/>
        <v>45191</v>
      </c>
      <c r="Z379">
        <v>0.2863</v>
      </c>
    </row>
    <row r="380" spans="1:26" x14ac:dyDescent="0.35">
      <c r="A380" t="s">
        <v>395</v>
      </c>
      <c r="B380" t="str">
        <f t="shared" si="35"/>
        <v>OK</v>
      </c>
      <c r="C380" t="s">
        <v>1885</v>
      </c>
      <c r="D380" s="2">
        <v>59</v>
      </c>
      <c r="E380">
        <f>IF(OR(D380&lt;18, D380&gt;100),AD379,D380)</f>
        <v>59</v>
      </c>
      <c r="F380" t="s">
        <v>2992</v>
      </c>
      <c r="G380" t="str">
        <f t="shared" si="36"/>
        <v>Female</v>
      </c>
      <c r="H380" t="s">
        <v>3001</v>
      </c>
      <c r="I380" t="s">
        <v>3021</v>
      </c>
      <c r="K380" t="str">
        <f t="shared" si="37"/>
        <v>Unemployed</v>
      </c>
      <c r="L380">
        <v>8</v>
      </c>
      <c r="M380">
        <v>516585</v>
      </c>
      <c r="N380">
        <f t="shared" si="38"/>
        <v>516585</v>
      </c>
      <c r="O380">
        <v>452995</v>
      </c>
      <c r="P380">
        <v>17.86</v>
      </c>
      <c r="Q380">
        <v>24</v>
      </c>
      <c r="R380" t="s">
        <v>3046</v>
      </c>
      <c r="S380" t="str">
        <f t="shared" si="39"/>
        <v>Medical</v>
      </c>
      <c r="T380">
        <v>462</v>
      </c>
      <c r="U380">
        <f t="shared" si="40"/>
        <v>462</v>
      </c>
      <c r="V380">
        <v>4</v>
      </c>
      <c r="W380" t="s">
        <v>3056</v>
      </c>
      <c r="X380" s="3" t="s">
        <v>3406</v>
      </c>
      <c r="Y380" s="3">
        <f t="shared" si="41"/>
        <v>44048</v>
      </c>
      <c r="Z380">
        <v>0.87690000000000001</v>
      </c>
    </row>
    <row r="381" spans="1:26" x14ac:dyDescent="0.35">
      <c r="A381" t="s">
        <v>396</v>
      </c>
      <c r="B381" t="str">
        <f t="shared" si="35"/>
        <v>OK</v>
      </c>
      <c r="C381" t="s">
        <v>1886</v>
      </c>
      <c r="D381" s="2">
        <v>39</v>
      </c>
      <c r="E381">
        <f>IF(OR(D381&lt;18, D381&gt;100),AD380,D381)</f>
        <v>39</v>
      </c>
      <c r="F381" t="s">
        <v>2990</v>
      </c>
      <c r="G381" t="str">
        <f t="shared" si="36"/>
        <v>Male</v>
      </c>
      <c r="H381" t="s">
        <v>3005</v>
      </c>
      <c r="I381" t="s">
        <v>3021</v>
      </c>
      <c r="K381" t="str">
        <f t="shared" si="37"/>
        <v>Unemployed</v>
      </c>
      <c r="L381">
        <v>24</v>
      </c>
      <c r="M381">
        <v>2306453</v>
      </c>
      <c r="N381">
        <f t="shared" si="38"/>
        <v>2306453</v>
      </c>
      <c r="O381">
        <v>416489</v>
      </c>
      <c r="P381" t="s">
        <v>3029</v>
      </c>
      <c r="Q381">
        <v>60</v>
      </c>
      <c r="R381" t="s">
        <v>3051</v>
      </c>
      <c r="S381" t="str">
        <f t="shared" si="39"/>
        <v>Education</v>
      </c>
      <c r="T381">
        <v>840</v>
      </c>
      <c r="U381">
        <f t="shared" si="40"/>
        <v>840</v>
      </c>
      <c r="V381">
        <v>3</v>
      </c>
      <c r="W381" t="s">
        <v>3055</v>
      </c>
      <c r="X381" s="3" t="s">
        <v>3407</v>
      </c>
      <c r="Y381" s="3">
        <f t="shared" si="41"/>
        <v>45189</v>
      </c>
      <c r="Z381">
        <v>0.18060000000000001</v>
      </c>
    </row>
    <row r="382" spans="1:26" x14ac:dyDescent="0.35">
      <c r="A382" t="s">
        <v>397</v>
      </c>
      <c r="B382" t="str">
        <f t="shared" si="35"/>
        <v>OK</v>
      </c>
      <c r="C382" t="s">
        <v>1887</v>
      </c>
      <c r="D382" s="2">
        <v>52</v>
      </c>
      <c r="E382">
        <f>IF(OR(D382&lt;18, D382&gt;100),AD381,D382)</f>
        <v>52</v>
      </c>
      <c r="F382" t="s">
        <v>2992</v>
      </c>
      <c r="G382" t="str">
        <f t="shared" si="36"/>
        <v>Female</v>
      </c>
      <c r="H382" t="s">
        <v>2999</v>
      </c>
      <c r="I382" t="s">
        <v>3020</v>
      </c>
      <c r="K382" t="str">
        <f t="shared" si="37"/>
        <v>Self-Employed</v>
      </c>
      <c r="L382">
        <v>27</v>
      </c>
      <c r="M382">
        <v>1060412</v>
      </c>
      <c r="N382">
        <f t="shared" si="38"/>
        <v>1060412</v>
      </c>
      <c r="O382">
        <v>675258</v>
      </c>
      <c r="P382">
        <v>27.2</v>
      </c>
      <c r="Q382">
        <v>36</v>
      </c>
      <c r="R382" t="s">
        <v>3049</v>
      </c>
      <c r="S382" t="str">
        <f t="shared" si="39"/>
        <v>Business</v>
      </c>
      <c r="T382">
        <v>699</v>
      </c>
      <c r="U382">
        <f t="shared" si="40"/>
        <v>699</v>
      </c>
      <c r="V382">
        <v>3</v>
      </c>
      <c r="W382" t="s">
        <v>3055</v>
      </c>
      <c r="X382" s="3" t="s">
        <v>3408</v>
      </c>
      <c r="Y382" s="3">
        <f t="shared" si="41"/>
        <v>45185</v>
      </c>
      <c r="Z382">
        <v>0.63680000000000003</v>
      </c>
    </row>
    <row r="383" spans="1:26" x14ac:dyDescent="0.35">
      <c r="A383" t="s">
        <v>398</v>
      </c>
      <c r="B383" t="str">
        <f t="shared" si="35"/>
        <v>OK</v>
      </c>
      <c r="C383" t="s">
        <v>1888</v>
      </c>
      <c r="D383" s="2">
        <v>52</v>
      </c>
      <c r="E383">
        <f>IF(OR(D383&lt;18, D383&gt;100),AD382,D383)</f>
        <v>52</v>
      </c>
      <c r="F383" t="s">
        <v>2990</v>
      </c>
      <c r="G383" t="str">
        <f t="shared" si="36"/>
        <v>Male</v>
      </c>
      <c r="H383" t="s">
        <v>3007</v>
      </c>
      <c r="I383" t="s">
        <v>3019</v>
      </c>
      <c r="K383" t="str">
        <f t="shared" si="37"/>
        <v>Employed</v>
      </c>
      <c r="L383">
        <v>24</v>
      </c>
      <c r="M383">
        <v>740881</v>
      </c>
      <c r="N383">
        <f t="shared" si="38"/>
        <v>740881</v>
      </c>
      <c r="O383">
        <v>212003</v>
      </c>
      <c r="P383">
        <v>8.83</v>
      </c>
      <c r="Q383">
        <v>60</v>
      </c>
      <c r="S383" t="str">
        <f t="shared" si="39"/>
        <v>Unknown</v>
      </c>
      <c r="T383">
        <v>567</v>
      </c>
      <c r="U383">
        <f t="shared" si="40"/>
        <v>567</v>
      </c>
      <c r="V383">
        <v>4</v>
      </c>
      <c r="W383" t="s">
        <v>3055</v>
      </c>
      <c r="X383" s="3" t="s">
        <v>3409</v>
      </c>
      <c r="Y383" s="3">
        <f t="shared" si="41"/>
        <v>44314</v>
      </c>
      <c r="Z383">
        <v>0.28610000000000002</v>
      </c>
    </row>
    <row r="384" spans="1:26" x14ac:dyDescent="0.35">
      <c r="A384" t="s">
        <v>399</v>
      </c>
      <c r="B384" t="str">
        <f t="shared" si="35"/>
        <v>OK</v>
      </c>
      <c r="C384" t="s">
        <v>1889</v>
      </c>
      <c r="D384" s="2">
        <v>41</v>
      </c>
      <c r="E384">
        <f>IF(OR(D384&lt;18, D384&gt;100),AD383,D384)</f>
        <v>41</v>
      </c>
      <c r="F384" t="s">
        <v>2992</v>
      </c>
      <c r="G384" t="str">
        <f t="shared" si="36"/>
        <v>Female</v>
      </c>
      <c r="H384" t="s">
        <v>2999</v>
      </c>
      <c r="I384" t="s">
        <v>3019</v>
      </c>
      <c r="K384" t="str">
        <f t="shared" si="37"/>
        <v>Employed</v>
      </c>
      <c r="L384">
        <v>16</v>
      </c>
      <c r="M384">
        <v>1478266</v>
      </c>
      <c r="N384">
        <f t="shared" si="38"/>
        <v>1478266</v>
      </c>
      <c r="O384">
        <v>34743</v>
      </c>
      <c r="P384">
        <v>21.46</v>
      </c>
      <c r="Q384">
        <v>12</v>
      </c>
      <c r="R384" t="s">
        <v>3046</v>
      </c>
      <c r="S384" t="str">
        <f t="shared" si="39"/>
        <v>Medical</v>
      </c>
      <c r="T384">
        <v>762</v>
      </c>
      <c r="U384">
        <f t="shared" si="40"/>
        <v>762</v>
      </c>
      <c r="V384">
        <v>5</v>
      </c>
      <c r="W384" t="s">
        <v>3055</v>
      </c>
      <c r="X384" s="3" t="s">
        <v>3289</v>
      </c>
      <c r="Y384" s="3">
        <f t="shared" si="41"/>
        <v>45161</v>
      </c>
      <c r="Z384">
        <v>2.35E-2</v>
      </c>
    </row>
    <row r="385" spans="1:26" x14ac:dyDescent="0.35">
      <c r="A385" t="s">
        <v>400</v>
      </c>
      <c r="B385" t="str">
        <f t="shared" si="35"/>
        <v>OK</v>
      </c>
      <c r="C385" t="s">
        <v>1890</v>
      </c>
      <c r="D385" s="2">
        <v>40</v>
      </c>
      <c r="E385">
        <f>IF(OR(D385&lt;18, D385&gt;100),AD384,D385)</f>
        <v>40</v>
      </c>
      <c r="F385" t="s">
        <v>2992</v>
      </c>
      <c r="G385" t="str">
        <f t="shared" si="36"/>
        <v>Female</v>
      </c>
      <c r="H385" t="s">
        <v>3006</v>
      </c>
      <c r="I385" t="s">
        <v>3020</v>
      </c>
      <c r="K385" t="str">
        <f t="shared" si="37"/>
        <v>Self-Employed</v>
      </c>
      <c r="L385">
        <v>21</v>
      </c>
      <c r="M385">
        <v>1477991</v>
      </c>
      <c r="N385">
        <f t="shared" si="38"/>
        <v>1477991</v>
      </c>
      <c r="O385">
        <v>134091</v>
      </c>
      <c r="P385">
        <v>27.45</v>
      </c>
      <c r="Q385">
        <v>24</v>
      </c>
      <c r="R385" t="s">
        <v>3049</v>
      </c>
      <c r="S385" t="str">
        <f t="shared" si="39"/>
        <v>Business</v>
      </c>
      <c r="T385">
        <v>719</v>
      </c>
      <c r="U385">
        <f t="shared" si="40"/>
        <v>719</v>
      </c>
      <c r="V385">
        <v>7</v>
      </c>
      <c r="W385" t="s">
        <v>3054</v>
      </c>
      <c r="X385" s="3" t="s">
        <v>3410</v>
      </c>
      <c r="Y385" s="3">
        <f t="shared" si="41"/>
        <v>44908</v>
      </c>
      <c r="Z385">
        <v>9.0700000000000003E-2</v>
      </c>
    </row>
    <row r="386" spans="1:26" x14ac:dyDescent="0.35">
      <c r="A386" t="s">
        <v>401</v>
      </c>
      <c r="B386" t="str">
        <f t="shared" ref="B386:B449" si="42">IF(A386="", "MISSING", "OK")</f>
        <v>OK</v>
      </c>
      <c r="C386" t="s">
        <v>1891</v>
      </c>
      <c r="D386" s="2">
        <v>57</v>
      </c>
      <c r="E386">
        <f>IF(OR(D386&lt;18, D386&gt;100),AD385,D386)</f>
        <v>57</v>
      </c>
      <c r="F386" t="s">
        <v>2992</v>
      </c>
      <c r="G386" t="str">
        <f t="shared" si="36"/>
        <v>Female</v>
      </c>
      <c r="H386" t="s">
        <v>3004</v>
      </c>
      <c r="I386" t="s">
        <v>3020</v>
      </c>
      <c r="K386" t="str">
        <f t="shared" si="37"/>
        <v>Self-Employed</v>
      </c>
      <c r="L386">
        <v>23</v>
      </c>
      <c r="M386">
        <v>1488507</v>
      </c>
      <c r="N386">
        <f t="shared" si="38"/>
        <v>1488507</v>
      </c>
      <c r="O386">
        <v>312575</v>
      </c>
      <c r="P386">
        <v>18.649999999999999</v>
      </c>
      <c r="Q386">
        <v>48</v>
      </c>
      <c r="R386" t="s">
        <v>3049</v>
      </c>
      <c r="S386" t="str">
        <f t="shared" si="39"/>
        <v>Business</v>
      </c>
      <c r="T386">
        <v>617</v>
      </c>
      <c r="U386">
        <f t="shared" si="40"/>
        <v>617</v>
      </c>
      <c r="V386">
        <v>2</v>
      </c>
      <c r="W386" t="s">
        <v>3054</v>
      </c>
      <c r="X386" s="3" t="s">
        <v>3411</v>
      </c>
      <c r="Y386" s="3">
        <f t="shared" si="41"/>
        <v>44804</v>
      </c>
      <c r="Z386">
        <v>0.21</v>
      </c>
    </row>
    <row r="387" spans="1:26" x14ac:dyDescent="0.35">
      <c r="A387" t="s">
        <v>402</v>
      </c>
      <c r="B387" t="str">
        <f t="shared" si="42"/>
        <v>OK</v>
      </c>
      <c r="C387" t="s">
        <v>1892</v>
      </c>
      <c r="D387" s="2">
        <v>64</v>
      </c>
      <c r="E387">
        <f>IF(OR(D387&lt;18, D387&gt;100),AD386,D387)</f>
        <v>64</v>
      </c>
      <c r="F387" t="s">
        <v>2990</v>
      </c>
      <c r="G387" t="str">
        <f t="shared" ref="G387:G450" si="43">IF(F387="", "Unknown", IF(OR(F387="F", F387="FEMALE", F387="Female"), "Female", IF(OR(F387="M", F387="MALE", F387="Male"), "Male", "Other")))</f>
        <v>Male</v>
      </c>
      <c r="H387" t="s">
        <v>3001</v>
      </c>
      <c r="I387" t="s">
        <v>3021</v>
      </c>
      <c r="K387" t="str">
        <f t="shared" ref="K387:K450" si="44">IF(I387="", "Unknown", I387)</f>
        <v>Unemployed</v>
      </c>
      <c r="L387">
        <v>23</v>
      </c>
      <c r="M387">
        <v>1419444</v>
      </c>
      <c r="N387">
        <f t="shared" ref="N387:N450" si="45">IF(OR(M387="",M387&lt;0),$AD$3,M387)</f>
        <v>1419444</v>
      </c>
      <c r="O387">
        <v>105178</v>
      </c>
      <c r="P387">
        <v>16.190000000000001</v>
      </c>
      <c r="Q387">
        <v>60</v>
      </c>
      <c r="R387" t="s">
        <v>3047</v>
      </c>
      <c r="S387" t="str">
        <f t="shared" ref="S387:S450" si="46">IF(R387="", "Unknown", R387)</f>
        <v>Personal</v>
      </c>
      <c r="T387">
        <v>482</v>
      </c>
      <c r="U387">
        <f t="shared" ref="U387:U450" si="47">IF(OR(T387="",T387&gt;999),$AD$2,T387)</f>
        <v>482</v>
      </c>
      <c r="V387">
        <v>5</v>
      </c>
      <c r="W387" t="s">
        <v>3055</v>
      </c>
      <c r="X387" s="3" t="s">
        <v>3412</v>
      </c>
      <c r="Y387" s="3">
        <f t="shared" ref="Y387:Y450" si="48">IF(ISNUMBER(X387), X387, DATEVALUE(X387))</f>
        <v>44325</v>
      </c>
      <c r="Z387">
        <v>7.4099999999999999E-2</v>
      </c>
    </row>
    <row r="388" spans="1:26" x14ac:dyDescent="0.35">
      <c r="A388" t="s">
        <v>403</v>
      </c>
      <c r="B388" t="str">
        <f t="shared" si="42"/>
        <v>OK</v>
      </c>
      <c r="C388" t="s">
        <v>1893</v>
      </c>
      <c r="D388" s="2">
        <v>45</v>
      </c>
      <c r="E388">
        <f>IF(OR(D388&lt;18, D388&gt;100),AD387,D388)</f>
        <v>45</v>
      </c>
      <c r="F388" t="s">
        <v>2992</v>
      </c>
      <c r="G388" t="str">
        <f t="shared" si="43"/>
        <v>Female</v>
      </c>
      <c r="H388" t="s">
        <v>3000</v>
      </c>
      <c r="I388" t="s">
        <v>3021</v>
      </c>
      <c r="K388" t="str">
        <f t="shared" si="44"/>
        <v>Unemployed</v>
      </c>
      <c r="L388">
        <v>3</v>
      </c>
      <c r="M388">
        <v>900488</v>
      </c>
      <c r="N388">
        <f t="shared" si="45"/>
        <v>900488</v>
      </c>
      <c r="O388">
        <v>81215</v>
      </c>
      <c r="P388">
        <v>17.510000000000002</v>
      </c>
      <c r="Q388">
        <v>12</v>
      </c>
      <c r="R388" t="s">
        <v>3050</v>
      </c>
      <c r="S388" t="str">
        <f t="shared" si="46"/>
        <v>Agriculture</v>
      </c>
      <c r="T388">
        <v>393</v>
      </c>
      <c r="U388">
        <f t="shared" si="47"/>
        <v>393</v>
      </c>
      <c r="V388">
        <v>1</v>
      </c>
      <c r="W388" t="s">
        <v>3057</v>
      </c>
      <c r="X388" s="3" t="s">
        <v>3413</v>
      </c>
      <c r="Y388" s="3">
        <f t="shared" si="48"/>
        <v>44269</v>
      </c>
      <c r="Z388">
        <v>9.0200000000000002E-2</v>
      </c>
    </row>
    <row r="389" spans="1:26" x14ac:dyDescent="0.35">
      <c r="A389" t="s">
        <v>404</v>
      </c>
      <c r="B389" t="str">
        <f t="shared" si="42"/>
        <v>OK</v>
      </c>
      <c r="C389" t="s">
        <v>1894</v>
      </c>
      <c r="D389" s="2">
        <v>31</v>
      </c>
      <c r="E389">
        <f>IF(OR(D389&lt;18, D389&gt;100),AD388,D389)</f>
        <v>31</v>
      </c>
      <c r="F389" t="s">
        <v>2990</v>
      </c>
      <c r="G389" t="str">
        <f t="shared" si="43"/>
        <v>Male</v>
      </c>
      <c r="H389" t="s">
        <v>3002</v>
      </c>
      <c r="I389" t="s">
        <v>3021</v>
      </c>
      <c r="K389" t="str">
        <f t="shared" si="44"/>
        <v>Unemployed</v>
      </c>
      <c r="L389">
        <v>4</v>
      </c>
      <c r="M389">
        <v>1629796</v>
      </c>
      <c r="N389">
        <f t="shared" si="45"/>
        <v>1629796</v>
      </c>
      <c r="O389">
        <v>89300</v>
      </c>
      <c r="P389">
        <v>21.55</v>
      </c>
      <c r="Q389">
        <v>24</v>
      </c>
      <c r="R389" t="s">
        <v>3046</v>
      </c>
      <c r="S389" t="str">
        <f t="shared" si="46"/>
        <v>Medical</v>
      </c>
      <c r="T389">
        <v>539</v>
      </c>
      <c r="U389">
        <f t="shared" si="47"/>
        <v>539</v>
      </c>
      <c r="V389">
        <v>7</v>
      </c>
      <c r="W389" t="s">
        <v>3058</v>
      </c>
      <c r="X389" s="3" t="s">
        <v>3414</v>
      </c>
      <c r="Y389" s="3">
        <f t="shared" si="48"/>
        <v>44400</v>
      </c>
      <c r="Z389">
        <v>5.4800000000000001E-2</v>
      </c>
    </row>
    <row r="390" spans="1:26" x14ac:dyDescent="0.35">
      <c r="A390" t="s">
        <v>405</v>
      </c>
      <c r="B390" t="str">
        <f t="shared" si="42"/>
        <v>OK</v>
      </c>
      <c r="C390" t="s">
        <v>1895</v>
      </c>
      <c r="D390" s="2">
        <v>49</v>
      </c>
      <c r="E390">
        <f>IF(OR(D390&lt;18, D390&gt;100),AD389,D390)</f>
        <v>49</v>
      </c>
      <c r="F390" t="s">
        <v>2992</v>
      </c>
      <c r="G390" t="str">
        <f t="shared" si="43"/>
        <v>Female</v>
      </c>
      <c r="H390" t="s">
        <v>3007</v>
      </c>
      <c r="I390" t="s">
        <v>3018</v>
      </c>
      <c r="K390" t="str">
        <f t="shared" si="44"/>
        <v>Business Owner</v>
      </c>
      <c r="L390">
        <v>13</v>
      </c>
      <c r="M390">
        <v>742060</v>
      </c>
      <c r="N390">
        <f t="shared" si="45"/>
        <v>742060</v>
      </c>
      <c r="O390">
        <v>360912</v>
      </c>
      <c r="P390">
        <v>22.15</v>
      </c>
      <c r="Q390">
        <v>36</v>
      </c>
      <c r="R390" t="s">
        <v>3050</v>
      </c>
      <c r="S390" t="str">
        <f t="shared" si="46"/>
        <v>Agriculture</v>
      </c>
      <c r="T390">
        <v>358</v>
      </c>
      <c r="U390">
        <f t="shared" si="47"/>
        <v>358</v>
      </c>
      <c r="V390">
        <v>2</v>
      </c>
      <c r="W390" t="s">
        <v>3053</v>
      </c>
      <c r="X390" s="3" t="s">
        <v>3415</v>
      </c>
      <c r="Y390" s="3">
        <f t="shared" si="48"/>
        <v>45080</v>
      </c>
      <c r="Z390">
        <v>0.4864</v>
      </c>
    </row>
    <row r="391" spans="1:26" x14ac:dyDescent="0.35">
      <c r="A391" t="s">
        <v>406</v>
      </c>
      <c r="B391" t="str">
        <f t="shared" si="42"/>
        <v>OK</v>
      </c>
      <c r="C391" t="s">
        <v>1896</v>
      </c>
      <c r="D391" s="2">
        <v>46</v>
      </c>
      <c r="E391">
        <f>IF(OR(D391&lt;18, D391&gt;100),AD390,D391)</f>
        <v>46</v>
      </c>
      <c r="F391" t="s">
        <v>2990</v>
      </c>
      <c r="G391" t="str">
        <f t="shared" si="43"/>
        <v>Male</v>
      </c>
      <c r="H391" t="s">
        <v>3003</v>
      </c>
      <c r="I391" t="s">
        <v>3020</v>
      </c>
      <c r="K391" t="str">
        <f t="shared" si="44"/>
        <v>Self-Employed</v>
      </c>
      <c r="L391">
        <v>9</v>
      </c>
      <c r="M391">
        <v>1172382</v>
      </c>
      <c r="N391">
        <f t="shared" si="45"/>
        <v>1172382</v>
      </c>
      <c r="O391">
        <v>538420</v>
      </c>
      <c r="P391">
        <v>25.67</v>
      </c>
      <c r="Q391">
        <v>60</v>
      </c>
      <c r="R391" t="s">
        <v>3049</v>
      </c>
      <c r="S391" t="str">
        <f t="shared" si="46"/>
        <v>Business</v>
      </c>
      <c r="T391">
        <v>755</v>
      </c>
      <c r="U391">
        <f t="shared" si="47"/>
        <v>755</v>
      </c>
      <c r="V391">
        <v>1</v>
      </c>
      <c r="W391" t="s">
        <v>3057</v>
      </c>
      <c r="X391" s="3" t="s">
        <v>3416</v>
      </c>
      <c r="Y391" s="3">
        <f t="shared" si="48"/>
        <v>45008</v>
      </c>
      <c r="Z391">
        <v>0.45929999999999999</v>
      </c>
    </row>
    <row r="392" spans="1:26" x14ac:dyDescent="0.35">
      <c r="A392" t="s">
        <v>407</v>
      </c>
      <c r="B392" t="str">
        <f t="shared" si="42"/>
        <v>OK</v>
      </c>
      <c r="C392" t="s">
        <v>1897</v>
      </c>
      <c r="D392" s="2">
        <v>57</v>
      </c>
      <c r="E392">
        <f>IF(OR(D392&lt;18, D392&gt;100),AD391,D392)</f>
        <v>57</v>
      </c>
      <c r="F392" t="s">
        <v>2992</v>
      </c>
      <c r="G392" t="str">
        <f t="shared" si="43"/>
        <v>Female</v>
      </c>
      <c r="H392" t="s">
        <v>3012</v>
      </c>
      <c r="I392" t="s">
        <v>3020</v>
      </c>
      <c r="K392" t="str">
        <f t="shared" si="44"/>
        <v>Self-Employed</v>
      </c>
      <c r="L392">
        <v>4</v>
      </c>
      <c r="M392">
        <v>1594821</v>
      </c>
      <c r="N392">
        <f t="shared" si="45"/>
        <v>1594821</v>
      </c>
      <c r="O392">
        <v>265739</v>
      </c>
      <c r="P392">
        <v>26.09</v>
      </c>
      <c r="Q392">
        <v>60</v>
      </c>
      <c r="R392" t="s">
        <v>3047</v>
      </c>
      <c r="S392" t="str">
        <f t="shared" si="46"/>
        <v>Personal</v>
      </c>
      <c r="T392">
        <v>776</v>
      </c>
      <c r="U392">
        <f t="shared" si="47"/>
        <v>776</v>
      </c>
      <c r="V392">
        <v>4</v>
      </c>
      <c r="W392" t="s">
        <v>3052</v>
      </c>
      <c r="X392" s="3" t="s">
        <v>3417</v>
      </c>
      <c r="Y392" s="3">
        <f t="shared" si="48"/>
        <v>44612</v>
      </c>
      <c r="Z392">
        <v>0.1666</v>
      </c>
    </row>
    <row r="393" spans="1:26" x14ac:dyDescent="0.35">
      <c r="A393" t="s">
        <v>408</v>
      </c>
      <c r="B393" t="str">
        <f t="shared" si="42"/>
        <v>OK</v>
      </c>
      <c r="C393" t="s">
        <v>1898</v>
      </c>
      <c r="D393" s="2">
        <v>57</v>
      </c>
      <c r="E393">
        <f>IF(OR(D393&lt;18, D393&gt;100),AD392,D393)</f>
        <v>57</v>
      </c>
      <c r="F393" t="s">
        <v>2992</v>
      </c>
      <c r="G393" t="str">
        <f t="shared" si="43"/>
        <v>Female</v>
      </c>
      <c r="H393" t="s">
        <v>3004</v>
      </c>
      <c r="I393" t="s">
        <v>3021</v>
      </c>
      <c r="K393" t="str">
        <f t="shared" si="44"/>
        <v>Unemployed</v>
      </c>
      <c r="L393">
        <v>16</v>
      </c>
      <c r="M393">
        <v>1319929</v>
      </c>
      <c r="N393">
        <f t="shared" si="45"/>
        <v>1319929</v>
      </c>
      <c r="O393">
        <v>188017</v>
      </c>
      <c r="P393">
        <v>21.94</v>
      </c>
      <c r="Q393">
        <v>48</v>
      </c>
      <c r="R393" t="s">
        <v>3048</v>
      </c>
      <c r="S393" t="str">
        <f t="shared" si="46"/>
        <v>Home Improvement</v>
      </c>
      <c r="T393">
        <v>709</v>
      </c>
      <c r="U393">
        <f t="shared" si="47"/>
        <v>709</v>
      </c>
      <c r="V393">
        <v>1</v>
      </c>
      <c r="W393" t="s">
        <v>3056</v>
      </c>
      <c r="X393" s="3" t="s">
        <v>3418</v>
      </c>
      <c r="Y393" s="3">
        <f t="shared" si="48"/>
        <v>43906</v>
      </c>
      <c r="Z393">
        <v>0.1424</v>
      </c>
    </row>
    <row r="394" spans="1:26" x14ac:dyDescent="0.35">
      <c r="A394" t="s">
        <v>409</v>
      </c>
      <c r="B394" t="str">
        <f t="shared" si="42"/>
        <v>OK</v>
      </c>
      <c r="C394" t="s">
        <v>1899</v>
      </c>
      <c r="D394" s="2">
        <v>63</v>
      </c>
      <c r="E394">
        <f>IF(OR(D394&lt;18, D394&gt;100),AD393,D394)</f>
        <v>63</v>
      </c>
      <c r="F394" t="s">
        <v>2992</v>
      </c>
      <c r="G394" t="str">
        <f t="shared" si="43"/>
        <v>Female</v>
      </c>
      <c r="H394" t="s">
        <v>3001</v>
      </c>
      <c r="I394" t="s">
        <v>3021</v>
      </c>
      <c r="K394" t="str">
        <f t="shared" si="44"/>
        <v>Unemployed</v>
      </c>
      <c r="L394">
        <v>11</v>
      </c>
      <c r="M394">
        <v>722015</v>
      </c>
      <c r="N394">
        <f t="shared" si="45"/>
        <v>722015</v>
      </c>
      <c r="O394">
        <v>790326</v>
      </c>
      <c r="P394">
        <v>12.53</v>
      </c>
      <c r="Q394">
        <v>24</v>
      </c>
      <c r="R394" t="s">
        <v>3047</v>
      </c>
      <c r="S394" t="str">
        <f t="shared" si="46"/>
        <v>Personal</v>
      </c>
      <c r="T394">
        <v>636</v>
      </c>
      <c r="U394">
        <f t="shared" si="47"/>
        <v>636</v>
      </c>
      <c r="V394">
        <v>4</v>
      </c>
      <c r="W394" t="s">
        <v>3052</v>
      </c>
      <c r="X394" s="3" t="s">
        <v>3419</v>
      </c>
      <c r="Y394" s="3">
        <f t="shared" si="48"/>
        <v>44287</v>
      </c>
      <c r="Z394">
        <v>1.0946</v>
      </c>
    </row>
    <row r="395" spans="1:26" x14ac:dyDescent="0.35">
      <c r="A395" t="s">
        <v>410</v>
      </c>
      <c r="B395" t="str">
        <f t="shared" si="42"/>
        <v>OK</v>
      </c>
      <c r="C395" t="s">
        <v>1900</v>
      </c>
      <c r="D395" s="2">
        <v>22</v>
      </c>
      <c r="E395">
        <f>IF(OR(D395&lt;18, D395&gt;100),AD394,D395)</f>
        <v>22</v>
      </c>
      <c r="F395" t="s">
        <v>2992</v>
      </c>
      <c r="G395" t="str">
        <f t="shared" si="43"/>
        <v>Female</v>
      </c>
      <c r="H395" t="s">
        <v>3005</v>
      </c>
      <c r="I395" t="s">
        <v>3018</v>
      </c>
      <c r="K395" t="str">
        <f t="shared" si="44"/>
        <v>Business Owner</v>
      </c>
      <c r="L395">
        <v>14</v>
      </c>
      <c r="M395">
        <v>844468</v>
      </c>
      <c r="N395">
        <f t="shared" si="45"/>
        <v>844468</v>
      </c>
      <c r="O395">
        <v>305960</v>
      </c>
      <c r="P395">
        <v>13.43</v>
      </c>
      <c r="Q395">
        <v>48</v>
      </c>
      <c r="S395" t="str">
        <f t="shared" si="46"/>
        <v>Unknown</v>
      </c>
      <c r="T395">
        <v>847</v>
      </c>
      <c r="U395">
        <f t="shared" si="47"/>
        <v>847</v>
      </c>
      <c r="V395">
        <v>0</v>
      </c>
      <c r="W395" t="s">
        <v>3054</v>
      </c>
      <c r="X395" s="3" t="s">
        <v>3420</v>
      </c>
      <c r="Y395" s="3">
        <f t="shared" si="48"/>
        <v>44545</v>
      </c>
      <c r="Z395">
        <v>0.36230000000000001</v>
      </c>
    </row>
    <row r="396" spans="1:26" x14ac:dyDescent="0.35">
      <c r="A396" t="s">
        <v>411</v>
      </c>
      <c r="B396" t="str">
        <f t="shared" si="42"/>
        <v>OK</v>
      </c>
      <c r="C396" t="s">
        <v>1901</v>
      </c>
      <c r="D396" s="2">
        <v>28</v>
      </c>
      <c r="E396">
        <f>IF(OR(D396&lt;18, D396&gt;100),AD395,D396)</f>
        <v>28</v>
      </c>
      <c r="F396" t="s">
        <v>2990</v>
      </c>
      <c r="G396" t="str">
        <f t="shared" si="43"/>
        <v>Male</v>
      </c>
      <c r="H396" t="s">
        <v>3007</v>
      </c>
      <c r="I396" t="s">
        <v>3018</v>
      </c>
      <c r="K396" t="str">
        <f t="shared" si="44"/>
        <v>Business Owner</v>
      </c>
      <c r="L396">
        <v>1</v>
      </c>
      <c r="M396">
        <v>1497191</v>
      </c>
      <c r="N396">
        <f t="shared" si="45"/>
        <v>1497191</v>
      </c>
      <c r="O396">
        <v>512148</v>
      </c>
      <c r="P396" t="s">
        <v>3030</v>
      </c>
      <c r="Q396">
        <v>36</v>
      </c>
      <c r="R396" t="s">
        <v>3049</v>
      </c>
      <c r="S396" t="str">
        <f t="shared" si="46"/>
        <v>Business</v>
      </c>
      <c r="T396">
        <v>685</v>
      </c>
      <c r="U396">
        <f t="shared" si="47"/>
        <v>685</v>
      </c>
      <c r="V396">
        <v>5</v>
      </c>
      <c r="W396" t="s">
        <v>3054</v>
      </c>
      <c r="X396" s="3" t="s">
        <v>3421</v>
      </c>
      <c r="Y396" s="3">
        <f t="shared" si="48"/>
        <v>43847</v>
      </c>
      <c r="Z396">
        <v>0.34210000000000002</v>
      </c>
    </row>
    <row r="397" spans="1:26" x14ac:dyDescent="0.35">
      <c r="A397" t="s">
        <v>412</v>
      </c>
      <c r="B397" t="str">
        <f t="shared" si="42"/>
        <v>OK</v>
      </c>
      <c r="C397" t="s">
        <v>1902</v>
      </c>
      <c r="D397" s="2">
        <v>34</v>
      </c>
      <c r="E397">
        <f>IF(OR(D397&lt;18, D397&gt;100),AD396,D397)</f>
        <v>34</v>
      </c>
      <c r="F397" t="s">
        <v>2992</v>
      </c>
      <c r="G397" t="str">
        <f t="shared" si="43"/>
        <v>Female</v>
      </c>
      <c r="H397" t="s">
        <v>3003</v>
      </c>
      <c r="I397" t="s">
        <v>3021</v>
      </c>
      <c r="K397" t="str">
        <f t="shared" si="44"/>
        <v>Unemployed</v>
      </c>
      <c r="L397">
        <v>4</v>
      </c>
      <c r="M397">
        <v>2361906</v>
      </c>
      <c r="N397">
        <f t="shared" si="45"/>
        <v>2361906</v>
      </c>
      <c r="O397">
        <v>661593</v>
      </c>
      <c r="P397">
        <v>24.78</v>
      </c>
      <c r="Q397">
        <v>24</v>
      </c>
      <c r="R397" t="s">
        <v>3050</v>
      </c>
      <c r="S397" t="str">
        <f t="shared" si="46"/>
        <v>Agriculture</v>
      </c>
      <c r="T397">
        <v>507</v>
      </c>
      <c r="U397">
        <f t="shared" si="47"/>
        <v>507</v>
      </c>
      <c r="V397">
        <v>3</v>
      </c>
      <c r="W397" t="s">
        <v>3055</v>
      </c>
      <c r="X397" s="3" t="s">
        <v>3422</v>
      </c>
      <c r="Y397" s="3">
        <f t="shared" si="48"/>
        <v>44069</v>
      </c>
      <c r="Z397">
        <v>0.28010000000000002</v>
      </c>
    </row>
    <row r="398" spans="1:26" x14ac:dyDescent="0.35">
      <c r="A398" t="s">
        <v>413</v>
      </c>
      <c r="B398" t="str">
        <f t="shared" si="42"/>
        <v>OK</v>
      </c>
      <c r="C398" t="s">
        <v>1903</v>
      </c>
      <c r="D398" s="2">
        <v>30</v>
      </c>
      <c r="E398">
        <f>IF(OR(D398&lt;18, D398&gt;100),AD397,D398)</f>
        <v>30</v>
      </c>
      <c r="F398" t="s">
        <v>2992</v>
      </c>
      <c r="G398" t="str">
        <f t="shared" si="43"/>
        <v>Female</v>
      </c>
      <c r="H398" t="s">
        <v>3001</v>
      </c>
      <c r="I398" t="s">
        <v>3019</v>
      </c>
      <c r="K398" t="str">
        <f t="shared" si="44"/>
        <v>Employed</v>
      </c>
      <c r="L398">
        <v>19</v>
      </c>
      <c r="M398">
        <v>1909057</v>
      </c>
      <c r="N398">
        <f t="shared" si="45"/>
        <v>1909057</v>
      </c>
      <c r="O398">
        <v>95277</v>
      </c>
      <c r="P398" t="s">
        <v>3031</v>
      </c>
      <c r="Q398">
        <v>24</v>
      </c>
      <c r="R398" t="s">
        <v>3046</v>
      </c>
      <c r="S398" t="str">
        <f t="shared" si="46"/>
        <v>Medical</v>
      </c>
      <c r="T398">
        <v>302</v>
      </c>
      <c r="U398">
        <f t="shared" si="47"/>
        <v>302</v>
      </c>
      <c r="V398">
        <v>4</v>
      </c>
      <c r="W398" t="s">
        <v>3055</v>
      </c>
      <c r="X398" s="3" t="s">
        <v>3423</v>
      </c>
      <c r="Y398" s="3">
        <f t="shared" si="48"/>
        <v>44628</v>
      </c>
      <c r="Z398">
        <v>4.99E-2</v>
      </c>
    </row>
    <row r="399" spans="1:26" x14ac:dyDescent="0.35">
      <c r="A399" t="s">
        <v>414</v>
      </c>
      <c r="B399" t="str">
        <f t="shared" si="42"/>
        <v>OK</v>
      </c>
      <c r="C399" t="s">
        <v>1904</v>
      </c>
      <c r="D399" s="2">
        <v>50</v>
      </c>
      <c r="E399">
        <f>IF(OR(D399&lt;18, D399&gt;100),AD398,D399)</f>
        <v>50</v>
      </c>
      <c r="F399" t="s">
        <v>2992</v>
      </c>
      <c r="G399" t="str">
        <f t="shared" si="43"/>
        <v>Female</v>
      </c>
      <c r="H399" t="s">
        <v>3003</v>
      </c>
      <c r="I399" t="s">
        <v>3021</v>
      </c>
      <c r="K399" t="str">
        <f t="shared" si="44"/>
        <v>Unemployed</v>
      </c>
      <c r="L399">
        <v>0</v>
      </c>
      <c r="M399">
        <v>1297195</v>
      </c>
      <c r="N399">
        <f t="shared" si="45"/>
        <v>1297195</v>
      </c>
      <c r="O399">
        <v>559376</v>
      </c>
      <c r="P399">
        <v>21.53</v>
      </c>
      <c r="Q399">
        <v>12</v>
      </c>
      <c r="R399" t="s">
        <v>3051</v>
      </c>
      <c r="S399" t="str">
        <f t="shared" si="46"/>
        <v>Education</v>
      </c>
      <c r="T399">
        <v>745</v>
      </c>
      <c r="U399">
        <f t="shared" si="47"/>
        <v>745</v>
      </c>
      <c r="V399">
        <v>2</v>
      </c>
      <c r="W399" t="s">
        <v>3053</v>
      </c>
      <c r="X399" s="3" t="s">
        <v>3424</v>
      </c>
      <c r="Y399" s="3">
        <f t="shared" si="48"/>
        <v>44714</v>
      </c>
      <c r="Z399">
        <v>0.43120000000000003</v>
      </c>
    </row>
    <row r="400" spans="1:26" x14ac:dyDescent="0.35">
      <c r="A400" t="s">
        <v>415</v>
      </c>
      <c r="B400" t="str">
        <f t="shared" si="42"/>
        <v>OK</v>
      </c>
      <c r="C400" t="s">
        <v>1905</v>
      </c>
      <c r="D400" s="2">
        <v>42</v>
      </c>
      <c r="E400">
        <f>IF(OR(D400&lt;18, D400&gt;100),AD399,D400)</f>
        <v>42</v>
      </c>
      <c r="F400" t="s">
        <v>2990</v>
      </c>
      <c r="G400" t="str">
        <f t="shared" si="43"/>
        <v>Male</v>
      </c>
      <c r="H400" t="s">
        <v>3004</v>
      </c>
      <c r="I400" t="s">
        <v>3019</v>
      </c>
      <c r="K400" t="str">
        <f t="shared" si="44"/>
        <v>Employed</v>
      </c>
      <c r="L400">
        <v>23</v>
      </c>
      <c r="M400">
        <v>386487</v>
      </c>
      <c r="N400">
        <f t="shared" si="45"/>
        <v>386487</v>
      </c>
      <c r="O400">
        <v>696473</v>
      </c>
      <c r="P400">
        <v>27.94</v>
      </c>
      <c r="Q400">
        <v>48</v>
      </c>
      <c r="R400" t="s">
        <v>3048</v>
      </c>
      <c r="S400" t="str">
        <f t="shared" si="46"/>
        <v>Home Improvement</v>
      </c>
      <c r="T400">
        <v>448</v>
      </c>
      <c r="U400">
        <f t="shared" si="47"/>
        <v>448</v>
      </c>
      <c r="V400">
        <v>1</v>
      </c>
      <c r="W400" t="s">
        <v>3056</v>
      </c>
      <c r="X400" s="3" t="s">
        <v>3425</v>
      </c>
      <c r="Y400" s="3">
        <f t="shared" si="48"/>
        <v>43954</v>
      </c>
      <c r="Z400">
        <v>1.8021</v>
      </c>
    </row>
    <row r="401" spans="1:26" x14ac:dyDescent="0.35">
      <c r="A401" t="s">
        <v>416</v>
      </c>
      <c r="B401" t="str">
        <f t="shared" si="42"/>
        <v>OK</v>
      </c>
      <c r="C401" t="s">
        <v>1906</v>
      </c>
      <c r="D401" s="2">
        <v>43</v>
      </c>
      <c r="E401">
        <f>IF(OR(D401&lt;18, D401&gt;100),AD400,D401)</f>
        <v>43</v>
      </c>
      <c r="F401" t="s">
        <v>2992</v>
      </c>
      <c r="G401" t="str">
        <f t="shared" si="43"/>
        <v>Female</v>
      </c>
      <c r="H401" t="s">
        <v>3000</v>
      </c>
      <c r="I401" t="s">
        <v>3019</v>
      </c>
      <c r="K401" t="str">
        <f t="shared" si="44"/>
        <v>Employed</v>
      </c>
      <c r="L401">
        <v>24</v>
      </c>
      <c r="M401">
        <v>1920687</v>
      </c>
      <c r="N401">
        <f t="shared" si="45"/>
        <v>1920687</v>
      </c>
      <c r="O401">
        <v>554391</v>
      </c>
      <c r="P401">
        <v>23.95</v>
      </c>
      <c r="Q401">
        <v>24</v>
      </c>
      <c r="R401" t="s">
        <v>3047</v>
      </c>
      <c r="S401" t="str">
        <f t="shared" si="46"/>
        <v>Personal</v>
      </c>
      <c r="T401">
        <v>733</v>
      </c>
      <c r="U401">
        <f t="shared" si="47"/>
        <v>733</v>
      </c>
      <c r="V401">
        <v>2</v>
      </c>
      <c r="W401" t="s">
        <v>3052</v>
      </c>
      <c r="X401" s="3" t="s">
        <v>3144</v>
      </c>
      <c r="Y401" s="3">
        <f t="shared" si="48"/>
        <v>44203</v>
      </c>
      <c r="Z401">
        <v>0.28860000000000002</v>
      </c>
    </row>
    <row r="402" spans="1:26" x14ac:dyDescent="0.35">
      <c r="A402" t="s">
        <v>417</v>
      </c>
      <c r="B402" t="str">
        <f t="shared" si="42"/>
        <v>OK</v>
      </c>
      <c r="C402" t="s">
        <v>1907</v>
      </c>
      <c r="D402" s="2">
        <v>49</v>
      </c>
      <c r="E402">
        <f>IF(OR(D402&lt;18, D402&gt;100),AD401,D402)</f>
        <v>49</v>
      </c>
      <c r="F402" t="s">
        <v>2992</v>
      </c>
      <c r="G402" t="str">
        <f t="shared" si="43"/>
        <v>Female</v>
      </c>
      <c r="H402" t="s">
        <v>2998</v>
      </c>
      <c r="I402" t="s">
        <v>3018</v>
      </c>
      <c r="K402" t="str">
        <f t="shared" si="44"/>
        <v>Business Owner</v>
      </c>
      <c r="L402">
        <v>15</v>
      </c>
      <c r="M402">
        <v>1697509</v>
      </c>
      <c r="N402">
        <f t="shared" si="45"/>
        <v>1697509</v>
      </c>
      <c r="O402">
        <v>110306</v>
      </c>
      <c r="P402">
        <v>24.11</v>
      </c>
      <c r="Q402">
        <v>12</v>
      </c>
      <c r="R402" t="s">
        <v>3050</v>
      </c>
      <c r="S402" t="str">
        <f t="shared" si="46"/>
        <v>Agriculture</v>
      </c>
      <c r="T402">
        <v>480</v>
      </c>
      <c r="U402">
        <f t="shared" si="47"/>
        <v>480</v>
      </c>
      <c r="V402">
        <v>1</v>
      </c>
      <c r="W402" t="s">
        <v>3052</v>
      </c>
      <c r="X402" s="3" t="s">
        <v>3426</v>
      </c>
      <c r="Y402" s="3">
        <f t="shared" si="48"/>
        <v>45035</v>
      </c>
      <c r="Z402">
        <v>6.5000000000000002E-2</v>
      </c>
    </row>
    <row r="403" spans="1:26" x14ac:dyDescent="0.35">
      <c r="A403" t="s">
        <v>418</v>
      </c>
      <c r="B403" t="str">
        <f t="shared" si="42"/>
        <v>OK</v>
      </c>
      <c r="C403" t="s">
        <v>1908</v>
      </c>
      <c r="D403" s="2">
        <v>25</v>
      </c>
      <c r="E403">
        <f>IF(OR(D403&lt;18, D403&gt;100),AD402,D403)</f>
        <v>25</v>
      </c>
      <c r="G403" t="str">
        <f t="shared" si="43"/>
        <v>Unknown</v>
      </c>
      <c r="H403" t="s">
        <v>3007</v>
      </c>
      <c r="I403" t="s">
        <v>3019</v>
      </c>
      <c r="K403" t="str">
        <f t="shared" si="44"/>
        <v>Employed</v>
      </c>
      <c r="L403">
        <v>15</v>
      </c>
      <c r="M403">
        <v>1873439</v>
      </c>
      <c r="N403">
        <f t="shared" si="45"/>
        <v>1873439</v>
      </c>
      <c r="O403">
        <v>590508</v>
      </c>
      <c r="P403">
        <v>24.27</v>
      </c>
      <c r="Q403">
        <v>12</v>
      </c>
      <c r="R403" t="s">
        <v>3046</v>
      </c>
      <c r="S403" t="str">
        <f t="shared" si="46"/>
        <v>Medical</v>
      </c>
      <c r="T403">
        <v>318</v>
      </c>
      <c r="U403">
        <f t="shared" si="47"/>
        <v>318</v>
      </c>
      <c r="V403">
        <v>1</v>
      </c>
      <c r="W403" t="s">
        <v>3056</v>
      </c>
      <c r="X403" s="3" t="s">
        <v>3427</v>
      </c>
      <c r="Y403" s="3">
        <f t="shared" si="48"/>
        <v>43958</v>
      </c>
      <c r="Z403">
        <v>0.31519999999999998</v>
      </c>
    </row>
    <row r="404" spans="1:26" x14ac:dyDescent="0.35">
      <c r="A404" t="s">
        <v>419</v>
      </c>
      <c r="B404" t="str">
        <f t="shared" si="42"/>
        <v>OK</v>
      </c>
      <c r="C404" t="s">
        <v>1909</v>
      </c>
      <c r="D404" s="2">
        <v>60</v>
      </c>
      <c r="E404">
        <f>IF(OR(D404&lt;18, D404&gt;100),AD403,D404)</f>
        <v>60</v>
      </c>
      <c r="F404" t="s">
        <v>2992</v>
      </c>
      <c r="G404" t="str">
        <f t="shared" si="43"/>
        <v>Female</v>
      </c>
      <c r="H404" t="s">
        <v>3007</v>
      </c>
      <c r="I404" t="s">
        <v>3020</v>
      </c>
      <c r="K404" t="str">
        <f t="shared" si="44"/>
        <v>Self-Employed</v>
      </c>
      <c r="L404">
        <v>7</v>
      </c>
      <c r="M404">
        <v>922296</v>
      </c>
      <c r="N404">
        <f t="shared" si="45"/>
        <v>922296</v>
      </c>
      <c r="O404">
        <v>157686</v>
      </c>
      <c r="P404">
        <v>13.52</v>
      </c>
      <c r="Q404">
        <v>12</v>
      </c>
      <c r="R404" t="s">
        <v>3046</v>
      </c>
      <c r="S404" t="str">
        <f t="shared" si="46"/>
        <v>Medical</v>
      </c>
      <c r="T404">
        <v>464</v>
      </c>
      <c r="U404">
        <f t="shared" si="47"/>
        <v>464</v>
      </c>
      <c r="V404">
        <v>5</v>
      </c>
      <c r="W404" t="s">
        <v>3062</v>
      </c>
      <c r="X404" s="3" t="s">
        <v>3428</v>
      </c>
      <c r="Y404" s="3">
        <f t="shared" si="48"/>
        <v>44456</v>
      </c>
      <c r="Z404">
        <v>0.17100000000000001</v>
      </c>
    </row>
    <row r="405" spans="1:26" x14ac:dyDescent="0.35">
      <c r="A405" t="s">
        <v>420</v>
      </c>
      <c r="B405" t="str">
        <f t="shared" si="42"/>
        <v>OK</v>
      </c>
      <c r="C405" t="s">
        <v>1910</v>
      </c>
      <c r="D405" s="2">
        <v>28</v>
      </c>
      <c r="E405">
        <f>IF(OR(D405&lt;18, D405&gt;100),AD404,D405)</f>
        <v>28</v>
      </c>
      <c r="F405" t="s">
        <v>2990</v>
      </c>
      <c r="G405" t="str">
        <f t="shared" si="43"/>
        <v>Male</v>
      </c>
      <c r="H405" t="s">
        <v>3001</v>
      </c>
      <c r="I405" t="s">
        <v>3019</v>
      </c>
      <c r="K405" t="str">
        <f t="shared" si="44"/>
        <v>Employed</v>
      </c>
      <c r="L405">
        <v>17</v>
      </c>
      <c r="M405">
        <v>2140826</v>
      </c>
      <c r="N405">
        <f t="shared" si="45"/>
        <v>2140826</v>
      </c>
      <c r="O405">
        <v>38990</v>
      </c>
      <c r="P405">
        <v>21.16</v>
      </c>
      <c r="Q405">
        <v>24</v>
      </c>
      <c r="R405" t="s">
        <v>3049</v>
      </c>
      <c r="S405" t="str">
        <f t="shared" si="46"/>
        <v>Business</v>
      </c>
      <c r="T405">
        <v>495</v>
      </c>
      <c r="U405">
        <f t="shared" si="47"/>
        <v>495</v>
      </c>
      <c r="V405">
        <v>3</v>
      </c>
      <c r="W405" t="s">
        <v>3052</v>
      </c>
      <c r="X405" s="3" t="s">
        <v>3429</v>
      </c>
      <c r="Y405" s="3">
        <f t="shared" si="48"/>
        <v>44054</v>
      </c>
      <c r="Z405">
        <v>1.8200000000000001E-2</v>
      </c>
    </row>
    <row r="406" spans="1:26" x14ac:dyDescent="0.35">
      <c r="A406" t="s">
        <v>155</v>
      </c>
      <c r="B406" t="str">
        <f t="shared" si="42"/>
        <v>OK</v>
      </c>
      <c r="C406" t="s">
        <v>1646</v>
      </c>
      <c r="D406" s="2">
        <v>55</v>
      </c>
      <c r="E406">
        <f>IF(OR(D406&lt;18, D406&gt;100),AD405,D406)</f>
        <v>55</v>
      </c>
      <c r="F406" t="s">
        <v>2990</v>
      </c>
      <c r="G406" t="str">
        <f t="shared" si="43"/>
        <v>Male</v>
      </c>
      <c r="H406" t="s">
        <v>3001</v>
      </c>
      <c r="I406" t="s">
        <v>3019</v>
      </c>
      <c r="K406" t="str">
        <f t="shared" si="44"/>
        <v>Employed</v>
      </c>
      <c r="L406">
        <v>29</v>
      </c>
      <c r="M406">
        <v>345575</v>
      </c>
      <c r="N406">
        <f t="shared" si="45"/>
        <v>345575</v>
      </c>
      <c r="O406">
        <v>212029</v>
      </c>
      <c r="P406">
        <v>19.54</v>
      </c>
      <c r="Q406">
        <v>36</v>
      </c>
      <c r="R406" t="s">
        <v>3049</v>
      </c>
      <c r="S406" t="str">
        <f t="shared" si="46"/>
        <v>Business</v>
      </c>
      <c r="T406">
        <v>461</v>
      </c>
      <c r="U406">
        <f t="shared" si="47"/>
        <v>461</v>
      </c>
      <c r="V406">
        <v>5</v>
      </c>
      <c r="W406" t="s">
        <v>3055</v>
      </c>
      <c r="X406" s="3" t="s">
        <v>3196</v>
      </c>
      <c r="Y406" s="3">
        <f t="shared" si="48"/>
        <v>44878</v>
      </c>
      <c r="Z406">
        <v>0.61360000000000003</v>
      </c>
    </row>
    <row r="407" spans="1:26" x14ac:dyDescent="0.35">
      <c r="A407" t="s">
        <v>421</v>
      </c>
      <c r="B407" t="str">
        <f t="shared" si="42"/>
        <v>OK</v>
      </c>
      <c r="C407" t="s">
        <v>1911</v>
      </c>
      <c r="D407" s="2">
        <v>25</v>
      </c>
      <c r="E407">
        <f>IF(OR(D407&lt;18, D407&gt;100),AD406,D407)</f>
        <v>25</v>
      </c>
      <c r="F407" t="s">
        <v>2990</v>
      </c>
      <c r="G407" t="str">
        <f t="shared" si="43"/>
        <v>Male</v>
      </c>
      <c r="H407" t="s">
        <v>3007</v>
      </c>
      <c r="I407" t="s">
        <v>3020</v>
      </c>
      <c r="K407" t="str">
        <f t="shared" si="44"/>
        <v>Self-Employed</v>
      </c>
      <c r="L407">
        <v>17</v>
      </c>
      <c r="M407">
        <v>1528207</v>
      </c>
      <c r="N407">
        <f t="shared" si="45"/>
        <v>1528207</v>
      </c>
      <c r="O407">
        <v>503455</v>
      </c>
      <c r="P407">
        <v>17.55</v>
      </c>
      <c r="Q407">
        <v>60</v>
      </c>
      <c r="R407" t="s">
        <v>3046</v>
      </c>
      <c r="S407" t="str">
        <f t="shared" si="46"/>
        <v>Medical</v>
      </c>
      <c r="T407">
        <v>764</v>
      </c>
      <c r="U407">
        <f t="shared" si="47"/>
        <v>764</v>
      </c>
      <c r="V407">
        <v>7</v>
      </c>
      <c r="W407" t="s">
        <v>3055</v>
      </c>
      <c r="X407" s="3" t="s">
        <v>3430</v>
      </c>
      <c r="Y407" s="3">
        <f t="shared" si="48"/>
        <v>45255</v>
      </c>
      <c r="Z407">
        <v>0.32940000000000003</v>
      </c>
    </row>
    <row r="408" spans="1:26" x14ac:dyDescent="0.35">
      <c r="A408" t="s">
        <v>422</v>
      </c>
      <c r="B408" t="str">
        <f t="shared" si="42"/>
        <v>OK</v>
      </c>
      <c r="C408" t="s">
        <v>1912</v>
      </c>
      <c r="D408" s="2">
        <v>24</v>
      </c>
      <c r="E408">
        <f>IF(OR(D408&lt;18, D408&gt;100),AD407,D408)</f>
        <v>24</v>
      </c>
      <c r="F408" t="s">
        <v>2992</v>
      </c>
      <c r="G408" t="str">
        <f t="shared" si="43"/>
        <v>Female</v>
      </c>
      <c r="H408" t="s">
        <v>3005</v>
      </c>
      <c r="I408" t="s">
        <v>3018</v>
      </c>
      <c r="K408" t="str">
        <f t="shared" si="44"/>
        <v>Business Owner</v>
      </c>
      <c r="L408">
        <v>23</v>
      </c>
      <c r="M408">
        <v>1036047</v>
      </c>
      <c r="N408">
        <f t="shared" si="45"/>
        <v>1036047</v>
      </c>
      <c r="O408">
        <v>96848</v>
      </c>
      <c r="P408">
        <v>24.78</v>
      </c>
      <c r="Q408">
        <v>12</v>
      </c>
      <c r="R408" t="s">
        <v>3048</v>
      </c>
      <c r="S408" t="str">
        <f t="shared" si="46"/>
        <v>Home Improvement</v>
      </c>
      <c r="T408">
        <v>337</v>
      </c>
      <c r="U408">
        <f t="shared" si="47"/>
        <v>337</v>
      </c>
      <c r="V408">
        <v>2</v>
      </c>
      <c r="W408" t="s">
        <v>3052</v>
      </c>
      <c r="X408" s="3" t="s">
        <v>3335</v>
      </c>
      <c r="Y408" s="3">
        <f t="shared" si="48"/>
        <v>44651</v>
      </c>
      <c r="Z408">
        <v>9.35E-2</v>
      </c>
    </row>
    <row r="409" spans="1:26" x14ac:dyDescent="0.35">
      <c r="A409" t="s">
        <v>423</v>
      </c>
      <c r="B409" t="str">
        <f t="shared" si="42"/>
        <v>OK</v>
      </c>
      <c r="C409" t="s">
        <v>1913</v>
      </c>
      <c r="D409" s="2">
        <v>56</v>
      </c>
      <c r="E409">
        <f>IF(OR(D409&lt;18, D409&gt;100),AD408,D409)</f>
        <v>56</v>
      </c>
      <c r="F409" t="s">
        <v>2992</v>
      </c>
      <c r="G409" t="str">
        <f t="shared" si="43"/>
        <v>Female</v>
      </c>
      <c r="H409" t="s">
        <v>3005</v>
      </c>
      <c r="I409" t="s">
        <v>3018</v>
      </c>
      <c r="K409" t="str">
        <f t="shared" si="44"/>
        <v>Business Owner</v>
      </c>
      <c r="L409">
        <v>17</v>
      </c>
      <c r="M409">
        <v>895472</v>
      </c>
      <c r="N409">
        <f t="shared" si="45"/>
        <v>895472</v>
      </c>
      <c r="O409">
        <v>356227</v>
      </c>
      <c r="P409">
        <v>21.27</v>
      </c>
      <c r="Q409">
        <v>36</v>
      </c>
      <c r="R409" t="s">
        <v>3046</v>
      </c>
      <c r="S409" t="str">
        <f t="shared" si="46"/>
        <v>Medical</v>
      </c>
      <c r="T409">
        <v>830</v>
      </c>
      <c r="U409">
        <f t="shared" si="47"/>
        <v>830</v>
      </c>
      <c r="V409">
        <v>6</v>
      </c>
      <c r="W409" t="s">
        <v>3054</v>
      </c>
      <c r="X409" s="3" t="s">
        <v>3431</v>
      </c>
      <c r="Y409" s="3">
        <f t="shared" si="48"/>
        <v>43854</v>
      </c>
      <c r="Z409">
        <v>0.39779999999999999</v>
      </c>
    </row>
    <row r="410" spans="1:26" x14ac:dyDescent="0.35">
      <c r="A410" t="s">
        <v>424</v>
      </c>
      <c r="B410" t="str">
        <f t="shared" si="42"/>
        <v>OK</v>
      </c>
      <c r="C410" t="s">
        <v>1914</v>
      </c>
      <c r="D410" s="2">
        <v>43</v>
      </c>
      <c r="E410">
        <f>IF(OR(D410&lt;18, D410&gt;100),AD409,D410)</f>
        <v>43</v>
      </c>
      <c r="F410" t="s">
        <v>2990</v>
      </c>
      <c r="G410" t="str">
        <f t="shared" si="43"/>
        <v>Male</v>
      </c>
      <c r="H410" t="s">
        <v>3017</v>
      </c>
      <c r="I410" t="s">
        <v>3018</v>
      </c>
      <c r="K410" t="str">
        <f t="shared" si="44"/>
        <v>Business Owner</v>
      </c>
      <c r="L410">
        <v>22</v>
      </c>
      <c r="M410">
        <v>1774918</v>
      </c>
      <c r="N410">
        <f t="shared" si="45"/>
        <v>1774918</v>
      </c>
      <c r="O410">
        <v>165406</v>
      </c>
      <c r="P410">
        <v>22.79</v>
      </c>
      <c r="Q410">
        <v>48</v>
      </c>
      <c r="R410" t="s">
        <v>3047</v>
      </c>
      <c r="S410" t="str">
        <f t="shared" si="46"/>
        <v>Personal</v>
      </c>
      <c r="T410">
        <v>475</v>
      </c>
      <c r="U410">
        <f t="shared" si="47"/>
        <v>475</v>
      </c>
      <c r="V410">
        <v>2</v>
      </c>
      <c r="W410" t="s">
        <v>3053</v>
      </c>
      <c r="X410" s="3" t="s">
        <v>3432</v>
      </c>
      <c r="Y410" s="3">
        <f t="shared" si="48"/>
        <v>44431</v>
      </c>
      <c r="Z410">
        <v>9.3200000000000005E-2</v>
      </c>
    </row>
    <row r="411" spans="1:26" x14ac:dyDescent="0.35">
      <c r="A411" t="s">
        <v>425</v>
      </c>
      <c r="B411" t="str">
        <f t="shared" si="42"/>
        <v>OK</v>
      </c>
      <c r="C411" t="s">
        <v>1915</v>
      </c>
      <c r="D411" s="2">
        <v>56</v>
      </c>
      <c r="E411">
        <f>IF(OR(D411&lt;18, D411&gt;100),AD410,D411)</f>
        <v>56</v>
      </c>
      <c r="G411" t="str">
        <f t="shared" si="43"/>
        <v>Unknown</v>
      </c>
      <c r="H411" t="s">
        <v>2999</v>
      </c>
      <c r="I411" t="s">
        <v>3020</v>
      </c>
      <c r="K411" t="str">
        <f t="shared" si="44"/>
        <v>Self-Employed</v>
      </c>
      <c r="L411">
        <v>20</v>
      </c>
      <c r="M411">
        <v>1462789</v>
      </c>
      <c r="N411">
        <f t="shared" si="45"/>
        <v>1462789</v>
      </c>
      <c r="O411">
        <v>301696</v>
      </c>
      <c r="P411">
        <v>19.690000000000001</v>
      </c>
      <c r="Q411">
        <v>36</v>
      </c>
      <c r="R411" t="s">
        <v>3046</v>
      </c>
      <c r="S411" t="str">
        <f t="shared" si="46"/>
        <v>Medical</v>
      </c>
      <c r="T411">
        <v>695</v>
      </c>
      <c r="U411">
        <f t="shared" si="47"/>
        <v>695</v>
      </c>
      <c r="V411">
        <v>7</v>
      </c>
      <c r="W411" t="s">
        <v>3052</v>
      </c>
      <c r="X411" s="3" t="s">
        <v>3433</v>
      </c>
      <c r="Y411" s="3">
        <f t="shared" si="48"/>
        <v>44387</v>
      </c>
      <c r="Z411">
        <v>0.20619999999999999</v>
      </c>
    </row>
    <row r="412" spans="1:26" x14ac:dyDescent="0.35">
      <c r="A412" t="s">
        <v>426</v>
      </c>
      <c r="B412" t="str">
        <f t="shared" si="42"/>
        <v>OK</v>
      </c>
      <c r="C412" t="s">
        <v>1916</v>
      </c>
      <c r="D412" s="2">
        <v>41</v>
      </c>
      <c r="E412">
        <f>IF(OR(D412&lt;18, D412&gt;100),AD411,D412)</f>
        <v>41</v>
      </c>
      <c r="F412" t="s">
        <v>2990</v>
      </c>
      <c r="G412" t="str">
        <f t="shared" si="43"/>
        <v>Male</v>
      </c>
      <c r="H412" t="s">
        <v>3009</v>
      </c>
      <c r="I412" t="s">
        <v>3021</v>
      </c>
      <c r="K412" t="str">
        <f t="shared" si="44"/>
        <v>Unemployed</v>
      </c>
      <c r="L412">
        <v>8</v>
      </c>
      <c r="M412">
        <v>1872110</v>
      </c>
      <c r="N412">
        <f t="shared" si="45"/>
        <v>1872110</v>
      </c>
      <c r="O412">
        <v>743858</v>
      </c>
      <c r="P412">
        <v>9.9600000000000009</v>
      </c>
      <c r="Q412">
        <v>12</v>
      </c>
      <c r="R412" t="s">
        <v>3051</v>
      </c>
      <c r="S412" t="str">
        <f t="shared" si="46"/>
        <v>Education</v>
      </c>
      <c r="T412">
        <v>312</v>
      </c>
      <c r="U412">
        <f t="shared" si="47"/>
        <v>312</v>
      </c>
      <c r="V412">
        <v>2</v>
      </c>
      <c r="W412" t="s">
        <v>3052</v>
      </c>
      <c r="X412" s="3" t="s">
        <v>3434</v>
      </c>
      <c r="Y412" s="3">
        <f t="shared" si="48"/>
        <v>43972</v>
      </c>
      <c r="Z412">
        <v>0.39729999999999999</v>
      </c>
    </row>
    <row r="413" spans="1:26" x14ac:dyDescent="0.35">
      <c r="A413" t="s">
        <v>427</v>
      </c>
      <c r="B413" t="str">
        <f t="shared" si="42"/>
        <v>OK</v>
      </c>
      <c r="C413" t="s">
        <v>1917</v>
      </c>
      <c r="D413" s="2">
        <v>50</v>
      </c>
      <c r="E413">
        <f>IF(OR(D413&lt;18, D413&gt;100),AD412,D413)</f>
        <v>50</v>
      </c>
      <c r="F413" t="s">
        <v>2990</v>
      </c>
      <c r="G413" t="str">
        <f t="shared" si="43"/>
        <v>Male</v>
      </c>
      <c r="H413" t="s">
        <v>3006</v>
      </c>
      <c r="I413" t="s">
        <v>3018</v>
      </c>
      <c r="K413" t="str">
        <f t="shared" si="44"/>
        <v>Business Owner</v>
      </c>
      <c r="L413">
        <v>10</v>
      </c>
      <c r="M413">
        <v>211585</v>
      </c>
      <c r="N413">
        <f t="shared" si="45"/>
        <v>211585</v>
      </c>
      <c r="O413">
        <v>652336</v>
      </c>
      <c r="P413">
        <v>21.13</v>
      </c>
      <c r="Q413">
        <v>60</v>
      </c>
      <c r="R413" t="s">
        <v>3050</v>
      </c>
      <c r="S413" t="str">
        <f t="shared" si="46"/>
        <v>Agriculture</v>
      </c>
      <c r="T413">
        <v>310</v>
      </c>
      <c r="U413">
        <f t="shared" si="47"/>
        <v>310</v>
      </c>
      <c r="V413">
        <v>7</v>
      </c>
      <c r="W413" t="s">
        <v>3055</v>
      </c>
      <c r="X413" s="3" t="s">
        <v>3435</v>
      </c>
      <c r="Y413" s="3">
        <f t="shared" si="48"/>
        <v>45000</v>
      </c>
      <c r="Z413">
        <v>3.0831</v>
      </c>
    </row>
    <row r="414" spans="1:26" x14ac:dyDescent="0.35">
      <c r="A414" t="s">
        <v>428</v>
      </c>
      <c r="B414" t="str">
        <f t="shared" si="42"/>
        <v>OK</v>
      </c>
      <c r="C414" t="s">
        <v>1918</v>
      </c>
      <c r="D414" s="2">
        <v>23</v>
      </c>
      <c r="E414">
        <f>IF(OR(D414&lt;18, D414&gt;100),AD413,D414)</f>
        <v>23</v>
      </c>
      <c r="F414" t="s">
        <v>2990</v>
      </c>
      <c r="G414" t="str">
        <f t="shared" si="43"/>
        <v>Male</v>
      </c>
      <c r="H414" t="s">
        <v>3005</v>
      </c>
      <c r="I414" t="s">
        <v>3021</v>
      </c>
      <c r="K414" t="str">
        <f t="shared" si="44"/>
        <v>Unemployed</v>
      </c>
      <c r="L414">
        <v>9</v>
      </c>
      <c r="M414">
        <v>462017</v>
      </c>
      <c r="N414">
        <f t="shared" si="45"/>
        <v>462017</v>
      </c>
      <c r="O414">
        <v>382441</v>
      </c>
      <c r="P414">
        <v>11.58</v>
      </c>
      <c r="Q414">
        <v>24</v>
      </c>
      <c r="R414" t="s">
        <v>3048</v>
      </c>
      <c r="S414" t="str">
        <f t="shared" si="46"/>
        <v>Home Improvement</v>
      </c>
      <c r="T414">
        <v>820</v>
      </c>
      <c r="U414">
        <f t="shared" si="47"/>
        <v>820</v>
      </c>
      <c r="V414">
        <v>1</v>
      </c>
      <c r="W414" t="s">
        <v>3054</v>
      </c>
      <c r="X414" s="3" t="s">
        <v>3436</v>
      </c>
      <c r="Y414" s="3">
        <f t="shared" si="48"/>
        <v>44496</v>
      </c>
      <c r="Z414">
        <v>0.82779999999999998</v>
      </c>
    </row>
    <row r="415" spans="1:26" x14ac:dyDescent="0.35">
      <c r="A415" t="s">
        <v>429</v>
      </c>
      <c r="B415" t="str">
        <f t="shared" si="42"/>
        <v>OK</v>
      </c>
      <c r="C415" t="s">
        <v>1919</v>
      </c>
      <c r="D415" s="2">
        <v>41</v>
      </c>
      <c r="E415">
        <f>IF(OR(D415&lt;18, D415&gt;100),AD414,D415)</f>
        <v>41</v>
      </c>
      <c r="F415" t="s">
        <v>2990</v>
      </c>
      <c r="G415" t="str">
        <f t="shared" si="43"/>
        <v>Male</v>
      </c>
      <c r="H415" t="s">
        <v>3007</v>
      </c>
      <c r="I415" t="s">
        <v>3020</v>
      </c>
      <c r="K415" t="str">
        <f t="shared" si="44"/>
        <v>Self-Employed</v>
      </c>
      <c r="L415">
        <v>11</v>
      </c>
      <c r="N415">
        <f t="shared" si="45"/>
        <v>1333224</v>
      </c>
      <c r="O415">
        <v>404708</v>
      </c>
      <c r="P415">
        <v>10.97</v>
      </c>
      <c r="Q415">
        <v>48</v>
      </c>
      <c r="R415" t="s">
        <v>3046</v>
      </c>
      <c r="S415" t="str">
        <f t="shared" si="46"/>
        <v>Medical</v>
      </c>
      <c r="T415">
        <v>771</v>
      </c>
      <c r="U415">
        <f t="shared" si="47"/>
        <v>771</v>
      </c>
      <c r="V415">
        <v>2</v>
      </c>
      <c r="W415" t="s">
        <v>3056</v>
      </c>
      <c r="X415" s="3" t="s">
        <v>3117</v>
      </c>
      <c r="Y415" s="3">
        <f t="shared" si="48"/>
        <v>44735</v>
      </c>
      <c r="Z415">
        <v>0.39040000000000002</v>
      </c>
    </row>
    <row r="416" spans="1:26" x14ac:dyDescent="0.35">
      <c r="A416" t="s">
        <v>430</v>
      </c>
      <c r="B416" t="str">
        <f t="shared" si="42"/>
        <v>OK</v>
      </c>
      <c r="C416" t="s">
        <v>1920</v>
      </c>
      <c r="D416" s="2">
        <v>43</v>
      </c>
      <c r="E416">
        <f>IF(OR(D416&lt;18, D416&gt;100),AD415,D416)</f>
        <v>43</v>
      </c>
      <c r="F416" t="s">
        <v>2992</v>
      </c>
      <c r="G416" t="str">
        <f t="shared" si="43"/>
        <v>Female</v>
      </c>
      <c r="H416" t="s">
        <v>3003</v>
      </c>
      <c r="I416" t="s">
        <v>3019</v>
      </c>
      <c r="K416" t="str">
        <f t="shared" si="44"/>
        <v>Employed</v>
      </c>
      <c r="L416">
        <v>18</v>
      </c>
      <c r="M416">
        <v>303950</v>
      </c>
      <c r="N416">
        <f t="shared" si="45"/>
        <v>303950</v>
      </c>
      <c r="O416">
        <v>678250</v>
      </c>
      <c r="P416">
        <v>8.2100000000000009</v>
      </c>
      <c r="Q416">
        <v>36</v>
      </c>
      <c r="S416" t="str">
        <f t="shared" si="46"/>
        <v>Unknown</v>
      </c>
      <c r="T416">
        <v>615</v>
      </c>
      <c r="U416">
        <f t="shared" si="47"/>
        <v>615</v>
      </c>
      <c r="V416">
        <v>7</v>
      </c>
      <c r="W416" t="s">
        <v>3055</v>
      </c>
      <c r="X416" s="3" t="s">
        <v>3437</v>
      </c>
      <c r="Y416" s="3">
        <f t="shared" si="48"/>
        <v>45106</v>
      </c>
      <c r="Z416">
        <v>2.2315</v>
      </c>
    </row>
    <row r="417" spans="1:26" x14ac:dyDescent="0.35">
      <c r="A417" t="s">
        <v>431</v>
      </c>
      <c r="B417" t="str">
        <f t="shared" si="42"/>
        <v>OK</v>
      </c>
      <c r="C417" t="s">
        <v>1921</v>
      </c>
      <c r="D417" s="2">
        <v>28</v>
      </c>
      <c r="E417">
        <f>IF(OR(D417&lt;18, D417&gt;100),AD416,D417)</f>
        <v>28</v>
      </c>
      <c r="F417" t="s">
        <v>2992</v>
      </c>
      <c r="G417" t="str">
        <f t="shared" si="43"/>
        <v>Female</v>
      </c>
      <c r="H417" t="s">
        <v>3001</v>
      </c>
      <c r="I417" t="s">
        <v>3021</v>
      </c>
      <c r="K417" t="str">
        <f t="shared" si="44"/>
        <v>Unemployed</v>
      </c>
      <c r="L417">
        <v>14</v>
      </c>
      <c r="M417">
        <v>2096545</v>
      </c>
      <c r="N417">
        <f t="shared" si="45"/>
        <v>2096545</v>
      </c>
      <c r="O417">
        <v>767852</v>
      </c>
      <c r="P417">
        <v>26.3</v>
      </c>
      <c r="Q417">
        <v>60</v>
      </c>
      <c r="R417" t="s">
        <v>3047</v>
      </c>
      <c r="S417" t="str">
        <f t="shared" si="46"/>
        <v>Personal</v>
      </c>
      <c r="T417">
        <v>808</v>
      </c>
      <c r="U417">
        <f t="shared" si="47"/>
        <v>808</v>
      </c>
      <c r="V417">
        <v>2</v>
      </c>
      <c r="W417" t="s">
        <v>3052</v>
      </c>
      <c r="X417" s="3" t="s">
        <v>3438</v>
      </c>
      <c r="Y417" s="3">
        <f t="shared" si="48"/>
        <v>44762</v>
      </c>
      <c r="Z417">
        <v>0.36620000000000003</v>
      </c>
    </row>
    <row r="418" spans="1:26" x14ac:dyDescent="0.35">
      <c r="A418" t="s">
        <v>432</v>
      </c>
      <c r="B418" t="str">
        <f t="shared" si="42"/>
        <v>OK</v>
      </c>
      <c r="C418" t="s">
        <v>1922</v>
      </c>
      <c r="D418" s="2">
        <v>36</v>
      </c>
      <c r="E418">
        <f>IF(OR(D418&lt;18, D418&gt;100),AD417,D418)</f>
        <v>36</v>
      </c>
      <c r="F418" t="s">
        <v>2992</v>
      </c>
      <c r="G418" t="str">
        <f t="shared" si="43"/>
        <v>Female</v>
      </c>
      <c r="H418" t="s">
        <v>3000</v>
      </c>
      <c r="I418" t="s">
        <v>3020</v>
      </c>
      <c r="K418" t="str">
        <f t="shared" si="44"/>
        <v>Self-Employed</v>
      </c>
      <c r="L418">
        <v>1</v>
      </c>
      <c r="M418">
        <v>2258808</v>
      </c>
      <c r="N418">
        <f t="shared" si="45"/>
        <v>2258808</v>
      </c>
      <c r="O418">
        <v>315866</v>
      </c>
      <c r="P418">
        <v>27.89</v>
      </c>
      <c r="Q418">
        <v>36</v>
      </c>
      <c r="R418" t="s">
        <v>3049</v>
      </c>
      <c r="S418" t="str">
        <f t="shared" si="46"/>
        <v>Business</v>
      </c>
      <c r="T418">
        <v>635</v>
      </c>
      <c r="U418">
        <f t="shared" si="47"/>
        <v>635</v>
      </c>
      <c r="V418">
        <v>7</v>
      </c>
      <c r="W418" t="s">
        <v>3056</v>
      </c>
      <c r="X418" s="3" t="s">
        <v>3439</v>
      </c>
      <c r="Y418" s="3">
        <f t="shared" si="48"/>
        <v>44410</v>
      </c>
      <c r="Z418">
        <v>0.13980000000000001</v>
      </c>
    </row>
    <row r="419" spans="1:26" x14ac:dyDescent="0.35">
      <c r="A419" t="s">
        <v>433</v>
      </c>
      <c r="B419" t="str">
        <f t="shared" si="42"/>
        <v>OK</v>
      </c>
      <c r="C419" t="s">
        <v>1923</v>
      </c>
      <c r="D419" s="2">
        <v>38</v>
      </c>
      <c r="E419">
        <f>IF(OR(D419&lt;18, D419&gt;100),AD418,D419)</f>
        <v>38</v>
      </c>
      <c r="F419" t="s">
        <v>2992</v>
      </c>
      <c r="G419" t="str">
        <f t="shared" si="43"/>
        <v>Female</v>
      </c>
      <c r="H419" t="s">
        <v>3002</v>
      </c>
      <c r="K419" t="str">
        <f t="shared" si="44"/>
        <v>Unknown</v>
      </c>
      <c r="L419">
        <v>8</v>
      </c>
      <c r="M419">
        <v>666275</v>
      </c>
      <c r="N419">
        <f t="shared" si="45"/>
        <v>666275</v>
      </c>
      <c r="O419">
        <v>674587</v>
      </c>
      <c r="P419">
        <v>25.33</v>
      </c>
      <c r="Q419">
        <v>12</v>
      </c>
      <c r="R419" t="s">
        <v>3051</v>
      </c>
      <c r="S419" t="str">
        <f t="shared" si="46"/>
        <v>Education</v>
      </c>
      <c r="T419">
        <v>746</v>
      </c>
      <c r="U419">
        <f t="shared" si="47"/>
        <v>746</v>
      </c>
      <c r="V419">
        <v>5</v>
      </c>
      <c r="W419" t="s">
        <v>3053</v>
      </c>
      <c r="X419" s="3" t="s">
        <v>3440</v>
      </c>
      <c r="Y419" s="3">
        <f t="shared" si="48"/>
        <v>44748</v>
      </c>
      <c r="Z419">
        <v>1.0125</v>
      </c>
    </row>
    <row r="420" spans="1:26" x14ac:dyDescent="0.35">
      <c r="A420" t="s">
        <v>434</v>
      </c>
      <c r="B420" t="str">
        <f t="shared" si="42"/>
        <v>OK</v>
      </c>
      <c r="C420" t="s">
        <v>1924</v>
      </c>
      <c r="D420" s="2">
        <v>54</v>
      </c>
      <c r="E420">
        <f>IF(OR(D420&lt;18, D420&gt;100),AD419,D420)</f>
        <v>54</v>
      </c>
      <c r="F420" t="s">
        <v>2990</v>
      </c>
      <c r="G420" t="str">
        <f t="shared" si="43"/>
        <v>Male</v>
      </c>
      <c r="H420" t="s">
        <v>3004</v>
      </c>
      <c r="I420" t="s">
        <v>3021</v>
      </c>
      <c r="K420" t="str">
        <f t="shared" si="44"/>
        <v>Unemployed</v>
      </c>
      <c r="L420">
        <v>26</v>
      </c>
      <c r="M420">
        <v>2141977</v>
      </c>
      <c r="N420">
        <f t="shared" si="45"/>
        <v>2141977</v>
      </c>
      <c r="O420">
        <v>88323</v>
      </c>
      <c r="P420">
        <v>22.19</v>
      </c>
      <c r="Q420">
        <v>36</v>
      </c>
      <c r="R420" t="s">
        <v>3049</v>
      </c>
      <c r="S420" t="str">
        <f t="shared" si="46"/>
        <v>Business</v>
      </c>
      <c r="T420">
        <v>601</v>
      </c>
      <c r="U420">
        <f t="shared" si="47"/>
        <v>601</v>
      </c>
      <c r="V420">
        <v>3</v>
      </c>
      <c r="W420" t="s">
        <v>3052</v>
      </c>
      <c r="X420" s="3" t="s">
        <v>3441</v>
      </c>
      <c r="Y420" s="3">
        <f t="shared" si="48"/>
        <v>44102</v>
      </c>
      <c r="Z420">
        <v>4.1200000000000001E-2</v>
      </c>
    </row>
    <row r="421" spans="1:26" x14ac:dyDescent="0.35">
      <c r="A421" t="s">
        <v>435</v>
      </c>
      <c r="B421" t="str">
        <f t="shared" si="42"/>
        <v>OK</v>
      </c>
      <c r="C421" t="s">
        <v>1925</v>
      </c>
      <c r="D421" s="2">
        <v>42</v>
      </c>
      <c r="E421">
        <f>IF(OR(D421&lt;18, D421&gt;100),AD420,D421)</f>
        <v>42</v>
      </c>
      <c r="F421" t="s">
        <v>2990</v>
      </c>
      <c r="G421" t="str">
        <f t="shared" si="43"/>
        <v>Male</v>
      </c>
      <c r="H421" t="s">
        <v>3006</v>
      </c>
      <c r="I421" t="s">
        <v>3019</v>
      </c>
      <c r="K421" t="str">
        <f t="shared" si="44"/>
        <v>Employed</v>
      </c>
      <c r="L421">
        <v>16</v>
      </c>
      <c r="M421">
        <v>640494</v>
      </c>
      <c r="N421">
        <f t="shared" si="45"/>
        <v>640494</v>
      </c>
      <c r="O421">
        <v>159883</v>
      </c>
      <c r="P421">
        <v>18.809999999999999</v>
      </c>
      <c r="Q421">
        <v>48</v>
      </c>
      <c r="R421" t="s">
        <v>3049</v>
      </c>
      <c r="S421" t="str">
        <f t="shared" si="46"/>
        <v>Business</v>
      </c>
      <c r="U421">
        <f t="shared" si="47"/>
        <v>556</v>
      </c>
      <c r="V421">
        <v>2</v>
      </c>
      <c r="W421" t="s">
        <v>3056</v>
      </c>
      <c r="X421" s="3" t="s">
        <v>3442</v>
      </c>
      <c r="Y421" s="3">
        <f t="shared" si="48"/>
        <v>44607</v>
      </c>
      <c r="Z421">
        <v>0.24959999999999999</v>
      </c>
    </row>
    <row r="422" spans="1:26" x14ac:dyDescent="0.35">
      <c r="A422" t="s">
        <v>436</v>
      </c>
      <c r="B422" t="str">
        <f t="shared" si="42"/>
        <v>OK</v>
      </c>
      <c r="C422" t="s">
        <v>1926</v>
      </c>
      <c r="D422" s="2">
        <v>25</v>
      </c>
      <c r="E422">
        <f>IF(OR(D422&lt;18, D422&gt;100),AD421,D422)</f>
        <v>25</v>
      </c>
      <c r="F422" t="s">
        <v>2992</v>
      </c>
      <c r="G422" t="str">
        <f t="shared" si="43"/>
        <v>Female</v>
      </c>
      <c r="H422" t="s">
        <v>2999</v>
      </c>
      <c r="I422" t="s">
        <v>3020</v>
      </c>
      <c r="K422" t="str">
        <f t="shared" si="44"/>
        <v>Self-Employed</v>
      </c>
      <c r="L422">
        <v>4</v>
      </c>
      <c r="M422">
        <v>1339608</v>
      </c>
      <c r="N422">
        <f t="shared" si="45"/>
        <v>1339608</v>
      </c>
      <c r="O422">
        <v>237980</v>
      </c>
      <c r="P422">
        <v>12.94</v>
      </c>
      <c r="Q422">
        <v>24</v>
      </c>
      <c r="R422" t="s">
        <v>3048</v>
      </c>
      <c r="S422" t="str">
        <f t="shared" si="46"/>
        <v>Home Improvement</v>
      </c>
      <c r="T422">
        <v>367</v>
      </c>
      <c r="U422">
        <f t="shared" si="47"/>
        <v>367</v>
      </c>
      <c r="V422">
        <v>1</v>
      </c>
      <c r="W422" t="s">
        <v>3057</v>
      </c>
      <c r="X422" s="3" t="s">
        <v>3443</v>
      </c>
      <c r="Y422" s="3">
        <f t="shared" si="48"/>
        <v>44939</v>
      </c>
      <c r="Z422">
        <v>0.17760000000000001</v>
      </c>
    </row>
    <row r="423" spans="1:26" x14ac:dyDescent="0.35">
      <c r="A423" t="s">
        <v>437</v>
      </c>
      <c r="B423" t="str">
        <f t="shared" si="42"/>
        <v>OK</v>
      </c>
      <c r="C423" t="s">
        <v>1927</v>
      </c>
      <c r="D423" s="2">
        <v>58</v>
      </c>
      <c r="E423">
        <f>IF(OR(D423&lt;18, D423&gt;100),AD422,D423)</f>
        <v>58</v>
      </c>
      <c r="F423" t="s">
        <v>2990</v>
      </c>
      <c r="G423" t="str">
        <f t="shared" si="43"/>
        <v>Male</v>
      </c>
      <c r="H423" t="s">
        <v>3013</v>
      </c>
      <c r="I423" t="s">
        <v>3021</v>
      </c>
      <c r="K423" t="str">
        <f t="shared" si="44"/>
        <v>Unemployed</v>
      </c>
      <c r="L423">
        <v>15</v>
      </c>
      <c r="M423">
        <v>2349867</v>
      </c>
      <c r="N423">
        <f t="shared" si="45"/>
        <v>2349867</v>
      </c>
      <c r="O423">
        <v>608398</v>
      </c>
      <c r="P423">
        <v>21.84</v>
      </c>
      <c r="Q423">
        <v>60</v>
      </c>
      <c r="R423" t="s">
        <v>3046</v>
      </c>
      <c r="S423" t="str">
        <f t="shared" si="46"/>
        <v>Medical</v>
      </c>
      <c r="T423">
        <v>742</v>
      </c>
      <c r="U423">
        <f t="shared" si="47"/>
        <v>742</v>
      </c>
      <c r="V423">
        <v>5</v>
      </c>
      <c r="W423" t="s">
        <v>3057</v>
      </c>
      <c r="X423" s="3" t="s">
        <v>3311</v>
      </c>
      <c r="Y423" s="3">
        <f t="shared" si="48"/>
        <v>45206</v>
      </c>
      <c r="Z423">
        <v>0.25890000000000002</v>
      </c>
    </row>
    <row r="424" spans="1:26" x14ac:dyDescent="0.35">
      <c r="A424" t="s">
        <v>438</v>
      </c>
      <c r="B424" t="str">
        <f t="shared" si="42"/>
        <v>OK</v>
      </c>
      <c r="C424" t="s">
        <v>1928</v>
      </c>
      <c r="D424" s="2">
        <v>22</v>
      </c>
      <c r="E424">
        <f>IF(OR(D424&lt;18, D424&gt;100),AD423,D424)</f>
        <v>22</v>
      </c>
      <c r="F424" t="s">
        <v>2992</v>
      </c>
      <c r="G424" t="str">
        <f t="shared" si="43"/>
        <v>Female</v>
      </c>
      <c r="H424" t="s">
        <v>3002</v>
      </c>
      <c r="I424" t="s">
        <v>3018</v>
      </c>
      <c r="K424" t="str">
        <f t="shared" si="44"/>
        <v>Business Owner</v>
      </c>
      <c r="L424">
        <v>12</v>
      </c>
      <c r="M424">
        <v>696409</v>
      </c>
      <c r="N424">
        <f t="shared" si="45"/>
        <v>696409</v>
      </c>
      <c r="O424">
        <v>456542</v>
      </c>
      <c r="P424" t="s">
        <v>3032</v>
      </c>
      <c r="Q424">
        <v>48</v>
      </c>
      <c r="R424" t="s">
        <v>3051</v>
      </c>
      <c r="S424" t="str">
        <f t="shared" si="46"/>
        <v>Education</v>
      </c>
      <c r="T424">
        <v>688</v>
      </c>
      <c r="U424">
        <f t="shared" si="47"/>
        <v>688</v>
      </c>
      <c r="V424">
        <v>2</v>
      </c>
      <c r="W424" t="s">
        <v>3057</v>
      </c>
      <c r="X424" s="3" t="s">
        <v>3442</v>
      </c>
      <c r="Y424" s="3">
        <f t="shared" si="48"/>
        <v>44607</v>
      </c>
      <c r="Z424">
        <v>0.65559999999999996</v>
      </c>
    </row>
    <row r="425" spans="1:26" x14ac:dyDescent="0.35">
      <c r="A425" t="s">
        <v>413</v>
      </c>
      <c r="B425" t="str">
        <f t="shared" si="42"/>
        <v>OK</v>
      </c>
      <c r="C425" t="s">
        <v>1903</v>
      </c>
      <c r="D425" s="2">
        <v>30</v>
      </c>
      <c r="E425">
        <f>IF(OR(D425&lt;18, D425&gt;100),AD424,D425)</f>
        <v>30</v>
      </c>
      <c r="F425" t="s">
        <v>2992</v>
      </c>
      <c r="G425" t="str">
        <f t="shared" si="43"/>
        <v>Female</v>
      </c>
      <c r="H425" t="s">
        <v>3001</v>
      </c>
      <c r="I425" t="s">
        <v>3019</v>
      </c>
      <c r="K425" t="str">
        <f t="shared" si="44"/>
        <v>Employed</v>
      </c>
      <c r="L425">
        <v>19</v>
      </c>
      <c r="M425">
        <v>1909057</v>
      </c>
      <c r="N425">
        <f t="shared" si="45"/>
        <v>1909057</v>
      </c>
      <c r="O425">
        <v>0</v>
      </c>
      <c r="P425">
        <v>27.09</v>
      </c>
      <c r="Q425">
        <v>24</v>
      </c>
      <c r="R425" t="s">
        <v>3046</v>
      </c>
      <c r="S425" t="str">
        <f t="shared" si="46"/>
        <v>Medical</v>
      </c>
      <c r="T425">
        <v>302</v>
      </c>
      <c r="U425">
        <f t="shared" si="47"/>
        <v>302</v>
      </c>
      <c r="V425">
        <v>4</v>
      </c>
      <c r="W425" t="s">
        <v>3055</v>
      </c>
      <c r="X425" s="3" t="s">
        <v>3423</v>
      </c>
      <c r="Y425" s="3">
        <f t="shared" si="48"/>
        <v>44628</v>
      </c>
      <c r="Z425">
        <v>4.99E-2</v>
      </c>
    </row>
    <row r="426" spans="1:26" x14ac:dyDescent="0.35">
      <c r="A426" t="s">
        <v>439</v>
      </c>
      <c r="B426" t="str">
        <f t="shared" si="42"/>
        <v>OK</v>
      </c>
      <c r="C426" t="s">
        <v>1929</v>
      </c>
      <c r="D426" s="2">
        <v>45</v>
      </c>
      <c r="E426">
        <f>IF(OR(D426&lt;18, D426&gt;100),AD425,D426)</f>
        <v>45</v>
      </c>
      <c r="F426" t="s">
        <v>2992</v>
      </c>
      <c r="G426" t="str">
        <f t="shared" si="43"/>
        <v>Female</v>
      </c>
      <c r="H426" t="s">
        <v>3006</v>
      </c>
      <c r="I426" t="s">
        <v>3020</v>
      </c>
      <c r="K426" t="str">
        <f t="shared" si="44"/>
        <v>Self-Employed</v>
      </c>
      <c r="L426">
        <v>21</v>
      </c>
      <c r="M426">
        <v>922488</v>
      </c>
      <c r="N426">
        <f t="shared" si="45"/>
        <v>922488</v>
      </c>
      <c r="O426">
        <v>673015</v>
      </c>
      <c r="P426">
        <v>8.7899999999999991</v>
      </c>
      <c r="Q426">
        <v>36</v>
      </c>
      <c r="R426" t="s">
        <v>3049</v>
      </c>
      <c r="S426" t="str">
        <f t="shared" si="46"/>
        <v>Business</v>
      </c>
      <c r="T426">
        <v>433</v>
      </c>
      <c r="U426">
        <f t="shared" si="47"/>
        <v>433</v>
      </c>
      <c r="V426">
        <v>2</v>
      </c>
      <c r="W426" t="s">
        <v>3054</v>
      </c>
      <c r="X426" s="3" t="s">
        <v>3444</v>
      </c>
      <c r="Y426" s="3">
        <f t="shared" si="48"/>
        <v>44445</v>
      </c>
      <c r="Z426">
        <v>0.72960000000000003</v>
      </c>
    </row>
    <row r="427" spans="1:26" x14ac:dyDescent="0.35">
      <c r="A427" t="s">
        <v>440</v>
      </c>
      <c r="B427" t="str">
        <f t="shared" si="42"/>
        <v>OK</v>
      </c>
      <c r="C427" t="s">
        <v>1930</v>
      </c>
      <c r="D427" s="2">
        <v>43</v>
      </c>
      <c r="E427">
        <f>IF(OR(D427&lt;18, D427&gt;100),AD426,D427)</f>
        <v>43</v>
      </c>
      <c r="F427" t="s">
        <v>2990</v>
      </c>
      <c r="G427" t="str">
        <f t="shared" si="43"/>
        <v>Male</v>
      </c>
      <c r="H427" t="s">
        <v>3001</v>
      </c>
      <c r="I427" t="s">
        <v>3020</v>
      </c>
      <c r="K427" t="str">
        <f t="shared" si="44"/>
        <v>Self-Employed</v>
      </c>
      <c r="L427">
        <v>1</v>
      </c>
      <c r="M427">
        <v>960641</v>
      </c>
      <c r="N427">
        <f t="shared" si="45"/>
        <v>960641</v>
      </c>
      <c r="O427">
        <v>237583</v>
      </c>
      <c r="P427">
        <v>26.35</v>
      </c>
      <c r="Q427">
        <v>48</v>
      </c>
      <c r="R427" t="s">
        <v>3047</v>
      </c>
      <c r="S427" t="str">
        <f t="shared" si="46"/>
        <v>Personal</v>
      </c>
      <c r="T427">
        <v>361</v>
      </c>
      <c r="U427">
        <f t="shared" si="47"/>
        <v>361</v>
      </c>
      <c r="V427">
        <v>1</v>
      </c>
      <c r="W427" t="s">
        <v>3056</v>
      </c>
      <c r="X427" s="3" t="s">
        <v>3445</v>
      </c>
      <c r="Y427" s="3">
        <f t="shared" si="48"/>
        <v>45282</v>
      </c>
      <c r="Z427">
        <v>0.24729999999999999</v>
      </c>
    </row>
    <row r="428" spans="1:26" x14ac:dyDescent="0.35">
      <c r="A428" t="s">
        <v>441</v>
      </c>
      <c r="B428" t="str">
        <f t="shared" si="42"/>
        <v>OK</v>
      </c>
      <c r="C428" t="s">
        <v>1931</v>
      </c>
      <c r="D428" s="2">
        <v>58</v>
      </c>
      <c r="E428">
        <f>IF(OR(D428&lt;18, D428&gt;100),AD427,D428)</f>
        <v>58</v>
      </c>
      <c r="F428" t="s">
        <v>2990</v>
      </c>
      <c r="G428" t="str">
        <f t="shared" si="43"/>
        <v>Male</v>
      </c>
      <c r="H428" t="s">
        <v>3003</v>
      </c>
      <c r="I428" t="s">
        <v>3019</v>
      </c>
      <c r="K428" t="str">
        <f t="shared" si="44"/>
        <v>Employed</v>
      </c>
      <c r="L428">
        <v>7</v>
      </c>
      <c r="M428">
        <v>1409787</v>
      </c>
      <c r="N428">
        <f t="shared" si="45"/>
        <v>1409787</v>
      </c>
      <c r="O428">
        <v>69522</v>
      </c>
      <c r="P428">
        <v>21.51</v>
      </c>
      <c r="Q428">
        <v>60</v>
      </c>
      <c r="R428" t="s">
        <v>3046</v>
      </c>
      <c r="S428" t="str">
        <f t="shared" si="46"/>
        <v>Medical</v>
      </c>
      <c r="T428">
        <v>727</v>
      </c>
      <c r="U428">
        <f t="shared" si="47"/>
        <v>727</v>
      </c>
      <c r="V428">
        <v>4</v>
      </c>
      <c r="W428" t="s">
        <v>3056</v>
      </c>
      <c r="X428" s="3" t="s">
        <v>3446</v>
      </c>
      <c r="Y428" s="3">
        <f t="shared" si="48"/>
        <v>44822</v>
      </c>
      <c r="Z428">
        <v>4.9299999999999997E-2</v>
      </c>
    </row>
    <row r="429" spans="1:26" x14ac:dyDescent="0.35">
      <c r="A429" t="s">
        <v>442</v>
      </c>
      <c r="B429" t="str">
        <f t="shared" si="42"/>
        <v>OK</v>
      </c>
      <c r="C429" t="s">
        <v>1932</v>
      </c>
      <c r="D429" s="2">
        <v>25</v>
      </c>
      <c r="E429">
        <f>IF(OR(D429&lt;18, D429&gt;100),AD428,D429)</f>
        <v>25</v>
      </c>
      <c r="F429" t="s">
        <v>2992</v>
      </c>
      <c r="G429" t="str">
        <f t="shared" si="43"/>
        <v>Female</v>
      </c>
      <c r="H429" t="s">
        <v>3003</v>
      </c>
      <c r="I429" t="s">
        <v>3019</v>
      </c>
      <c r="K429" t="str">
        <f t="shared" si="44"/>
        <v>Employed</v>
      </c>
      <c r="L429">
        <v>20</v>
      </c>
      <c r="M429">
        <v>2223338</v>
      </c>
      <c r="N429">
        <f t="shared" si="45"/>
        <v>2223338</v>
      </c>
      <c r="O429">
        <v>328112</v>
      </c>
      <c r="P429">
        <v>26.66</v>
      </c>
      <c r="Q429">
        <v>48</v>
      </c>
      <c r="R429" t="s">
        <v>3051</v>
      </c>
      <c r="S429" t="str">
        <f t="shared" si="46"/>
        <v>Education</v>
      </c>
      <c r="T429">
        <v>440</v>
      </c>
      <c r="U429">
        <f t="shared" si="47"/>
        <v>440</v>
      </c>
      <c r="V429">
        <v>3</v>
      </c>
      <c r="W429" t="s">
        <v>3054</v>
      </c>
      <c r="X429" s="3" t="s">
        <v>3447</v>
      </c>
      <c r="Y429" s="3">
        <f t="shared" si="48"/>
        <v>44300</v>
      </c>
      <c r="Z429">
        <v>0.14760000000000001</v>
      </c>
    </row>
    <row r="430" spans="1:26" x14ac:dyDescent="0.35">
      <c r="A430" t="s">
        <v>443</v>
      </c>
      <c r="B430" t="str">
        <f t="shared" si="42"/>
        <v>OK</v>
      </c>
      <c r="C430" t="s">
        <v>1933</v>
      </c>
      <c r="D430" s="2">
        <v>50</v>
      </c>
      <c r="E430">
        <f>IF(OR(D430&lt;18, D430&gt;100),AD429,D430)</f>
        <v>50</v>
      </c>
      <c r="F430" t="s">
        <v>2992</v>
      </c>
      <c r="G430" t="str">
        <f t="shared" si="43"/>
        <v>Female</v>
      </c>
      <c r="H430" t="s">
        <v>3006</v>
      </c>
      <c r="I430" t="s">
        <v>3018</v>
      </c>
      <c r="K430" t="str">
        <f t="shared" si="44"/>
        <v>Business Owner</v>
      </c>
      <c r="L430">
        <v>6</v>
      </c>
      <c r="M430">
        <v>836951</v>
      </c>
      <c r="N430">
        <f t="shared" si="45"/>
        <v>836951</v>
      </c>
      <c r="O430">
        <v>387003</v>
      </c>
      <c r="P430">
        <v>24.9</v>
      </c>
      <c r="Q430">
        <v>48</v>
      </c>
      <c r="S430" t="str">
        <f t="shared" si="46"/>
        <v>Unknown</v>
      </c>
      <c r="T430">
        <v>386</v>
      </c>
      <c r="U430">
        <f t="shared" si="47"/>
        <v>386</v>
      </c>
      <c r="V430">
        <v>0</v>
      </c>
      <c r="W430" t="s">
        <v>3056</v>
      </c>
      <c r="X430" s="3" t="s">
        <v>3448</v>
      </c>
      <c r="Y430" s="3">
        <f t="shared" si="48"/>
        <v>43885</v>
      </c>
      <c r="Z430">
        <v>0.46239999999999998</v>
      </c>
    </row>
    <row r="431" spans="1:26" x14ac:dyDescent="0.35">
      <c r="A431" t="s">
        <v>444</v>
      </c>
      <c r="B431" t="str">
        <f t="shared" si="42"/>
        <v>OK</v>
      </c>
      <c r="C431" t="s">
        <v>1934</v>
      </c>
      <c r="D431" s="2">
        <v>22</v>
      </c>
      <c r="E431">
        <f>IF(OR(D431&lt;18, D431&gt;100),AD430,D431)</f>
        <v>22</v>
      </c>
      <c r="F431" t="s">
        <v>2992</v>
      </c>
      <c r="G431" t="str">
        <f t="shared" si="43"/>
        <v>Female</v>
      </c>
      <c r="H431" t="s">
        <v>3015</v>
      </c>
      <c r="I431" t="s">
        <v>3021</v>
      </c>
      <c r="K431" t="str">
        <f t="shared" si="44"/>
        <v>Unemployed</v>
      </c>
      <c r="L431">
        <v>23</v>
      </c>
      <c r="M431">
        <v>1390209</v>
      </c>
      <c r="N431">
        <f t="shared" si="45"/>
        <v>1390209</v>
      </c>
      <c r="O431">
        <v>127507</v>
      </c>
      <c r="P431">
        <v>11.5</v>
      </c>
      <c r="Q431">
        <v>60</v>
      </c>
      <c r="R431" t="s">
        <v>3049</v>
      </c>
      <c r="S431" t="str">
        <f t="shared" si="46"/>
        <v>Business</v>
      </c>
      <c r="T431">
        <v>498</v>
      </c>
      <c r="U431">
        <f t="shared" si="47"/>
        <v>498</v>
      </c>
      <c r="V431">
        <v>4</v>
      </c>
      <c r="W431" t="s">
        <v>3053</v>
      </c>
      <c r="X431" s="3" t="s">
        <v>3449</v>
      </c>
      <c r="Y431" s="3">
        <f t="shared" si="48"/>
        <v>44238</v>
      </c>
      <c r="Z431">
        <v>9.1700000000000004E-2</v>
      </c>
    </row>
    <row r="432" spans="1:26" x14ac:dyDescent="0.35">
      <c r="A432" t="s">
        <v>445</v>
      </c>
      <c r="B432" t="str">
        <f t="shared" si="42"/>
        <v>OK</v>
      </c>
      <c r="C432" t="s">
        <v>1935</v>
      </c>
      <c r="D432" s="2">
        <v>42</v>
      </c>
      <c r="E432">
        <f>IF(OR(D432&lt;18, D432&gt;100),AD431,D432)</f>
        <v>42</v>
      </c>
      <c r="F432" t="s">
        <v>2995</v>
      </c>
      <c r="G432" t="str">
        <f t="shared" si="43"/>
        <v>Male</v>
      </c>
      <c r="H432" t="s">
        <v>3007</v>
      </c>
      <c r="I432" t="s">
        <v>3020</v>
      </c>
      <c r="K432" t="str">
        <f t="shared" si="44"/>
        <v>Self-Employed</v>
      </c>
      <c r="L432">
        <v>9</v>
      </c>
      <c r="M432">
        <v>1436715</v>
      </c>
      <c r="N432">
        <f t="shared" si="45"/>
        <v>1436715</v>
      </c>
      <c r="O432">
        <v>667418</v>
      </c>
      <c r="P432">
        <v>14.05</v>
      </c>
      <c r="Q432">
        <v>12</v>
      </c>
      <c r="R432" t="s">
        <v>3047</v>
      </c>
      <c r="S432" t="str">
        <f t="shared" si="46"/>
        <v>Personal</v>
      </c>
      <c r="T432">
        <v>345</v>
      </c>
      <c r="U432">
        <f t="shared" si="47"/>
        <v>345</v>
      </c>
      <c r="V432">
        <v>2</v>
      </c>
      <c r="W432" t="s">
        <v>3052</v>
      </c>
      <c r="X432" s="3" t="s">
        <v>3450</v>
      </c>
      <c r="Y432" s="3">
        <f t="shared" si="48"/>
        <v>44388</v>
      </c>
      <c r="Z432">
        <v>0.46450000000000002</v>
      </c>
    </row>
    <row r="433" spans="1:26" x14ac:dyDescent="0.35">
      <c r="A433" t="s">
        <v>446</v>
      </c>
      <c r="B433" t="str">
        <f t="shared" si="42"/>
        <v>OK</v>
      </c>
      <c r="C433" t="s">
        <v>1936</v>
      </c>
      <c r="D433" s="2">
        <v>41</v>
      </c>
      <c r="E433">
        <f>IF(OR(D433&lt;18, D433&gt;100),AD432,D433)</f>
        <v>41</v>
      </c>
      <c r="F433" t="s">
        <v>2992</v>
      </c>
      <c r="G433" t="str">
        <f t="shared" si="43"/>
        <v>Female</v>
      </c>
      <c r="H433" t="s">
        <v>3005</v>
      </c>
      <c r="I433" t="s">
        <v>3021</v>
      </c>
      <c r="K433" t="str">
        <f t="shared" si="44"/>
        <v>Unemployed</v>
      </c>
      <c r="L433">
        <v>21</v>
      </c>
      <c r="M433">
        <v>400169</v>
      </c>
      <c r="N433">
        <f t="shared" si="45"/>
        <v>400169</v>
      </c>
      <c r="O433">
        <v>781401</v>
      </c>
      <c r="P433">
        <v>18.809999999999999</v>
      </c>
      <c r="Q433">
        <v>36</v>
      </c>
      <c r="R433" t="s">
        <v>3048</v>
      </c>
      <c r="S433" t="str">
        <f t="shared" si="46"/>
        <v>Home Improvement</v>
      </c>
      <c r="T433">
        <v>372</v>
      </c>
      <c r="U433">
        <f t="shared" si="47"/>
        <v>372</v>
      </c>
      <c r="V433">
        <v>7</v>
      </c>
      <c r="W433" t="s">
        <v>3055</v>
      </c>
      <c r="X433" s="3" t="s">
        <v>3451</v>
      </c>
      <c r="Y433" s="3">
        <f t="shared" si="48"/>
        <v>44723</v>
      </c>
      <c r="Z433">
        <v>1.9527000000000001</v>
      </c>
    </row>
    <row r="434" spans="1:26" x14ac:dyDescent="0.35">
      <c r="A434" t="s">
        <v>447</v>
      </c>
      <c r="B434" t="str">
        <f t="shared" si="42"/>
        <v>OK</v>
      </c>
      <c r="C434" t="s">
        <v>1937</v>
      </c>
      <c r="D434" s="2">
        <v>31</v>
      </c>
      <c r="E434">
        <f>IF(OR(D434&lt;18, D434&gt;100),AD433,D434)</f>
        <v>31</v>
      </c>
      <c r="F434" t="s">
        <v>2990</v>
      </c>
      <c r="G434" t="str">
        <f t="shared" si="43"/>
        <v>Male</v>
      </c>
      <c r="H434" t="s">
        <v>3005</v>
      </c>
      <c r="I434" t="s">
        <v>3021</v>
      </c>
      <c r="K434" t="str">
        <f t="shared" si="44"/>
        <v>Unemployed</v>
      </c>
      <c r="L434">
        <v>28</v>
      </c>
      <c r="M434">
        <v>2360521</v>
      </c>
      <c r="N434">
        <f t="shared" si="45"/>
        <v>2360521</v>
      </c>
      <c r="O434">
        <v>345203</v>
      </c>
      <c r="P434">
        <v>23.92</v>
      </c>
      <c r="Q434">
        <v>60</v>
      </c>
      <c r="R434" t="s">
        <v>3048</v>
      </c>
      <c r="S434" t="str">
        <f t="shared" si="46"/>
        <v>Home Improvement</v>
      </c>
      <c r="T434">
        <v>565</v>
      </c>
      <c r="U434">
        <f t="shared" si="47"/>
        <v>565</v>
      </c>
      <c r="V434">
        <v>5</v>
      </c>
      <c r="W434" t="s">
        <v>3054</v>
      </c>
      <c r="X434" s="3" t="s">
        <v>3452</v>
      </c>
      <c r="Y434" s="3">
        <f t="shared" si="48"/>
        <v>45053</v>
      </c>
      <c r="Z434">
        <v>0.1462</v>
      </c>
    </row>
    <row r="435" spans="1:26" x14ac:dyDescent="0.35">
      <c r="A435" t="s">
        <v>448</v>
      </c>
      <c r="B435" t="str">
        <f t="shared" si="42"/>
        <v>OK</v>
      </c>
      <c r="C435" t="s">
        <v>1938</v>
      </c>
      <c r="D435" s="2">
        <v>35</v>
      </c>
      <c r="E435">
        <f>IF(OR(D435&lt;18, D435&gt;100),AD434,D435)</f>
        <v>35</v>
      </c>
      <c r="F435" t="s">
        <v>2992</v>
      </c>
      <c r="G435" t="str">
        <f t="shared" si="43"/>
        <v>Female</v>
      </c>
      <c r="H435" t="s">
        <v>3004</v>
      </c>
      <c r="I435" t="s">
        <v>3019</v>
      </c>
      <c r="K435" t="str">
        <f t="shared" si="44"/>
        <v>Employed</v>
      </c>
      <c r="L435">
        <v>2</v>
      </c>
      <c r="M435">
        <v>1541871</v>
      </c>
      <c r="N435">
        <f t="shared" si="45"/>
        <v>1541871</v>
      </c>
      <c r="O435">
        <v>307710</v>
      </c>
      <c r="P435">
        <v>19.829999999999998</v>
      </c>
      <c r="Q435">
        <v>48</v>
      </c>
      <c r="R435" t="s">
        <v>3048</v>
      </c>
      <c r="S435" t="str">
        <f t="shared" si="46"/>
        <v>Home Improvement</v>
      </c>
      <c r="T435">
        <v>779</v>
      </c>
      <c r="U435">
        <f t="shared" si="47"/>
        <v>779</v>
      </c>
      <c r="V435">
        <v>6</v>
      </c>
      <c r="W435" t="s">
        <v>3056</v>
      </c>
      <c r="X435" s="3" t="s">
        <v>3453</v>
      </c>
      <c r="Y435" s="3">
        <f t="shared" si="48"/>
        <v>44987</v>
      </c>
      <c r="Z435">
        <v>0.1996</v>
      </c>
    </row>
    <row r="436" spans="1:26" x14ac:dyDescent="0.35">
      <c r="A436" t="s">
        <v>449</v>
      </c>
      <c r="B436" t="str">
        <f t="shared" si="42"/>
        <v>OK</v>
      </c>
      <c r="C436" t="s">
        <v>1939</v>
      </c>
      <c r="D436" s="2">
        <v>61</v>
      </c>
      <c r="E436">
        <f>IF(OR(D436&lt;18, D436&gt;100),AD435,D436)</f>
        <v>61</v>
      </c>
      <c r="F436" t="s">
        <v>2990</v>
      </c>
      <c r="G436" t="str">
        <f t="shared" si="43"/>
        <v>Male</v>
      </c>
      <c r="H436" t="s">
        <v>3001</v>
      </c>
      <c r="I436" t="s">
        <v>3021</v>
      </c>
      <c r="K436" t="str">
        <f t="shared" si="44"/>
        <v>Unemployed</v>
      </c>
      <c r="L436">
        <v>20</v>
      </c>
      <c r="M436">
        <v>2126830</v>
      </c>
      <c r="N436">
        <f t="shared" si="45"/>
        <v>2126830</v>
      </c>
      <c r="O436">
        <v>132217</v>
      </c>
      <c r="P436">
        <v>15.69</v>
      </c>
      <c r="Q436">
        <v>60</v>
      </c>
      <c r="R436" t="s">
        <v>3050</v>
      </c>
      <c r="S436" t="str">
        <f t="shared" si="46"/>
        <v>Agriculture</v>
      </c>
      <c r="T436">
        <v>437</v>
      </c>
      <c r="U436">
        <f t="shared" si="47"/>
        <v>437</v>
      </c>
      <c r="V436">
        <v>3</v>
      </c>
      <c r="W436" t="s">
        <v>3053</v>
      </c>
      <c r="X436" s="3" t="s">
        <v>3454</v>
      </c>
      <c r="Y436" s="3">
        <f t="shared" si="48"/>
        <v>43969</v>
      </c>
      <c r="Z436">
        <v>6.2199999999999998E-2</v>
      </c>
    </row>
    <row r="437" spans="1:26" x14ac:dyDescent="0.35">
      <c r="A437" t="s">
        <v>450</v>
      </c>
      <c r="B437" t="str">
        <f t="shared" si="42"/>
        <v>OK</v>
      </c>
      <c r="C437" t="s">
        <v>1940</v>
      </c>
      <c r="D437" s="2">
        <v>53</v>
      </c>
      <c r="E437">
        <f>IF(OR(D437&lt;18, D437&gt;100),AD436,D437)</f>
        <v>53</v>
      </c>
      <c r="F437" t="s">
        <v>2992</v>
      </c>
      <c r="G437" t="str">
        <f t="shared" si="43"/>
        <v>Female</v>
      </c>
      <c r="H437" t="s">
        <v>2998</v>
      </c>
      <c r="I437" t="s">
        <v>3021</v>
      </c>
      <c r="K437" t="str">
        <f t="shared" si="44"/>
        <v>Unemployed</v>
      </c>
      <c r="L437">
        <v>27</v>
      </c>
      <c r="M437">
        <v>1408807</v>
      </c>
      <c r="N437">
        <f t="shared" si="45"/>
        <v>1408807</v>
      </c>
      <c r="O437">
        <v>140076</v>
      </c>
      <c r="P437">
        <v>24.92</v>
      </c>
      <c r="Q437">
        <v>12</v>
      </c>
      <c r="R437" t="s">
        <v>3049</v>
      </c>
      <c r="S437" t="str">
        <f t="shared" si="46"/>
        <v>Business</v>
      </c>
      <c r="T437">
        <v>849</v>
      </c>
      <c r="U437">
        <f t="shared" si="47"/>
        <v>849</v>
      </c>
      <c r="V437">
        <v>5</v>
      </c>
      <c r="W437" t="s">
        <v>3055</v>
      </c>
      <c r="X437" s="3" t="s">
        <v>3455</v>
      </c>
      <c r="Y437" s="3">
        <f t="shared" si="48"/>
        <v>44170</v>
      </c>
      <c r="Z437">
        <v>9.9400000000000002E-2</v>
      </c>
    </row>
    <row r="438" spans="1:26" x14ac:dyDescent="0.35">
      <c r="A438" t="s">
        <v>451</v>
      </c>
      <c r="B438" t="str">
        <f t="shared" si="42"/>
        <v>OK</v>
      </c>
      <c r="C438" t="s">
        <v>1941</v>
      </c>
      <c r="D438" s="2">
        <v>35</v>
      </c>
      <c r="E438">
        <f>IF(OR(D438&lt;18, D438&gt;100),AD437,D438)</f>
        <v>35</v>
      </c>
      <c r="F438" t="s">
        <v>2992</v>
      </c>
      <c r="G438" t="str">
        <f t="shared" si="43"/>
        <v>Female</v>
      </c>
      <c r="H438" t="s">
        <v>3006</v>
      </c>
      <c r="I438" t="s">
        <v>3021</v>
      </c>
      <c r="K438" t="str">
        <f t="shared" si="44"/>
        <v>Unemployed</v>
      </c>
      <c r="L438">
        <v>15</v>
      </c>
      <c r="M438">
        <v>804771</v>
      </c>
      <c r="N438">
        <f t="shared" si="45"/>
        <v>804771</v>
      </c>
      <c r="O438">
        <v>502376</v>
      </c>
      <c r="P438">
        <v>9.4499999999999993</v>
      </c>
      <c r="Q438">
        <v>12</v>
      </c>
      <c r="R438" t="s">
        <v>3046</v>
      </c>
      <c r="S438" t="str">
        <f t="shared" si="46"/>
        <v>Medical</v>
      </c>
      <c r="T438">
        <v>556</v>
      </c>
      <c r="U438">
        <f t="shared" si="47"/>
        <v>556</v>
      </c>
      <c r="V438">
        <v>1</v>
      </c>
      <c r="W438" t="s">
        <v>3062</v>
      </c>
      <c r="X438" s="3" t="s">
        <v>3456</v>
      </c>
      <c r="Y438" s="3">
        <f t="shared" si="48"/>
        <v>44528</v>
      </c>
      <c r="Z438">
        <v>0.62419999999999998</v>
      </c>
    </row>
    <row r="439" spans="1:26" x14ac:dyDescent="0.35">
      <c r="A439" t="s">
        <v>452</v>
      </c>
      <c r="B439" t="str">
        <f t="shared" si="42"/>
        <v>OK</v>
      </c>
      <c r="C439" t="s">
        <v>1942</v>
      </c>
      <c r="D439" s="2">
        <v>27</v>
      </c>
      <c r="E439">
        <f>IF(OR(D439&lt;18, D439&gt;100),AD438,D439)</f>
        <v>27</v>
      </c>
      <c r="F439" t="s">
        <v>2992</v>
      </c>
      <c r="G439" t="str">
        <f t="shared" si="43"/>
        <v>Female</v>
      </c>
      <c r="H439" t="s">
        <v>3007</v>
      </c>
      <c r="I439" t="s">
        <v>3018</v>
      </c>
      <c r="K439" t="str">
        <f t="shared" si="44"/>
        <v>Business Owner</v>
      </c>
      <c r="L439">
        <v>12</v>
      </c>
      <c r="M439">
        <v>310544</v>
      </c>
      <c r="N439">
        <f t="shared" si="45"/>
        <v>310544</v>
      </c>
      <c r="O439">
        <v>427931</v>
      </c>
      <c r="P439">
        <v>16.54</v>
      </c>
      <c r="Q439">
        <v>48</v>
      </c>
      <c r="R439" t="s">
        <v>3051</v>
      </c>
      <c r="S439" t="str">
        <f t="shared" si="46"/>
        <v>Education</v>
      </c>
      <c r="T439">
        <v>491</v>
      </c>
      <c r="U439">
        <f t="shared" si="47"/>
        <v>491</v>
      </c>
      <c r="V439">
        <v>1</v>
      </c>
      <c r="W439" t="s">
        <v>3053</v>
      </c>
      <c r="X439" s="3" t="s">
        <v>3300</v>
      </c>
      <c r="Y439" s="3">
        <f t="shared" si="48"/>
        <v>43882</v>
      </c>
      <c r="Z439">
        <v>1.3779999999999999</v>
      </c>
    </row>
    <row r="440" spans="1:26" x14ac:dyDescent="0.35">
      <c r="A440" t="s">
        <v>453</v>
      </c>
      <c r="B440" t="str">
        <f t="shared" si="42"/>
        <v>OK</v>
      </c>
      <c r="C440" t="s">
        <v>1943</v>
      </c>
      <c r="D440" s="2">
        <v>33</v>
      </c>
      <c r="E440">
        <f>IF(OR(D440&lt;18, D440&gt;100),AD439,D440)</f>
        <v>33</v>
      </c>
      <c r="F440" t="s">
        <v>2990</v>
      </c>
      <c r="G440" t="str">
        <f t="shared" si="43"/>
        <v>Male</v>
      </c>
      <c r="H440" t="s">
        <v>3002</v>
      </c>
      <c r="I440" t="s">
        <v>3018</v>
      </c>
      <c r="K440" t="str">
        <f t="shared" si="44"/>
        <v>Business Owner</v>
      </c>
      <c r="L440">
        <v>20</v>
      </c>
      <c r="M440">
        <v>827008</v>
      </c>
      <c r="N440">
        <f t="shared" si="45"/>
        <v>827008</v>
      </c>
      <c r="O440">
        <v>520098</v>
      </c>
      <c r="P440">
        <v>11.29</v>
      </c>
      <c r="Q440">
        <v>36</v>
      </c>
      <c r="R440" t="s">
        <v>3048</v>
      </c>
      <c r="S440" t="str">
        <f t="shared" si="46"/>
        <v>Home Improvement</v>
      </c>
      <c r="T440">
        <v>548</v>
      </c>
      <c r="U440">
        <f t="shared" si="47"/>
        <v>548</v>
      </c>
      <c r="V440">
        <v>1</v>
      </c>
      <c r="W440" t="s">
        <v>3053</v>
      </c>
      <c r="X440" s="3" t="s">
        <v>3457</v>
      </c>
      <c r="Y440" s="3">
        <f t="shared" si="48"/>
        <v>44870</v>
      </c>
      <c r="Z440">
        <v>0.62890000000000001</v>
      </c>
    </row>
    <row r="441" spans="1:26" x14ac:dyDescent="0.35">
      <c r="A441" t="s">
        <v>454</v>
      </c>
      <c r="B441" t="str">
        <f t="shared" si="42"/>
        <v>OK</v>
      </c>
      <c r="C441" t="s">
        <v>1944</v>
      </c>
      <c r="D441" s="2">
        <v>60</v>
      </c>
      <c r="E441">
        <f>IF(OR(D441&lt;18, D441&gt;100),AD440,D441)</f>
        <v>60</v>
      </c>
      <c r="F441" t="s">
        <v>2990</v>
      </c>
      <c r="G441" t="str">
        <f t="shared" si="43"/>
        <v>Male</v>
      </c>
      <c r="H441" t="s">
        <v>3001</v>
      </c>
      <c r="I441" t="s">
        <v>3021</v>
      </c>
      <c r="K441" t="str">
        <f t="shared" si="44"/>
        <v>Unemployed</v>
      </c>
      <c r="L441">
        <v>23</v>
      </c>
      <c r="N441">
        <f t="shared" si="45"/>
        <v>1333224</v>
      </c>
      <c r="O441">
        <v>420890</v>
      </c>
      <c r="P441">
        <v>10.91</v>
      </c>
      <c r="Q441">
        <v>48</v>
      </c>
      <c r="R441" t="s">
        <v>3048</v>
      </c>
      <c r="S441" t="str">
        <f t="shared" si="46"/>
        <v>Home Improvement</v>
      </c>
      <c r="T441">
        <v>831</v>
      </c>
      <c r="U441">
        <f t="shared" si="47"/>
        <v>831</v>
      </c>
      <c r="V441">
        <v>2</v>
      </c>
      <c r="W441" t="s">
        <v>3055</v>
      </c>
      <c r="X441" s="3" t="s">
        <v>3458</v>
      </c>
      <c r="Y441" s="3">
        <f t="shared" si="48"/>
        <v>45232</v>
      </c>
      <c r="Z441">
        <v>0.5242</v>
      </c>
    </row>
    <row r="442" spans="1:26" x14ac:dyDescent="0.35">
      <c r="A442" t="s">
        <v>455</v>
      </c>
      <c r="B442" t="str">
        <f t="shared" si="42"/>
        <v>OK</v>
      </c>
      <c r="C442" t="s">
        <v>1945</v>
      </c>
      <c r="D442" s="2">
        <v>42</v>
      </c>
      <c r="E442">
        <f>IF(OR(D442&lt;18, D442&gt;100),AD441,D442)</f>
        <v>42</v>
      </c>
      <c r="F442" t="s">
        <v>2992</v>
      </c>
      <c r="G442" t="str">
        <f t="shared" si="43"/>
        <v>Female</v>
      </c>
      <c r="H442" t="s">
        <v>3002</v>
      </c>
      <c r="I442" t="s">
        <v>3018</v>
      </c>
      <c r="K442" t="str">
        <f t="shared" si="44"/>
        <v>Business Owner</v>
      </c>
      <c r="L442">
        <v>26</v>
      </c>
      <c r="M442">
        <v>230098</v>
      </c>
      <c r="N442">
        <f t="shared" si="45"/>
        <v>230098</v>
      </c>
      <c r="O442">
        <v>160148</v>
      </c>
      <c r="P442">
        <v>12.32</v>
      </c>
      <c r="Q442">
        <v>24</v>
      </c>
      <c r="R442" t="s">
        <v>3046</v>
      </c>
      <c r="S442" t="str">
        <f t="shared" si="46"/>
        <v>Medical</v>
      </c>
      <c r="T442">
        <v>318</v>
      </c>
      <c r="U442">
        <f t="shared" si="47"/>
        <v>318</v>
      </c>
      <c r="V442">
        <v>2</v>
      </c>
      <c r="W442" t="s">
        <v>3057</v>
      </c>
      <c r="X442" s="3" t="s">
        <v>3180</v>
      </c>
      <c r="Y442" s="3">
        <f t="shared" si="48"/>
        <v>44052</v>
      </c>
      <c r="Z442">
        <v>0.69599999999999995</v>
      </c>
    </row>
    <row r="443" spans="1:26" x14ac:dyDescent="0.35">
      <c r="A443" t="s">
        <v>456</v>
      </c>
      <c r="B443" t="str">
        <f t="shared" si="42"/>
        <v>OK</v>
      </c>
      <c r="C443" t="s">
        <v>1946</v>
      </c>
      <c r="D443" s="2">
        <v>29</v>
      </c>
      <c r="E443">
        <f>IF(OR(D443&lt;18, D443&gt;100),AD442,D443)</f>
        <v>29</v>
      </c>
      <c r="F443" t="s">
        <v>2996</v>
      </c>
      <c r="G443" t="str">
        <f t="shared" si="43"/>
        <v>Female</v>
      </c>
      <c r="H443" t="s">
        <v>2998</v>
      </c>
      <c r="I443" t="s">
        <v>3018</v>
      </c>
      <c r="K443" t="str">
        <f t="shared" si="44"/>
        <v>Business Owner</v>
      </c>
      <c r="L443">
        <v>2</v>
      </c>
      <c r="M443">
        <v>417199</v>
      </c>
      <c r="N443">
        <f t="shared" si="45"/>
        <v>417199</v>
      </c>
      <c r="O443">
        <v>577242</v>
      </c>
      <c r="P443">
        <v>23.37</v>
      </c>
      <c r="Q443">
        <v>12</v>
      </c>
      <c r="R443" t="s">
        <v>3049</v>
      </c>
      <c r="S443" t="str">
        <f t="shared" si="46"/>
        <v>Business</v>
      </c>
      <c r="T443">
        <v>314</v>
      </c>
      <c r="U443">
        <f t="shared" si="47"/>
        <v>314</v>
      </c>
      <c r="V443">
        <v>3</v>
      </c>
      <c r="W443" t="s">
        <v>3052</v>
      </c>
      <c r="X443" s="3" t="s">
        <v>3459</v>
      </c>
      <c r="Y443" s="3">
        <f t="shared" si="48"/>
        <v>45090</v>
      </c>
      <c r="Z443">
        <v>1.3835999999999999</v>
      </c>
    </row>
    <row r="444" spans="1:26" x14ac:dyDescent="0.35">
      <c r="A444" t="s">
        <v>457</v>
      </c>
      <c r="B444" t="str">
        <f t="shared" si="42"/>
        <v>OK</v>
      </c>
      <c r="C444" t="s">
        <v>1947</v>
      </c>
      <c r="D444" s="2">
        <v>57</v>
      </c>
      <c r="E444">
        <f>IF(OR(D444&lt;18, D444&gt;100),AD443,D444)</f>
        <v>57</v>
      </c>
      <c r="F444" t="s">
        <v>2990</v>
      </c>
      <c r="G444" t="str">
        <f t="shared" si="43"/>
        <v>Male</v>
      </c>
      <c r="H444" t="s">
        <v>2999</v>
      </c>
      <c r="I444" t="s">
        <v>3021</v>
      </c>
      <c r="K444" t="str">
        <f t="shared" si="44"/>
        <v>Unemployed</v>
      </c>
      <c r="L444">
        <v>12</v>
      </c>
      <c r="M444">
        <v>1496189</v>
      </c>
      <c r="N444">
        <f t="shared" si="45"/>
        <v>1496189</v>
      </c>
      <c r="O444">
        <v>108835</v>
      </c>
      <c r="P444">
        <v>21.51</v>
      </c>
      <c r="Q444">
        <v>24</v>
      </c>
      <c r="R444" t="s">
        <v>3050</v>
      </c>
      <c r="S444" t="str">
        <f t="shared" si="46"/>
        <v>Agriculture</v>
      </c>
      <c r="T444">
        <v>491</v>
      </c>
      <c r="U444">
        <f t="shared" si="47"/>
        <v>491</v>
      </c>
      <c r="V444">
        <v>3</v>
      </c>
      <c r="W444" t="s">
        <v>3053</v>
      </c>
      <c r="X444" s="3" t="s">
        <v>3460</v>
      </c>
      <c r="Y444" s="3">
        <f t="shared" si="48"/>
        <v>45022</v>
      </c>
      <c r="Z444">
        <v>7.2700000000000001E-2</v>
      </c>
    </row>
    <row r="445" spans="1:26" x14ac:dyDescent="0.35">
      <c r="A445" t="s">
        <v>458</v>
      </c>
      <c r="B445" t="str">
        <f t="shared" si="42"/>
        <v>OK</v>
      </c>
      <c r="C445" t="s">
        <v>1948</v>
      </c>
      <c r="D445" s="2">
        <v>64</v>
      </c>
      <c r="E445">
        <f>IF(OR(D445&lt;18, D445&gt;100),AD444,D445)</f>
        <v>64</v>
      </c>
      <c r="F445" t="s">
        <v>2992</v>
      </c>
      <c r="G445" t="str">
        <f t="shared" si="43"/>
        <v>Female</v>
      </c>
      <c r="H445" t="s">
        <v>3003</v>
      </c>
      <c r="I445" t="s">
        <v>3020</v>
      </c>
      <c r="K445" t="str">
        <f t="shared" si="44"/>
        <v>Self-Employed</v>
      </c>
      <c r="L445">
        <v>12</v>
      </c>
      <c r="M445">
        <v>847689</v>
      </c>
      <c r="N445">
        <f t="shared" si="45"/>
        <v>847689</v>
      </c>
      <c r="O445">
        <v>759804</v>
      </c>
      <c r="P445">
        <v>9.9</v>
      </c>
      <c r="Q445">
        <v>60</v>
      </c>
      <c r="R445" t="s">
        <v>3050</v>
      </c>
      <c r="S445" t="str">
        <f t="shared" si="46"/>
        <v>Agriculture</v>
      </c>
      <c r="T445">
        <v>319</v>
      </c>
      <c r="U445">
        <f t="shared" si="47"/>
        <v>319</v>
      </c>
      <c r="V445">
        <v>4</v>
      </c>
      <c r="W445" t="s">
        <v>3056</v>
      </c>
      <c r="X445" s="3" t="s">
        <v>3461</v>
      </c>
      <c r="Y445" s="3">
        <f t="shared" si="48"/>
        <v>45214</v>
      </c>
      <c r="Z445">
        <v>0.89629999999999999</v>
      </c>
    </row>
    <row r="446" spans="1:26" x14ac:dyDescent="0.35">
      <c r="A446" t="s">
        <v>459</v>
      </c>
      <c r="B446" t="str">
        <f t="shared" si="42"/>
        <v>OK</v>
      </c>
      <c r="C446" t="s">
        <v>1949</v>
      </c>
      <c r="D446" s="2">
        <v>46</v>
      </c>
      <c r="E446">
        <f>IF(OR(D446&lt;18, D446&gt;100),AD445,D446)</f>
        <v>46</v>
      </c>
      <c r="F446" t="s">
        <v>2990</v>
      </c>
      <c r="G446" t="str">
        <f t="shared" si="43"/>
        <v>Male</v>
      </c>
      <c r="H446" t="s">
        <v>3003</v>
      </c>
      <c r="I446" t="s">
        <v>3021</v>
      </c>
      <c r="K446" t="str">
        <f t="shared" si="44"/>
        <v>Unemployed</v>
      </c>
      <c r="L446">
        <v>10</v>
      </c>
      <c r="M446">
        <v>1891672</v>
      </c>
      <c r="N446">
        <f t="shared" si="45"/>
        <v>1891672</v>
      </c>
      <c r="O446">
        <v>785791</v>
      </c>
      <c r="P446">
        <v>8.48</v>
      </c>
      <c r="Q446">
        <v>36</v>
      </c>
      <c r="R446" t="s">
        <v>3051</v>
      </c>
      <c r="S446" t="str">
        <f t="shared" si="46"/>
        <v>Education</v>
      </c>
      <c r="U446">
        <f t="shared" si="47"/>
        <v>556</v>
      </c>
      <c r="V446">
        <v>1</v>
      </c>
      <c r="W446" t="s">
        <v>3061</v>
      </c>
      <c r="X446" s="3" t="s">
        <v>3267</v>
      </c>
      <c r="Y446" s="3">
        <f t="shared" si="48"/>
        <v>43924</v>
      </c>
      <c r="Z446">
        <v>0.41539999999999999</v>
      </c>
    </row>
    <row r="447" spans="1:26" x14ac:dyDescent="0.35">
      <c r="A447" t="s">
        <v>460</v>
      </c>
      <c r="B447" t="str">
        <f t="shared" si="42"/>
        <v>OK</v>
      </c>
      <c r="C447" t="s">
        <v>1950</v>
      </c>
      <c r="D447" s="2">
        <v>30</v>
      </c>
      <c r="E447">
        <f>IF(OR(D447&lt;18, D447&gt;100),AD446,D447)</f>
        <v>30</v>
      </c>
      <c r="F447" t="s">
        <v>2994</v>
      </c>
      <c r="G447" t="str">
        <f t="shared" si="43"/>
        <v>Female</v>
      </c>
      <c r="H447" t="s">
        <v>3003</v>
      </c>
      <c r="I447" t="s">
        <v>3020</v>
      </c>
      <c r="K447" t="str">
        <f t="shared" si="44"/>
        <v>Self-Employed</v>
      </c>
      <c r="L447">
        <v>7</v>
      </c>
      <c r="M447">
        <v>1629087</v>
      </c>
      <c r="N447">
        <f t="shared" si="45"/>
        <v>1629087</v>
      </c>
      <c r="O447">
        <v>106694</v>
      </c>
      <c r="P447">
        <v>18.05</v>
      </c>
      <c r="Q447">
        <v>12</v>
      </c>
      <c r="R447" t="s">
        <v>3050</v>
      </c>
      <c r="S447" t="str">
        <f t="shared" si="46"/>
        <v>Agriculture</v>
      </c>
      <c r="T447">
        <v>507</v>
      </c>
      <c r="U447">
        <f t="shared" si="47"/>
        <v>507</v>
      </c>
      <c r="V447">
        <v>1</v>
      </c>
      <c r="W447" t="s">
        <v>3056</v>
      </c>
      <c r="X447" s="3" t="s">
        <v>3462</v>
      </c>
      <c r="Y447" s="3">
        <f t="shared" si="48"/>
        <v>44100</v>
      </c>
      <c r="Z447">
        <v>6.5500000000000003E-2</v>
      </c>
    </row>
    <row r="448" spans="1:26" x14ac:dyDescent="0.35">
      <c r="A448" t="s">
        <v>461</v>
      </c>
      <c r="B448" t="str">
        <f t="shared" si="42"/>
        <v>OK</v>
      </c>
      <c r="C448" t="s">
        <v>1951</v>
      </c>
      <c r="D448" s="2">
        <v>28</v>
      </c>
      <c r="E448">
        <f>IF(OR(D448&lt;18, D448&gt;100),AD447,D448)</f>
        <v>28</v>
      </c>
      <c r="F448" t="s">
        <v>2992</v>
      </c>
      <c r="G448" t="str">
        <f t="shared" si="43"/>
        <v>Female</v>
      </c>
      <c r="H448" t="s">
        <v>3013</v>
      </c>
      <c r="I448" t="s">
        <v>3021</v>
      </c>
      <c r="K448" t="str">
        <f t="shared" si="44"/>
        <v>Unemployed</v>
      </c>
      <c r="L448">
        <v>24</v>
      </c>
      <c r="M448">
        <v>401373</v>
      </c>
      <c r="N448">
        <f t="shared" si="45"/>
        <v>401373</v>
      </c>
      <c r="O448">
        <v>464972</v>
      </c>
      <c r="P448">
        <v>15.26</v>
      </c>
      <c r="Q448">
        <v>60</v>
      </c>
      <c r="R448" t="s">
        <v>3047</v>
      </c>
      <c r="S448" t="str">
        <f t="shared" si="46"/>
        <v>Personal</v>
      </c>
      <c r="T448">
        <v>760</v>
      </c>
      <c r="U448">
        <f t="shared" si="47"/>
        <v>760</v>
      </c>
      <c r="V448">
        <v>2</v>
      </c>
      <c r="W448" t="s">
        <v>3056</v>
      </c>
      <c r="X448" s="3" t="s">
        <v>3297</v>
      </c>
      <c r="Y448" s="3">
        <f t="shared" si="48"/>
        <v>44762</v>
      </c>
      <c r="Z448">
        <v>1.1585000000000001</v>
      </c>
    </row>
    <row r="449" spans="1:26" x14ac:dyDescent="0.35">
      <c r="A449" t="s">
        <v>462</v>
      </c>
      <c r="B449" t="str">
        <f t="shared" si="42"/>
        <v>OK</v>
      </c>
      <c r="C449" t="s">
        <v>1952</v>
      </c>
      <c r="D449" s="2">
        <v>46</v>
      </c>
      <c r="E449">
        <f>IF(OR(D449&lt;18, D449&gt;100),AD448,D449)</f>
        <v>46</v>
      </c>
      <c r="F449" t="s">
        <v>2990</v>
      </c>
      <c r="G449" t="str">
        <f t="shared" si="43"/>
        <v>Male</v>
      </c>
      <c r="H449" t="s">
        <v>2999</v>
      </c>
      <c r="I449" t="s">
        <v>3021</v>
      </c>
      <c r="K449" t="str">
        <f t="shared" si="44"/>
        <v>Unemployed</v>
      </c>
      <c r="L449">
        <v>21</v>
      </c>
      <c r="M449">
        <v>1818497</v>
      </c>
      <c r="N449">
        <f t="shared" si="45"/>
        <v>1818497</v>
      </c>
      <c r="O449">
        <v>547741</v>
      </c>
      <c r="P449">
        <v>23.16</v>
      </c>
      <c r="Q449">
        <v>12</v>
      </c>
      <c r="R449" t="s">
        <v>3050</v>
      </c>
      <c r="S449" t="str">
        <f t="shared" si="46"/>
        <v>Agriculture</v>
      </c>
      <c r="T449">
        <v>648</v>
      </c>
      <c r="U449">
        <f t="shared" si="47"/>
        <v>648</v>
      </c>
      <c r="V449">
        <v>4</v>
      </c>
      <c r="W449" t="s">
        <v>3054</v>
      </c>
      <c r="X449" s="3" t="s">
        <v>3463</v>
      </c>
      <c r="Y449" s="3">
        <f t="shared" si="48"/>
        <v>44151</v>
      </c>
      <c r="Z449">
        <v>0.30120000000000002</v>
      </c>
    </row>
    <row r="450" spans="1:26" x14ac:dyDescent="0.35">
      <c r="A450" t="s">
        <v>463</v>
      </c>
      <c r="B450" t="str">
        <f t="shared" ref="B450:B511" si="49">IF(A450="", "MISSING", "OK")</f>
        <v>OK</v>
      </c>
      <c r="C450" t="s">
        <v>1953</v>
      </c>
      <c r="D450" s="2">
        <v>30</v>
      </c>
      <c r="E450">
        <f>IF(OR(D450&lt;18, D450&gt;100),AD449,D450)</f>
        <v>30</v>
      </c>
      <c r="F450" t="s">
        <v>2990</v>
      </c>
      <c r="G450" t="str">
        <f t="shared" si="43"/>
        <v>Male</v>
      </c>
      <c r="H450" t="s">
        <v>3002</v>
      </c>
      <c r="I450" t="s">
        <v>3021</v>
      </c>
      <c r="K450" t="str">
        <f t="shared" si="44"/>
        <v>Unemployed</v>
      </c>
      <c r="L450">
        <v>0</v>
      </c>
      <c r="M450">
        <v>2245153</v>
      </c>
      <c r="N450">
        <f t="shared" si="45"/>
        <v>2245153</v>
      </c>
      <c r="O450">
        <v>27415</v>
      </c>
      <c r="P450">
        <v>23.37</v>
      </c>
      <c r="Q450">
        <v>12</v>
      </c>
      <c r="R450" t="s">
        <v>3047</v>
      </c>
      <c r="S450" t="str">
        <f t="shared" si="46"/>
        <v>Personal</v>
      </c>
      <c r="T450">
        <v>424</v>
      </c>
      <c r="U450">
        <f t="shared" si="47"/>
        <v>424</v>
      </c>
      <c r="V450">
        <v>3</v>
      </c>
      <c r="W450" t="s">
        <v>3053</v>
      </c>
      <c r="X450" s="3" t="s">
        <v>3464</v>
      </c>
      <c r="Y450" s="3">
        <f t="shared" si="48"/>
        <v>44297</v>
      </c>
      <c r="Z450">
        <v>1.2200000000000001E-2</v>
      </c>
    </row>
    <row r="451" spans="1:26" x14ac:dyDescent="0.35">
      <c r="A451" t="s">
        <v>464</v>
      </c>
      <c r="B451" t="str">
        <f t="shared" si="49"/>
        <v>OK</v>
      </c>
      <c r="C451" t="s">
        <v>1954</v>
      </c>
      <c r="D451" s="2">
        <v>55</v>
      </c>
      <c r="E451">
        <f>IF(OR(D451&lt;18, D451&gt;100),AD450,D451)</f>
        <v>55</v>
      </c>
      <c r="F451" t="s">
        <v>2992</v>
      </c>
      <c r="G451" t="str">
        <f t="shared" ref="G451:G514" si="50">IF(F451="", "Unknown", IF(OR(F451="F", F451="FEMALE", F451="Female"), "Female", IF(OR(F451="M", F451="MALE", F451="Male"), "Male", "Other")))</f>
        <v>Female</v>
      </c>
      <c r="H451" t="s">
        <v>3003</v>
      </c>
      <c r="I451" t="s">
        <v>3021</v>
      </c>
      <c r="K451" t="str">
        <f t="shared" ref="K451:K514" si="51">IF(I451="", "Unknown", I451)</f>
        <v>Unemployed</v>
      </c>
      <c r="L451">
        <v>26</v>
      </c>
      <c r="M451">
        <v>1360887</v>
      </c>
      <c r="N451">
        <f t="shared" ref="N451:N514" si="52">IF(OR(M451="",M451&lt;0),$AD$3,M451)</f>
        <v>1360887</v>
      </c>
      <c r="O451">
        <v>247135</v>
      </c>
      <c r="P451">
        <v>27.31</v>
      </c>
      <c r="Q451">
        <v>24</v>
      </c>
      <c r="R451" t="s">
        <v>3050</v>
      </c>
      <c r="S451" t="str">
        <f t="shared" ref="S451:S514" si="53">IF(R451="", "Unknown", R451)</f>
        <v>Agriculture</v>
      </c>
      <c r="T451">
        <v>527</v>
      </c>
      <c r="U451">
        <f t="shared" ref="U451:U514" si="54">IF(OR(T451="",T451&gt;999),$AD$2,T451)</f>
        <v>527</v>
      </c>
      <c r="V451">
        <v>4</v>
      </c>
      <c r="W451" t="s">
        <v>3052</v>
      </c>
      <c r="X451" s="3" t="s">
        <v>3465</v>
      </c>
      <c r="Y451" s="3">
        <f t="shared" ref="Y451:Y514" si="55">IF(ISNUMBER(X451), X451, DATEVALUE(X451))</f>
        <v>45017</v>
      </c>
      <c r="Z451">
        <v>0.18160000000000001</v>
      </c>
    </row>
    <row r="452" spans="1:26" x14ac:dyDescent="0.35">
      <c r="A452" t="s">
        <v>465</v>
      </c>
      <c r="B452" t="str">
        <f t="shared" si="49"/>
        <v>OK</v>
      </c>
      <c r="C452" t="s">
        <v>1955</v>
      </c>
      <c r="D452" s="2">
        <v>58</v>
      </c>
      <c r="E452">
        <f>IF(OR(D452&lt;18, D452&gt;100),AD451,D452)</f>
        <v>58</v>
      </c>
      <c r="F452" t="s">
        <v>2990</v>
      </c>
      <c r="G452" t="str">
        <f t="shared" si="50"/>
        <v>Male</v>
      </c>
      <c r="H452" t="s">
        <v>3004</v>
      </c>
      <c r="I452" t="s">
        <v>3021</v>
      </c>
      <c r="K452" t="str">
        <f t="shared" si="51"/>
        <v>Unemployed</v>
      </c>
      <c r="L452">
        <v>11</v>
      </c>
      <c r="M452">
        <v>735462</v>
      </c>
      <c r="N452">
        <f t="shared" si="52"/>
        <v>735462</v>
      </c>
      <c r="O452">
        <v>265300</v>
      </c>
      <c r="P452">
        <v>23.13</v>
      </c>
      <c r="Q452">
        <v>48</v>
      </c>
      <c r="R452" t="s">
        <v>3050</v>
      </c>
      <c r="S452" t="str">
        <f t="shared" si="53"/>
        <v>Agriculture</v>
      </c>
      <c r="T452">
        <v>738</v>
      </c>
      <c r="U452">
        <f t="shared" si="54"/>
        <v>738</v>
      </c>
      <c r="V452">
        <v>3</v>
      </c>
      <c r="W452" t="s">
        <v>3053</v>
      </c>
      <c r="X452" s="3" t="s">
        <v>3129</v>
      </c>
      <c r="Y452" s="3">
        <f t="shared" si="55"/>
        <v>44320</v>
      </c>
      <c r="Z452">
        <v>0.36070000000000002</v>
      </c>
    </row>
    <row r="453" spans="1:26" x14ac:dyDescent="0.35">
      <c r="A453" t="s">
        <v>466</v>
      </c>
      <c r="B453" t="str">
        <f t="shared" si="49"/>
        <v>OK</v>
      </c>
      <c r="C453" t="s">
        <v>1956</v>
      </c>
      <c r="D453" s="2">
        <v>40</v>
      </c>
      <c r="E453">
        <f>IF(OR(D453&lt;18, D453&gt;100),AD452,D453)</f>
        <v>40</v>
      </c>
      <c r="F453" t="s">
        <v>2990</v>
      </c>
      <c r="G453" t="str">
        <f t="shared" si="50"/>
        <v>Male</v>
      </c>
      <c r="H453" t="s">
        <v>3002</v>
      </c>
      <c r="I453" t="s">
        <v>3019</v>
      </c>
      <c r="K453" t="str">
        <f t="shared" si="51"/>
        <v>Employed</v>
      </c>
      <c r="L453">
        <v>0</v>
      </c>
      <c r="M453">
        <v>-1162469</v>
      </c>
      <c r="N453">
        <f t="shared" si="52"/>
        <v>1333224</v>
      </c>
      <c r="O453">
        <v>456679</v>
      </c>
      <c r="P453">
        <v>8.23</v>
      </c>
      <c r="Q453">
        <v>60</v>
      </c>
      <c r="R453" t="s">
        <v>3046</v>
      </c>
      <c r="S453" t="str">
        <f t="shared" si="53"/>
        <v>Medical</v>
      </c>
      <c r="T453">
        <v>424</v>
      </c>
      <c r="U453">
        <f t="shared" si="54"/>
        <v>424</v>
      </c>
      <c r="V453">
        <v>0</v>
      </c>
      <c r="W453" t="s">
        <v>3055</v>
      </c>
      <c r="X453" s="3" t="s">
        <v>3466</v>
      </c>
      <c r="Y453" s="3">
        <f t="shared" si="55"/>
        <v>44769</v>
      </c>
      <c r="Z453">
        <v>0.39290000000000003</v>
      </c>
    </row>
    <row r="454" spans="1:26" x14ac:dyDescent="0.35">
      <c r="A454" t="s">
        <v>467</v>
      </c>
      <c r="B454" t="str">
        <f t="shared" si="49"/>
        <v>OK</v>
      </c>
      <c r="C454" t="s">
        <v>1957</v>
      </c>
      <c r="D454" s="2">
        <v>43</v>
      </c>
      <c r="E454">
        <f>IF(OR(D454&lt;18, D454&gt;100),AD453,D454)</f>
        <v>43</v>
      </c>
      <c r="F454" t="s">
        <v>2992</v>
      </c>
      <c r="G454" t="str">
        <f t="shared" si="50"/>
        <v>Female</v>
      </c>
      <c r="H454" t="s">
        <v>3007</v>
      </c>
      <c r="I454" t="s">
        <v>3020</v>
      </c>
      <c r="K454" t="str">
        <f t="shared" si="51"/>
        <v>Self-Employed</v>
      </c>
      <c r="L454">
        <v>14</v>
      </c>
      <c r="M454">
        <v>1669493</v>
      </c>
      <c r="N454">
        <f t="shared" si="52"/>
        <v>1669493</v>
      </c>
      <c r="O454">
        <v>701509</v>
      </c>
      <c r="P454">
        <v>27.13</v>
      </c>
      <c r="Q454">
        <v>12</v>
      </c>
      <c r="R454" t="s">
        <v>3047</v>
      </c>
      <c r="S454" t="str">
        <f t="shared" si="53"/>
        <v>Personal</v>
      </c>
      <c r="T454">
        <v>508</v>
      </c>
      <c r="U454">
        <f t="shared" si="54"/>
        <v>508</v>
      </c>
      <c r="V454">
        <v>5</v>
      </c>
      <c r="W454" t="s">
        <v>3054</v>
      </c>
      <c r="X454" s="3" t="s">
        <v>3467</v>
      </c>
      <c r="Y454" s="3">
        <f t="shared" si="55"/>
        <v>44998</v>
      </c>
      <c r="Z454">
        <v>0.42020000000000002</v>
      </c>
    </row>
    <row r="455" spans="1:26" x14ac:dyDescent="0.35">
      <c r="A455" t="s">
        <v>468</v>
      </c>
      <c r="B455" t="str">
        <f t="shared" si="49"/>
        <v>OK</v>
      </c>
      <c r="C455" t="s">
        <v>1959</v>
      </c>
      <c r="D455" s="2">
        <v>32</v>
      </c>
      <c r="E455">
        <f>IF(OR(D455&lt;18, D455&gt;100),AD454,D455)</f>
        <v>32</v>
      </c>
      <c r="F455" t="s">
        <v>2992</v>
      </c>
      <c r="G455" t="str">
        <f t="shared" si="50"/>
        <v>Female</v>
      </c>
      <c r="H455" t="s">
        <v>3005</v>
      </c>
      <c r="I455" t="s">
        <v>3019</v>
      </c>
      <c r="K455" t="str">
        <f t="shared" si="51"/>
        <v>Employed</v>
      </c>
      <c r="L455">
        <v>0</v>
      </c>
      <c r="M455">
        <v>521815</v>
      </c>
      <c r="N455">
        <f t="shared" si="52"/>
        <v>521815</v>
      </c>
      <c r="O455">
        <v>587815</v>
      </c>
      <c r="P455">
        <v>10.93</v>
      </c>
      <c r="Q455">
        <v>60</v>
      </c>
      <c r="R455" t="s">
        <v>3046</v>
      </c>
      <c r="S455" t="str">
        <f t="shared" si="53"/>
        <v>Medical</v>
      </c>
      <c r="T455">
        <v>639</v>
      </c>
      <c r="U455">
        <f t="shared" si="54"/>
        <v>639</v>
      </c>
      <c r="V455">
        <v>0</v>
      </c>
      <c r="W455" t="s">
        <v>3053</v>
      </c>
      <c r="X455" s="3" t="s">
        <v>3282</v>
      </c>
      <c r="Y455" s="3">
        <f t="shared" si="55"/>
        <v>43951</v>
      </c>
      <c r="Z455">
        <v>1.1265000000000001</v>
      </c>
    </row>
    <row r="456" spans="1:26" x14ac:dyDescent="0.35">
      <c r="A456" t="s">
        <v>469</v>
      </c>
      <c r="B456" t="str">
        <f t="shared" si="49"/>
        <v>OK</v>
      </c>
      <c r="C456" t="s">
        <v>1960</v>
      </c>
      <c r="D456" s="2">
        <v>41</v>
      </c>
      <c r="E456">
        <f>IF(OR(D456&lt;18, D456&gt;100),AD455,D456)</f>
        <v>41</v>
      </c>
      <c r="F456" t="s">
        <v>2992</v>
      </c>
      <c r="G456" t="str">
        <f t="shared" si="50"/>
        <v>Female</v>
      </c>
      <c r="H456" t="s">
        <v>3006</v>
      </c>
      <c r="I456" t="s">
        <v>3018</v>
      </c>
      <c r="K456" t="str">
        <f t="shared" si="51"/>
        <v>Business Owner</v>
      </c>
      <c r="L456">
        <v>26</v>
      </c>
      <c r="M456">
        <v>1541303</v>
      </c>
      <c r="N456">
        <f t="shared" si="52"/>
        <v>1541303</v>
      </c>
      <c r="O456">
        <v>515236</v>
      </c>
      <c r="P456">
        <v>21.68</v>
      </c>
      <c r="Q456">
        <v>12</v>
      </c>
      <c r="R456" t="s">
        <v>3050</v>
      </c>
      <c r="S456" t="str">
        <f t="shared" si="53"/>
        <v>Agriculture</v>
      </c>
      <c r="T456">
        <v>431</v>
      </c>
      <c r="U456">
        <f t="shared" si="54"/>
        <v>431</v>
      </c>
      <c r="V456">
        <v>6</v>
      </c>
      <c r="W456" t="s">
        <v>3054</v>
      </c>
      <c r="X456" s="3" t="s">
        <v>3469</v>
      </c>
      <c r="Y456" s="3">
        <f t="shared" si="55"/>
        <v>45263</v>
      </c>
      <c r="Z456">
        <v>0.33429999999999999</v>
      </c>
    </row>
    <row r="457" spans="1:26" x14ac:dyDescent="0.35">
      <c r="A457" t="s">
        <v>470</v>
      </c>
      <c r="B457" t="str">
        <f t="shared" si="49"/>
        <v>OK</v>
      </c>
      <c r="C457" t="s">
        <v>1961</v>
      </c>
      <c r="D457" s="2">
        <v>40</v>
      </c>
      <c r="E457">
        <f>IF(OR(D457&lt;18, D457&gt;100),AD456,D457)</f>
        <v>40</v>
      </c>
      <c r="F457" t="s">
        <v>2992</v>
      </c>
      <c r="G457" t="str">
        <f t="shared" si="50"/>
        <v>Female</v>
      </c>
      <c r="H457" t="s">
        <v>2999</v>
      </c>
      <c r="I457" t="s">
        <v>3020</v>
      </c>
      <c r="K457" t="str">
        <f t="shared" si="51"/>
        <v>Self-Employed</v>
      </c>
      <c r="L457">
        <v>29</v>
      </c>
      <c r="M457">
        <v>1658301</v>
      </c>
      <c r="N457">
        <f t="shared" si="52"/>
        <v>1658301</v>
      </c>
      <c r="O457">
        <v>267644</v>
      </c>
      <c r="P457">
        <v>11.09</v>
      </c>
      <c r="Q457">
        <v>24</v>
      </c>
      <c r="R457" t="s">
        <v>3046</v>
      </c>
      <c r="S457" t="str">
        <f t="shared" si="53"/>
        <v>Medical</v>
      </c>
      <c r="T457">
        <v>504</v>
      </c>
      <c r="U457">
        <f t="shared" si="54"/>
        <v>504</v>
      </c>
      <c r="V457">
        <v>7</v>
      </c>
      <c r="W457" t="s">
        <v>3057</v>
      </c>
      <c r="X457" s="3" t="s">
        <v>3470</v>
      </c>
      <c r="Y457" s="3">
        <f t="shared" si="55"/>
        <v>43919</v>
      </c>
      <c r="Z457">
        <v>0.16139999999999999</v>
      </c>
    </row>
    <row r="458" spans="1:26" x14ac:dyDescent="0.35">
      <c r="A458" t="s">
        <v>471</v>
      </c>
      <c r="B458" t="str">
        <f t="shared" si="49"/>
        <v>OK</v>
      </c>
      <c r="C458" t="s">
        <v>1962</v>
      </c>
      <c r="D458" s="2">
        <v>60</v>
      </c>
      <c r="E458">
        <f>IF(OR(D458&lt;18, D458&gt;100),AD457,D458)</f>
        <v>60</v>
      </c>
      <c r="F458" t="s">
        <v>2990</v>
      </c>
      <c r="G458" t="str">
        <f t="shared" si="50"/>
        <v>Male</v>
      </c>
      <c r="H458" t="s">
        <v>3017</v>
      </c>
      <c r="I458" t="s">
        <v>3018</v>
      </c>
      <c r="K458" t="str">
        <f t="shared" si="51"/>
        <v>Business Owner</v>
      </c>
      <c r="L458">
        <v>16</v>
      </c>
      <c r="M458">
        <v>1673934</v>
      </c>
      <c r="N458">
        <f t="shared" si="52"/>
        <v>1673934</v>
      </c>
      <c r="O458">
        <v>22763</v>
      </c>
      <c r="P458">
        <v>11.78</v>
      </c>
      <c r="Q458">
        <v>12</v>
      </c>
      <c r="R458" t="s">
        <v>3047</v>
      </c>
      <c r="S458" t="str">
        <f t="shared" si="53"/>
        <v>Personal</v>
      </c>
      <c r="T458">
        <v>741</v>
      </c>
      <c r="U458">
        <f t="shared" si="54"/>
        <v>741</v>
      </c>
      <c r="V458">
        <v>4</v>
      </c>
      <c r="W458" t="s">
        <v>3052</v>
      </c>
      <c r="X458" s="3" t="s">
        <v>3471</v>
      </c>
      <c r="Y458" s="3">
        <f t="shared" si="55"/>
        <v>45203</v>
      </c>
      <c r="Z458">
        <v>1.3599999999999999E-2</v>
      </c>
    </row>
    <row r="459" spans="1:26" x14ac:dyDescent="0.35">
      <c r="A459" t="s">
        <v>472</v>
      </c>
      <c r="B459" t="str">
        <f t="shared" si="49"/>
        <v>OK</v>
      </c>
      <c r="C459" t="s">
        <v>1963</v>
      </c>
      <c r="D459" s="2">
        <v>52</v>
      </c>
      <c r="E459">
        <f>IF(OR(D459&lt;18, D459&gt;100),AD458,D459)</f>
        <v>52</v>
      </c>
      <c r="F459" t="s">
        <v>2990</v>
      </c>
      <c r="G459" t="str">
        <f t="shared" si="50"/>
        <v>Male</v>
      </c>
      <c r="H459" t="s">
        <v>3007</v>
      </c>
      <c r="I459" t="s">
        <v>3020</v>
      </c>
      <c r="K459" t="str">
        <f t="shared" si="51"/>
        <v>Self-Employed</v>
      </c>
      <c r="L459">
        <v>17</v>
      </c>
      <c r="M459">
        <v>337795</v>
      </c>
      <c r="N459">
        <f t="shared" si="52"/>
        <v>337795</v>
      </c>
      <c r="O459">
        <v>510834</v>
      </c>
      <c r="P459">
        <v>15.09</v>
      </c>
      <c r="Q459">
        <v>36</v>
      </c>
      <c r="R459" t="s">
        <v>3049</v>
      </c>
      <c r="S459" t="str">
        <f t="shared" si="53"/>
        <v>Business</v>
      </c>
      <c r="T459">
        <v>379</v>
      </c>
      <c r="U459">
        <f t="shared" si="54"/>
        <v>379</v>
      </c>
      <c r="V459">
        <v>6</v>
      </c>
      <c r="W459" t="s">
        <v>3054</v>
      </c>
      <c r="X459" s="3" t="s">
        <v>3472</v>
      </c>
      <c r="Y459" s="3">
        <f t="shared" si="55"/>
        <v>44556</v>
      </c>
      <c r="Z459">
        <v>1.5123</v>
      </c>
    </row>
    <row r="460" spans="1:26" x14ac:dyDescent="0.35">
      <c r="A460" t="s">
        <v>473</v>
      </c>
      <c r="B460" t="str">
        <f t="shared" si="49"/>
        <v>OK</v>
      </c>
      <c r="C460" t="s">
        <v>1964</v>
      </c>
      <c r="D460" s="2">
        <v>63</v>
      </c>
      <c r="E460">
        <f>IF(OR(D460&lt;18, D460&gt;100),AD459,D460)</f>
        <v>63</v>
      </c>
      <c r="F460" t="s">
        <v>2992</v>
      </c>
      <c r="G460" t="str">
        <f t="shared" si="50"/>
        <v>Female</v>
      </c>
      <c r="H460" t="s">
        <v>2999</v>
      </c>
      <c r="I460" t="s">
        <v>3018</v>
      </c>
      <c r="K460" t="str">
        <f t="shared" si="51"/>
        <v>Business Owner</v>
      </c>
      <c r="L460">
        <v>24</v>
      </c>
      <c r="M460">
        <v>1984673</v>
      </c>
      <c r="N460">
        <f t="shared" si="52"/>
        <v>1984673</v>
      </c>
      <c r="O460">
        <v>606549</v>
      </c>
      <c r="P460">
        <v>8.14</v>
      </c>
      <c r="Q460">
        <v>60</v>
      </c>
      <c r="R460" t="s">
        <v>3049</v>
      </c>
      <c r="S460" t="str">
        <f t="shared" si="53"/>
        <v>Business</v>
      </c>
      <c r="T460">
        <v>444</v>
      </c>
      <c r="U460">
        <f t="shared" si="54"/>
        <v>444</v>
      </c>
      <c r="V460">
        <v>4</v>
      </c>
      <c r="W460" t="s">
        <v>3052</v>
      </c>
      <c r="X460" s="3" t="s">
        <v>3281</v>
      </c>
      <c r="Y460" s="3">
        <f t="shared" si="55"/>
        <v>44345</v>
      </c>
      <c r="Z460">
        <v>0.30559999999999998</v>
      </c>
    </row>
    <row r="461" spans="1:26" x14ac:dyDescent="0.35">
      <c r="A461" t="s">
        <v>474</v>
      </c>
      <c r="B461" t="str">
        <f t="shared" si="49"/>
        <v>OK</v>
      </c>
      <c r="C461" t="s">
        <v>1965</v>
      </c>
      <c r="D461" s="2">
        <v>35</v>
      </c>
      <c r="E461">
        <f>IF(OR(D461&lt;18, D461&gt;100),AD460,D461)</f>
        <v>35</v>
      </c>
      <c r="F461" t="s">
        <v>2990</v>
      </c>
      <c r="G461" t="str">
        <f t="shared" si="50"/>
        <v>Male</v>
      </c>
      <c r="H461" t="s">
        <v>2999</v>
      </c>
      <c r="I461" t="s">
        <v>3020</v>
      </c>
      <c r="K461" t="str">
        <f t="shared" si="51"/>
        <v>Self-Employed</v>
      </c>
      <c r="L461">
        <v>16</v>
      </c>
      <c r="N461">
        <f t="shared" si="52"/>
        <v>1333224</v>
      </c>
      <c r="O461">
        <v>521590</v>
      </c>
      <c r="P461">
        <v>27.36</v>
      </c>
      <c r="Q461">
        <v>24</v>
      </c>
      <c r="R461" t="s">
        <v>3047</v>
      </c>
      <c r="S461" t="str">
        <f t="shared" si="53"/>
        <v>Personal</v>
      </c>
      <c r="T461">
        <v>503</v>
      </c>
      <c r="U461">
        <f t="shared" si="54"/>
        <v>503</v>
      </c>
      <c r="V461">
        <v>4</v>
      </c>
      <c r="W461" t="s">
        <v>3057</v>
      </c>
      <c r="X461" s="3" t="s">
        <v>3473</v>
      </c>
      <c r="Y461" s="3">
        <f t="shared" si="55"/>
        <v>44055</v>
      </c>
      <c r="Z461">
        <v>0.35560000000000003</v>
      </c>
    </row>
    <row r="462" spans="1:26" x14ac:dyDescent="0.35">
      <c r="A462" t="s">
        <v>475</v>
      </c>
      <c r="B462" t="str">
        <f t="shared" si="49"/>
        <v>OK</v>
      </c>
      <c r="C462" t="s">
        <v>1966</v>
      </c>
      <c r="D462" s="2">
        <v>51</v>
      </c>
      <c r="E462">
        <f>IF(OR(D462&lt;18, D462&gt;100),AD461,D462)</f>
        <v>51</v>
      </c>
      <c r="F462" t="s">
        <v>2992</v>
      </c>
      <c r="G462" t="str">
        <f t="shared" si="50"/>
        <v>Female</v>
      </c>
      <c r="H462" t="s">
        <v>3004</v>
      </c>
      <c r="I462" t="s">
        <v>3019</v>
      </c>
      <c r="K462" t="str">
        <f t="shared" si="51"/>
        <v>Employed</v>
      </c>
      <c r="L462">
        <v>4</v>
      </c>
      <c r="M462">
        <v>203429</v>
      </c>
      <c r="N462">
        <f t="shared" si="52"/>
        <v>203429</v>
      </c>
      <c r="O462">
        <v>221554</v>
      </c>
      <c r="P462">
        <v>25.46</v>
      </c>
      <c r="Q462">
        <v>60</v>
      </c>
      <c r="R462" t="s">
        <v>3051</v>
      </c>
      <c r="S462" t="str">
        <f t="shared" si="53"/>
        <v>Education</v>
      </c>
      <c r="T462">
        <v>624</v>
      </c>
      <c r="U462">
        <f t="shared" si="54"/>
        <v>624</v>
      </c>
      <c r="V462">
        <v>2</v>
      </c>
      <c r="W462" t="s">
        <v>3054</v>
      </c>
      <c r="X462" s="3" t="s">
        <v>3474</v>
      </c>
      <c r="Y462" s="3">
        <f t="shared" si="55"/>
        <v>45082</v>
      </c>
      <c r="Z462">
        <v>1.0891</v>
      </c>
    </row>
    <row r="463" spans="1:26" x14ac:dyDescent="0.35">
      <c r="A463" t="s">
        <v>476</v>
      </c>
      <c r="B463" t="str">
        <f t="shared" si="49"/>
        <v>OK</v>
      </c>
      <c r="C463" t="s">
        <v>1967</v>
      </c>
      <c r="D463" s="2">
        <v>41</v>
      </c>
      <c r="E463">
        <f>IF(OR(D463&lt;18, D463&gt;100),AD462,D463)</f>
        <v>41</v>
      </c>
      <c r="F463" t="s">
        <v>2990</v>
      </c>
      <c r="G463" t="str">
        <f t="shared" si="50"/>
        <v>Male</v>
      </c>
      <c r="H463" t="s">
        <v>3004</v>
      </c>
      <c r="K463" t="str">
        <f t="shared" si="51"/>
        <v>Unknown</v>
      </c>
      <c r="L463">
        <v>16</v>
      </c>
      <c r="M463">
        <v>966261</v>
      </c>
      <c r="N463">
        <f t="shared" si="52"/>
        <v>966261</v>
      </c>
      <c r="O463">
        <v>447214</v>
      </c>
      <c r="P463">
        <v>17.649999999999999</v>
      </c>
      <c r="Q463">
        <v>48</v>
      </c>
      <c r="R463" t="s">
        <v>3047</v>
      </c>
      <c r="S463" t="str">
        <f t="shared" si="53"/>
        <v>Personal</v>
      </c>
      <c r="T463">
        <v>781</v>
      </c>
      <c r="U463">
        <f t="shared" si="54"/>
        <v>781</v>
      </c>
      <c r="V463">
        <v>1</v>
      </c>
      <c r="W463" t="s">
        <v>3054</v>
      </c>
      <c r="X463" s="3" t="s">
        <v>3475</v>
      </c>
      <c r="Y463" s="3">
        <f t="shared" si="55"/>
        <v>44591</v>
      </c>
      <c r="Z463">
        <v>0.46279999999999999</v>
      </c>
    </row>
    <row r="464" spans="1:26" x14ac:dyDescent="0.35">
      <c r="A464" t="s">
        <v>477</v>
      </c>
      <c r="B464" t="str">
        <f t="shared" si="49"/>
        <v>OK</v>
      </c>
      <c r="C464" t="s">
        <v>1968</v>
      </c>
      <c r="D464" s="2">
        <v>27</v>
      </c>
      <c r="E464">
        <f>IF(OR(D464&lt;18, D464&gt;100),AD463,D464)</f>
        <v>27</v>
      </c>
      <c r="F464" t="s">
        <v>2992</v>
      </c>
      <c r="G464" t="str">
        <f t="shared" si="50"/>
        <v>Female</v>
      </c>
      <c r="H464" t="s">
        <v>3005</v>
      </c>
      <c r="I464" t="s">
        <v>3020</v>
      </c>
      <c r="K464" t="str">
        <f t="shared" si="51"/>
        <v>Self-Employed</v>
      </c>
      <c r="L464">
        <v>19</v>
      </c>
      <c r="M464">
        <v>2295810</v>
      </c>
      <c r="N464">
        <f t="shared" si="52"/>
        <v>2295810</v>
      </c>
      <c r="O464">
        <v>227772</v>
      </c>
      <c r="P464">
        <v>23.67</v>
      </c>
      <c r="Q464">
        <v>60</v>
      </c>
      <c r="R464" t="s">
        <v>3047</v>
      </c>
      <c r="S464" t="str">
        <f t="shared" si="53"/>
        <v>Personal</v>
      </c>
      <c r="T464">
        <v>781</v>
      </c>
      <c r="U464">
        <f t="shared" si="54"/>
        <v>781</v>
      </c>
      <c r="V464">
        <v>4</v>
      </c>
      <c r="W464" t="s">
        <v>3053</v>
      </c>
      <c r="X464" s="3" t="s">
        <v>3476</v>
      </c>
      <c r="Y464" s="3">
        <f t="shared" si="55"/>
        <v>44136</v>
      </c>
      <c r="Z464">
        <v>9.9199999999999997E-2</v>
      </c>
    </row>
    <row r="465" spans="1:26" x14ac:dyDescent="0.35">
      <c r="A465" t="s">
        <v>478</v>
      </c>
      <c r="B465" t="str">
        <f t="shared" si="49"/>
        <v>OK</v>
      </c>
      <c r="C465" t="s">
        <v>1969</v>
      </c>
      <c r="D465" s="2">
        <v>24</v>
      </c>
      <c r="E465">
        <f>IF(OR(D465&lt;18, D465&gt;100),AD464,D465)</f>
        <v>24</v>
      </c>
      <c r="F465" t="s">
        <v>2990</v>
      </c>
      <c r="G465" t="str">
        <f t="shared" si="50"/>
        <v>Male</v>
      </c>
      <c r="H465" t="s">
        <v>3005</v>
      </c>
      <c r="I465" t="s">
        <v>3020</v>
      </c>
      <c r="K465" t="str">
        <f t="shared" si="51"/>
        <v>Self-Employed</v>
      </c>
      <c r="L465">
        <v>15</v>
      </c>
      <c r="M465">
        <v>1051877</v>
      </c>
      <c r="N465">
        <f t="shared" si="52"/>
        <v>1051877</v>
      </c>
      <c r="O465">
        <v>583370</v>
      </c>
      <c r="P465">
        <v>25.51</v>
      </c>
      <c r="Q465">
        <v>24</v>
      </c>
      <c r="R465" t="s">
        <v>3049</v>
      </c>
      <c r="S465" t="str">
        <f t="shared" si="53"/>
        <v>Business</v>
      </c>
      <c r="T465">
        <v>372</v>
      </c>
      <c r="U465">
        <f t="shared" si="54"/>
        <v>372</v>
      </c>
      <c r="V465">
        <v>5</v>
      </c>
      <c r="W465" t="s">
        <v>3053</v>
      </c>
      <c r="X465" s="3" t="s">
        <v>3136</v>
      </c>
      <c r="Y465" s="3">
        <f t="shared" si="55"/>
        <v>44655</v>
      </c>
      <c r="Z465">
        <v>0.55459999999999998</v>
      </c>
    </row>
    <row r="466" spans="1:26" x14ac:dyDescent="0.35">
      <c r="A466" t="s">
        <v>479</v>
      </c>
      <c r="B466" t="str">
        <f t="shared" si="49"/>
        <v>OK</v>
      </c>
      <c r="C466" t="s">
        <v>1970</v>
      </c>
      <c r="D466" s="2">
        <v>52</v>
      </c>
      <c r="E466">
        <f>IF(OR(D466&lt;18, D466&gt;100),AD465,D466)</f>
        <v>52</v>
      </c>
      <c r="F466" t="s">
        <v>2990</v>
      </c>
      <c r="G466" t="str">
        <f t="shared" si="50"/>
        <v>Male</v>
      </c>
      <c r="H466" t="s">
        <v>3006</v>
      </c>
      <c r="I466" t="s">
        <v>3020</v>
      </c>
      <c r="K466" t="str">
        <f t="shared" si="51"/>
        <v>Self-Employed</v>
      </c>
      <c r="L466">
        <v>10</v>
      </c>
      <c r="M466">
        <v>2118904</v>
      </c>
      <c r="N466">
        <f t="shared" si="52"/>
        <v>2118904</v>
      </c>
      <c r="O466">
        <v>584983</v>
      </c>
      <c r="P466">
        <v>26.08</v>
      </c>
      <c r="Q466">
        <v>24</v>
      </c>
      <c r="R466" t="s">
        <v>3046</v>
      </c>
      <c r="S466" t="str">
        <f t="shared" si="53"/>
        <v>Medical</v>
      </c>
      <c r="T466">
        <v>567</v>
      </c>
      <c r="U466">
        <f t="shared" si="54"/>
        <v>567</v>
      </c>
      <c r="V466">
        <v>3</v>
      </c>
      <c r="W466" t="s">
        <v>3052</v>
      </c>
      <c r="X466" s="3" t="s">
        <v>3088</v>
      </c>
      <c r="Y466" s="3">
        <f t="shared" si="55"/>
        <v>43971</v>
      </c>
      <c r="Z466">
        <v>0.27610000000000001</v>
      </c>
    </row>
    <row r="467" spans="1:26" x14ac:dyDescent="0.35">
      <c r="A467" t="s">
        <v>480</v>
      </c>
      <c r="B467" t="str">
        <f t="shared" si="49"/>
        <v>OK</v>
      </c>
      <c r="C467" t="s">
        <v>1971</v>
      </c>
      <c r="D467" s="2">
        <v>58</v>
      </c>
      <c r="E467">
        <f>IF(OR(D467&lt;18, D467&gt;100),AD466,D467)</f>
        <v>58</v>
      </c>
      <c r="F467" t="s">
        <v>2992</v>
      </c>
      <c r="G467" t="str">
        <f t="shared" si="50"/>
        <v>Female</v>
      </c>
      <c r="H467" t="s">
        <v>3000</v>
      </c>
      <c r="I467" t="s">
        <v>3020</v>
      </c>
      <c r="K467" t="str">
        <f t="shared" si="51"/>
        <v>Self-Employed</v>
      </c>
      <c r="L467">
        <v>25</v>
      </c>
      <c r="N467">
        <f t="shared" si="52"/>
        <v>1333224</v>
      </c>
      <c r="O467">
        <v>257501</v>
      </c>
      <c r="P467">
        <v>20.76</v>
      </c>
      <c r="Q467">
        <v>36</v>
      </c>
      <c r="R467" t="s">
        <v>3050</v>
      </c>
      <c r="S467" t="str">
        <f t="shared" si="53"/>
        <v>Agriculture</v>
      </c>
      <c r="T467">
        <v>713</v>
      </c>
      <c r="U467">
        <f t="shared" si="54"/>
        <v>713</v>
      </c>
      <c r="V467">
        <v>1</v>
      </c>
      <c r="W467" t="s">
        <v>3056</v>
      </c>
      <c r="X467" s="3" t="s">
        <v>3149</v>
      </c>
      <c r="Y467" s="3">
        <f t="shared" si="55"/>
        <v>43933</v>
      </c>
      <c r="Z467">
        <v>0.1434</v>
      </c>
    </row>
    <row r="468" spans="1:26" x14ac:dyDescent="0.35">
      <c r="A468" t="s">
        <v>481</v>
      </c>
      <c r="B468" t="str">
        <f t="shared" si="49"/>
        <v>OK</v>
      </c>
      <c r="C468" t="s">
        <v>1972</v>
      </c>
      <c r="D468" s="2">
        <v>40</v>
      </c>
      <c r="E468">
        <f>IF(OR(D468&lt;18, D468&gt;100),AD467,D468)</f>
        <v>40</v>
      </c>
      <c r="F468" t="s">
        <v>2992</v>
      </c>
      <c r="G468" t="str">
        <f t="shared" si="50"/>
        <v>Female</v>
      </c>
      <c r="H468" t="s">
        <v>3003</v>
      </c>
      <c r="I468" t="s">
        <v>3018</v>
      </c>
      <c r="K468" t="str">
        <f t="shared" si="51"/>
        <v>Business Owner</v>
      </c>
      <c r="L468">
        <v>11</v>
      </c>
      <c r="M468">
        <v>295359</v>
      </c>
      <c r="N468">
        <f t="shared" si="52"/>
        <v>295359</v>
      </c>
      <c r="O468">
        <v>283844</v>
      </c>
      <c r="P468">
        <v>19.760000000000002</v>
      </c>
      <c r="Q468">
        <v>36</v>
      </c>
      <c r="R468" t="s">
        <v>3047</v>
      </c>
      <c r="S468" t="str">
        <f t="shared" si="53"/>
        <v>Personal</v>
      </c>
      <c r="T468">
        <v>664</v>
      </c>
      <c r="U468">
        <f t="shared" si="54"/>
        <v>664</v>
      </c>
      <c r="V468">
        <v>7</v>
      </c>
      <c r="W468" t="s">
        <v>3055</v>
      </c>
      <c r="X468" s="3" t="s">
        <v>3477</v>
      </c>
      <c r="Y468" s="3">
        <f t="shared" si="55"/>
        <v>43940</v>
      </c>
      <c r="Z468">
        <v>0.96099999999999997</v>
      </c>
    </row>
    <row r="469" spans="1:26" x14ac:dyDescent="0.35">
      <c r="A469" t="s">
        <v>482</v>
      </c>
      <c r="B469" t="str">
        <f t="shared" si="49"/>
        <v>OK</v>
      </c>
      <c r="C469" t="s">
        <v>1973</v>
      </c>
      <c r="D469" s="2">
        <v>57</v>
      </c>
      <c r="E469">
        <f>IF(OR(D469&lt;18, D469&gt;100),AD468,D469)</f>
        <v>57</v>
      </c>
      <c r="F469" t="s">
        <v>2990</v>
      </c>
      <c r="G469" t="str">
        <f t="shared" si="50"/>
        <v>Male</v>
      </c>
      <c r="H469" t="s">
        <v>3006</v>
      </c>
      <c r="I469" t="s">
        <v>3020</v>
      </c>
      <c r="K469" t="str">
        <f t="shared" si="51"/>
        <v>Self-Employed</v>
      </c>
      <c r="L469">
        <v>0</v>
      </c>
      <c r="M469">
        <v>1096838</v>
      </c>
      <c r="N469">
        <f t="shared" si="52"/>
        <v>1096838</v>
      </c>
      <c r="O469">
        <v>615642</v>
      </c>
      <c r="P469">
        <v>12.29</v>
      </c>
      <c r="Q469">
        <v>48</v>
      </c>
      <c r="R469" t="s">
        <v>3047</v>
      </c>
      <c r="S469" t="str">
        <f t="shared" si="53"/>
        <v>Personal</v>
      </c>
      <c r="T469">
        <v>403</v>
      </c>
      <c r="U469">
        <f t="shared" si="54"/>
        <v>403</v>
      </c>
      <c r="V469">
        <v>5</v>
      </c>
      <c r="W469" t="s">
        <v>3057</v>
      </c>
      <c r="X469" s="3" t="s">
        <v>3478</v>
      </c>
      <c r="Y469" s="3">
        <f t="shared" si="55"/>
        <v>44826</v>
      </c>
      <c r="Z469">
        <v>0.56130000000000002</v>
      </c>
    </row>
    <row r="470" spans="1:26" x14ac:dyDescent="0.35">
      <c r="A470" t="s">
        <v>483</v>
      </c>
      <c r="B470" t="str">
        <f t="shared" si="49"/>
        <v>OK</v>
      </c>
      <c r="C470" t="s">
        <v>1974</v>
      </c>
      <c r="D470" s="2">
        <v>39</v>
      </c>
      <c r="E470">
        <f>IF(OR(D470&lt;18, D470&gt;100),AD469,D470)</f>
        <v>39</v>
      </c>
      <c r="F470" t="s">
        <v>2990</v>
      </c>
      <c r="G470" t="str">
        <f t="shared" si="50"/>
        <v>Male</v>
      </c>
      <c r="H470" t="s">
        <v>3012</v>
      </c>
      <c r="I470" t="s">
        <v>3021</v>
      </c>
      <c r="K470" t="str">
        <f t="shared" si="51"/>
        <v>Unemployed</v>
      </c>
      <c r="L470">
        <v>1</v>
      </c>
      <c r="M470">
        <v>728884</v>
      </c>
      <c r="N470">
        <f t="shared" si="52"/>
        <v>728884</v>
      </c>
      <c r="O470">
        <v>700089</v>
      </c>
      <c r="P470">
        <v>10.98</v>
      </c>
      <c r="Q470">
        <v>12</v>
      </c>
      <c r="S470" t="str">
        <f t="shared" si="53"/>
        <v>Unknown</v>
      </c>
      <c r="T470">
        <v>694</v>
      </c>
      <c r="U470">
        <f t="shared" si="54"/>
        <v>694</v>
      </c>
      <c r="V470">
        <v>4</v>
      </c>
      <c r="W470" t="s">
        <v>3054</v>
      </c>
      <c r="X470" s="3" t="s">
        <v>3479</v>
      </c>
      <c r="Y470" s="3">
        <f t="shared" si="55"/>
        <v>44247</v>
      </c>
      <c r="Z470">
        <v>0.96050000000000002</v>
      </c>
    </row>
    <row r="471" spans="1:26" x14ac:dyDescent="0.35">
      <c r="A471" t="s">
        <v>484</v>
      </c>
      <c r="B471" t="str">
        <f t="shared" si="49"/>
        <v>OK</v>
      </c>
      <c r="C471" t="s">
        <v>1975</v>
      </c>
      <c r="D471" s="2">
        <v>37</v>
      </c>
      <c r="E471">
        <f>IF(OR(D471&lt;18, D471&gt;100),AD470,D471)</f>
        <v>37</v>
      </c>
      <c r="F471" t="s">
        <v>2990</v>
      </c>
      <c r="G471" t="str">
        <f t="shared" si="50"/>
        <v>Male</v>
      </c>
      <c r="H471" t="s">
        <v>3007</v>
      </c>
      <c r="I471" t="s">
        <v>3019</v>
      </c>
      <c r="K471" t="str">
        <f t="shared" si="51"/>
        <v>Employed</v>
      </c>
      <c r="L471">
        <v>9</v>
      </c>
      <c r="M471">
        <v>2106711</v>
      </c>
      <c r="N471">
        <f t="shared" si="52"/>
        <v>2106711</v>
      </c>
      <c r="O471">
        <v>348821</v>
      </c>
      <c r="P471">
        <v>11.32</v>
      </c>
      <c r="Q471">
        <v>36</v>
      </c>
      <c r="R471" t="s">
        <v>3051</v>
      </c>
      <c r="S471" t="str">
        <f t="shared" si="53"/>
        <v>Education</v>
      </c>
      <c r="T471">
        <v>525</v>
      </c>
      <c r="U471">
        <f t="shared" si="54"/>
        <v>525</v>
      </c>
      <c r="V471">
        <v>1</v>
      </c>
      <c r="W471" t="s">
        <v>3053</v>
      </c>
      <c r="X471" s="3" t="s">
        <v>3480</v>
      </c>
      <c r="Y471" s="3">
        <f t="shared" si="55"/>
        <v>45116</v>
      </c>
      <c r="Z471">
        <v>0.1656</v>
      </c>
    </row>
    <row r="472" spans="1:26" x14ac:dyDescent="0.35">
      <c r="A472" t="s">
        <v>485</v>
      </c>
      <c r="B472" t="str">
        <f t="shared" si="49"/>
        <v>OK</v>
      </c>
      <c r="C472" t="s">
        <v>1976</v>
      </c>
      <c r="D472" s="2">
        <v>28</v>
      </c>
      <c r="E472">
        <f>IF(OR(D472&lt;18, D472&gt;100),AD471,D472)</f>
        <v>28</v>
      </c>
      <c r="F472" t="s">
        <v>2990</v>
      </c>
      <c r="G472" t="str">
        <f t="shared" si="50"/>
        <v>Male</v>
      </c>
      <c r="H472" t="s">
        <v>3002</v>
      </c>
      <c r="I472" t="s">
        <v>3021</v>
      </c>
      <c r="K472" t="str">
        <f t="shared" si="51"/>
        <v>Unemployed</v>
      </c>
      <c r="L472">
        <v>21</v>
      </c>
      <c r="M472">
        <v>640796</v>
      </c>
      <c r="N472">
        <f t="shared" si="52"/>
        <v>640796</v>
      </c>
      <c r="O472">
        <v>789460</v>
      </c>
      <c r="P472">
        <v>24.55</v>
      </c>
      <c r="Q472">
        <v>48</v>
      </c>
      <c r="R472" t="s">
        <v>3051</v>
      </c>
      <c r="S472" t="str">
        <f t="shared" si="53"/>
        <v>Education</v>
      </c>
      <c r="T472">
        <v>502</v>
      </c>
      <c r="U472">
        <f t="shared" si="54"/>
        <v>502</v>
      </c>
      <c r="V472">
        <v>0</v>
      </c>
      <c r="W472" t="s">
        <v>3054</v>
      </c>
      <c r="X472" s="3" t="s">
        <v>3481</v>
      </c>
      <c r="Y472" s="3">
        <f t="shared" si="55"/>
        <v>44142</v>
      </c>
      <c r="Z472">
        <v>1.232</v>
      </c>
    </row>
    <row r="473" spans="1:26" x14ac:dyDescent="0.35">
      <c r="A473" t="s">
        <v>486</v>
      </c>
      <c r="B473" t="str">
        <f t="shared" si="49"/>
        <v>OK</v>
      </c>
      <c r="C473" t="s">
        <v>1977</v>
      </c>
      <c r="D473" s="2">
        <v>62</v>
      </c>
      <c r="E473">
        <f>IF(OR(D473&lt;18, D473&gt;100),AD472,D473)</f>
        <v>62</v>
      </c>
      <c r="F473" t="s">
        <v>2992</v>
      </c>
      <c r="G473" t="str">
        <f t="shared" si="50"/>
        <v>Female</v>
      </c>
      <c r="H473" t="s">
        <v>2999</v>
      </c>
      <c r="I473" t="s">
        <v>3020</v>
      </c>
      <c r="K473" t="str">
        <f t="shared" si="51"/>
        <v>Self-Employed</v>
      </c>
      <c r="L473">
        <v>14</v>
      </c>
      <c r="M473">
        <v>638298</v>
      </c>
      <c r="N473">
        <f t="shared" si="52"/>
        <v>638298</v>
      </c>
      <c r="O473">
        <v>207450</v>
      </c>
      <c r="P473">
        <v>25.41</v>
      </c>
      <c r="Q473">
        <v>24</v>
      </c>
      <c r="R473" t="s">
        <v>3047</v>
      </c>
      <c r="S473" t="str">
        <f t="shared" si="53"/>
        <v>Personal</v>
      </c>
      <c r="T473">
        <v>577</v>
      </c>
      <c r="U473">
        <f t="shared" si="54"/>
        <v>577</v>
      </c>
      <c r="V473">
        <v>3</v>
      </c>
      <c r="W473" t="s">
        <v>3055</v>
      </c>
      <c r="X473" s="3" t="s">
        <v>3482</v>
      </c>
      <c r="Y473" s="3">
        <f t="shared" si="55"/>
        <v>44400</v>
      </c>
      <c r="Z473">
        <v>0.32500000000000001</v>
      </c>
    </row>
    <row r="474" spans="1:26" x14ac:dyDescent="0.35">
      <c r="A474" t="s">
        <v>487</v>
      </c>
      <c r="B474" t="str">
        <f t="shared" si="49"/>
        <v>OK</v>
      </c>
      <c r="C474" t="s">
        <v>1978</v>
      </c>
      <c r="D474" s="2">
        <v>63</v>
      </c>
      <c r="E474">
        <f>IF(OR(D474&lt;18, D474&gt;100),AD473,D474)</f>
        <v>63</v>
      </c>
      <c r="F474" t="s">
        <v>2992</v>
      </c>
      <c r="G474" t="str">
        <f t="shared" si="50"/>
        <v>Female</v>
      </c>
      <c r="H474" t="s">
        <v>3007</v>
      </c>
      <c r="I474" t="s">
        <v>3019</v>
      </c>
      <c r="K474" t="str">
        <f t="shared" si="51"/>
        <v>Employed</v>
      </c>
      <c r="L474">
        <v>12</v>
      </c>
      <c r="M474">
        <v>492250</v>
      </c>
      <c r="N474">
        <f t="shared" si="52"/>
        <v>492250</v>
      </c>
      <c r="O474">
        <v>655956</v>
      </c>
      <c r="P474">
        <v>10.82</v>
      </c>
      <c r="Q474">
        <v>24</v>
      </c>
      <c r="R474" t="s">
        <v>3046</v>
      </c>
      <c r="S474" t="str">
        <f t="shared" si="53"/>
        <v>Medical</v>
      </c>
      <c r="T474">
        <v>535</v>
      </c>
      <c r="U474">
        <f t="shared" si="54"/>
        <v>535</v>
      </c>
      <c r="V474">
        <v>6</v>
      </c>
      <c r="W474" t="s">
        <v>3053</v>
      </c>
      <c r="X474" s="3" t="s">
        <v>3483</v>
      </c>
      <c r="Y474" s="3">
        <f t="shared" si="55"/>
        <v>44394</v>
      </c>
      <c r="Z474">
        <v>1.3326</v>
      </c>
    </row>
    <row r="475" spans="1:26" x14ac:dyDescent="0.35">
      <c r="A475" t="s">
        <v>488</v>
      </c>
      <c r="B475" t="str">
        <f t="shared" si="49"/>
        <v>OK</v>
      </c>
      <c r="C475" t="s">
        <v>1979</v>
      </c>
      <c r="D475" s="2">
        <v>62</v>
      </c>
      <c r="E475">
        <f>IF(OR(D475&lt;18, D475&gt;100),AD474,D475)</f>
        <v>62</v>
      </c>
      <c r="F475" t="s">
        <v>2990</v>
      </c>
      <c r="G475" t="str">
        <f t="shared" si="50"/>
        <v>Male</v>
      </c>
      <c r="H475" t="s">
        <v>3004</v>
      </c>
      <c r="I475" t="s">
        <v>3021</v>
      </c>
      <c r="K475" t="str">
        <f t="shared" si="51"/>
        <v>Unemployed</v>
      </c>
      <c r="L475">
        <v>18</v>
      </c>
      <c r="M475">
        <v>966958</v>
      </c>
      <c r="N475">
        <f t="shared" si="52"/>
        <v>966958</v>
      </c>
      <c r="O475">
        <v>234764</v>
      </c>
      <c r="P475">
        <v>18.03</v>
      </c>
      <c r="Q475">
        <v>48</v>
      </c>
      <c r="R475" t="s">
        <v>3048</v>
      </c>
      <c r="S475" t="str">
        <f t="shared" si="53"/>
        <v>Home Improvement</v>
      </c>
      <c r="T475">
        <v>681</v>
      </c>
      <c r="U475">
        <f t="shared" si="54"/>
        <v>681</v>
      </c>
      <c r="V475">
        <v>5</v>
      </c>
      <c r="W475" t="s">
        <v>3057</v>
      </c>
      <c r="X475" s="3" t="s">
        <v>3480</v>
      </c>
      <c r="Y475" s="3">
        <f t="shared" si="55"/>
        <v>45116</v>
      </c>
      <c r="Z475">
        <v>0.24279999999999999</v>
      </c>
    </row>
    <row r="476" spans="1:26" x14ac:dyDescent="0.35">
      <c r="A476" t="s">
        <v>489</v>
      </c>
      <c r="B476" t="str">
        <f t="shared" si="49"/>
        <v>OK</v>
      </c>
      <c r="C476" t="s">
        <v>1980</v>
      </c>
      <c r="D476" s="2">
        <v>33</v>
      </c>
      <c r="E476">
        <f>IF(OR(D476&lt;18, D476&gt;100),AD475,D476)</f>
        <v>33</v>
      </c>
      <c r="F476" t="s">
        <v>2990</v>
      </c>
      <c r="G476" t="str">
        <f t="shared" si="50"/>
        <v>Male</v>
      </c>
      <c r="H476" t="s">
        <v>3004</v>
      </c>
      <c r="K476" t="str">
        <f t="shared" si="51"/>
        <v>Unknown</v>
      </c>
      <c r="L476">
        <v>19</v>
      </c>
      <c r="M476">
        <v>521207</v>
      </c>
      <c r="N476">
        <f t="shared" si="52"/>
        <v>521207</v>
      </c>
      <c r="O476">
        <v>298495</v>
      </c>
      <c r="P476">
        <v>20.71</v>
      </c>
      <c r="Q476">
        <v>24</v>
      </c>
      <c r="R476" t="s">
        <v>3050</v>
      </c>
      <c r="S476" t="str">
        <f t="shared" si="53"/>
        <v>Agriculture</v>
      </c>
      <c r="T476">
        <v>443</v>
      </c>
      <c r="U476">
        <f t="shared" si="54"/>
        <v>443</v>
      </c>
      <c r="V476">
        <v>7</v>
      </c>
      <c r="W476" t="s">
        <v>3053</v>
      </c>
      <c r="X476" s="3" t="s">
        <v>3484</v>
      </c>
      <c r="Y476" s="3">
        <f t="shared" si="55"/>
        <v>44275</v>
      </c>
      <c r="Z476">
        <v>0.57269999999999999</v>
      </c>
    </row>
    <row r="477" spans="1:26" x14ac:dyDescent="0.35">
      <c r="A477" t="s">
        <v>490</v>
      </c>
      <c r="B477" t="str">
        <f t="shared" si="49"/>
        <v>OK</v>
      </c>
      <c r="C477" t="s">
        <v>1981</v>
      </c>
      <c r="D477" s="2">
        <v>46</v>
      </c>
      <c r="E477">
        <f>IF(OR(D477&lt;18, D477&gt;100),AD476,D477)</f>
        <v>46</v>
      </c>
      <c r="F477" t="s">
        <v>2992</v>
      </c>
      <c r="G477" t="str">
        <f t="shared" si="50"/>
        <v>Female</v>
      </c>
      <c r="H477" t="s">
        <v>3004</v>
      </c>
      <c r="I477" t="s">
        <v>3020</v>
      </c>
      <c r="K477" t="str">
        <f t="shared" si="51"/>
        <v>Self-Employed</v>
      </c>
      <c r="L477">
        <v>11</v>
      </c>
      <c r="M477">
        <v>1524613</v>
      </c>
      <c r="N477">
        <f t="shared" si="52"/>
        <v>1524613</v>
      </c>
      <c r="O477">
        <v>538823</v>
      </c>
      <c r="P477">
        <v>17.57</v>
      </c>
      <c r="Q477">
        <v>48</v>
      </c>
      <c r="R477" t="s">
        <v>3051</v>
      </c>
      <c r="S477" t="str">
        <f t="shared" si="53"/>
        <v>Education</v>
      </c>
      <c r="T477">
        <v>701</v>
      </c>
      <c r="U477">
        <f t="shared" si="54"/>
        <v>701</v>
      </c>
      <c r="V477">
        <v>4</v>
      </c>
      <c r="W477" t="s">
        <v>3055</v>
      </c>
      <c r="X477" s="3" t="s">
        <v>3485</v>
      </c>
      <c r="Y477" s="3">
        <f t="shared" si="55"/>
        <v>45222</v>
      </c>
      <c r="Z477">
        <v>0.35339999999999999</v>
      </c>
    </row>
    <row r="478" spans="1:26" x14ac:dyDescent="0.35">
      <c r="A478" t="s">
        <v>491</v>
      </c>
      <c r="B478" t="str">
        <f t="shared" si="49"/>
        <v>OK</v>
      </c>
      <c r="C478" t="s">
        <v>1982</v>
      </c>
      <c r="D478" s="2">
        <v>64</v>
      </c>
      <c r="E478">
        <f>IF(OR(D478&lt;18, D478&gt;100),AD477,D478)</f>
        <v>64</v>
      </c>
      <c r="G478" t="str">
        <f t="shared" si="50"/>
        <v>Unknown</v>
      </c>
      <c r="H478" t="s">
        <v>3001</v>
      </c>
      <c r="I478" t="s">
        <v>3018</v>
      </c>
      <c r="K478" t="str">
        <f t="shared" si="51"/>
        <v>Business Owner</v>
      </c>
      <c r="L478">
        <v>4</v>
      </c>
      <c r="M478">
        <v>927419</v>
      </c>
      <c r="N478">
        <f t="shared" si="52"/>
        <v>927419</v>
      </c>
      <c r="O478">
        <v>388226</v>
      </c>
      <c r="P478">
        <v>25.41</v>
      </c>
      <c r="Q478">
        <v>36</v>
      </c>
      <c r="R478" t="s">
        <v>3046</v>
      </c>
      <c r="S478" t="str">
        <f t="shared" si="53"/>
        <v>Medical</v>
      </c>
      <c r="T478">
        <v>570</v>
      </c>
      <c r="U478">
        <f t="shared" si="54"/>
        <v>570</v>
      </c>
      <c r="V478">
        <v>7</v>
      </c>
      <c r="W478" t="s">
        <v>3057</v>
      </c>
      <c r="X478" s="3" t="s">
        <v>3486</v>
      </c>
      <c r="Y478" s="3">
        <f t="shared" si="55"/>
        <v>44966</v>
      </c>
      <c r="Z478">
        <v>0.41860000000000003</v>
      </c>
    </row>
    <row r="479" spans="1:26" x14ac:dyDescent="0.35">
      <c r="A479" t="s">
        <v>492</v>
      </c>
      <c r="B479" t="str">
        <f t="shared" si="49"/>
        <v>OK</v>
      </c>
      <c r="C479" t="s">
        <v>1983</v>
      </c>
      <c r="D479" s="2">
        <v>55</v>
      </c>
      <c r="E479">
        <f>IF(OR(D479&lt;18, D479&gt;100),AD478,D479)</f>
        <v>55</v>
      </c>
      <c r="F479" t="s">
        <v>2990</v>
      </c>
      <c r="G479" t="str">
        <f t="shared" si="50"/>
        <v>Male</v>
      </c>
      <c r="H479" t="s">
        <v>2999</v>
      </c>
      <c r="I479" t="s">
        <v>3021</v>
      </c>
      <c r="K479" t="str">
        <f t="shared" si="51"/>
        <v>Unemployed</v>
      </c>
      <c r="L479">
        <v>2</v>
      </c>
      <c r="M479">
        <v>524855</v>
      </c>
      <c r="N479">
        <f t="shared" si="52"/>
        <v>524855</v>
      </c>
      <c r="O479">
        <v>487835</v>
      </c>
      <c r="P479">
        <v>22.12</v>
      </c>
      <c r="Q479">
        <v>60</v>
      </c>
      <c r="R479" t="s">
        <v>3049</v>
      </c>
      <c r="S479" t="str">
        <f t="shared" si="53"/>
        <v>Business</v>
      </c>
      <c r="T479">
        <v>330</v>
      </c>
      <c r="U479">
        <f t="shared" si="54"/>
        <v>330</v>
      </c>
      <c r="V479">
        <v>4</v>
      </c>
      <c r="W479" t="s">
        <v>3056</v>
      </c>
      <c r="X479" s="3" t="s">
        <v>3487</v>
      </c>
      <c r="Y479" s="3">
        <f t="shared" si="55"/>
        <v>44770</v>
      </c>
      <c r="Z479">
        <v>0.92949999999999999</v>
      </c>
    </row>
    <row r="480" spans="1:26" x14ac:dyDescent="0.35">
      <c r="A480" t="s">
        <v>493</v>
      </c>
      <c r="B480" t="str">
        <f t="shared" si="49"/>
        <v>OK</v>
      </c>
      <c r="C480" t="s">
        <v>1984</v>
      </c>
      <c r="D480" s="2">
        <v>57</v>
      </c>
      <c r="E480">
        <f>IF(OR(D480&lt;18, D480&gt;100),AD479,D480)</f>
        <v>57</v>
      </c>
      <c r="F480" t="s">
        <v>2992</v>
      </c>
      <c r="G480" t="str">
        <f t="shared" si="50"/>
        <v>Female</v>
      </c>
      <c r="H480" t="s">
        <v>3005</v>
      </c>
      <c r="I480" t="s">
        <v>3020</v>
      </c>
      <c r="K480" t="str">
        <f t="shared" si="51"/>
        <v>Self-Employed</v>
      </c>
      <c r="L480">
        <v>14</v>
      </c>
      <c r="M480">
        <v>962877</v>
      </c>
      <c r="N480">
        <f t="shared" si="52"/>
        <v>962877</v>
      </c>
      <c r="O480">
        <v>496111</v>
      </c>
      <c r="P480">
        <v>26.82</v>
      </c>
      <c r="Q480">
        <v>24</v>
      </c>
      <c r="R480" t="s">
        <v>3048</v>
      </c>
      <c r="S480" t="str">
        <f t="shared" si="53"/>
        <v>Home Improvement</v>
      </c>
      <c r="T480">
        <v>453</v>
      </c>
      <c r="U480">
        <f t="shared" si="54"/>
        <v>453</v>
      </c>
      <c r="V480">
        <v>4</v>
      </c>
      <c r="W480" t="s">
        <v>3057</v>
      </c>
      <c r="X480" s="3" t="s">
        <v>3488</v>
      </c>
      <c r="Y480" s="3">
        <f t="shared" si="55"/>
        <v>45216</v>
      </c>
      <c r="Z480">
        <v>0.51519999999999999</v>
      </c>
    </row>
    <row r="481" spans="1:26" x14ac:dyDescent="0.35">
      <c r="A481" t="s">
        <v>494</v>
      </c>
      <c r="B481" t="str">
        <f t="shared" si="49"/>
        <v>OK</v>
      </c>
      <c r="C481" t="s">
        <v>1985</v>
      </c>
      <c r="D481" s="2">
        <v>36</v>
      </c>
      <c r="E481">
        <f>IF(OR(D481&lt;18, D481&gt;100),AD480,D481)</f>
        <v>36</v>
      </c>
      <c r="F481" t="s">
        <v>2990</v>
      </c>
      <c r="G481" t="str">
        <f t="shared" si="50"/>
        <v>Male</v>
      </c>
      <c r="H481" t="s">
        <v>2999</v>
      </c>
      <c r="I481" t="s">
        <v>3021</v>
      </c>
      <c r="K481" t="str">
        <f t="shared" si="51"/>
        <v>Unemployed</v>
      </c>
      <c r="L481">
        <v>16</v>
      </c>
      <c r="M481">
        <v>1863523</v>
      </c>
      <c r="N481">
        <f t="shared" si="52"/>
        <v>1863523</v>
      </c>
      <c r="O481">
        <v>233456</v>
      </c>
      <c r="P481">
        <v>22.99</v>
      </c>
      <c r="Q481">
        <v>36</v>
      </c>
      <c r="R481" t="s">
        <v>3049</v>
      </c>
      <c r="S481" t="str">
        <f t="shared" si="53"/>
        <v>Business</v>
      </c>
      <c r="T481">
        <v>310</v>
      </c>
      <c r="U481">
        <f t="shared" si="54"/>
        <v>310</v>
      </c>
      <c r="V481">
        <v>3</v>
      </c>
      <c r="W481" t="s">
        <v>3052</v>
      </c>
      <c r="X481" s="3" t="s">
        <v>3489</v>
      </c>
      <c r="Y481" s="3">
        <f t="shared" si="55"/>
        <v>45207</v>
      </c>
      <c r="Z481">
        <v>0.12529999999999999</v>
      </c>
    </row>
    <row r="482" spans="1:26" x14ac:dyDescent="0.35">
      <c r="A482" t="s">
        <v>495</v>
      </c>
      <c r="B482" t="str">
        <f t="shared" si="49"/>
        <v>OK</v>
      </c>
      <c r="C482" t="s">
        <v>1986</v>
      </c>
      <c r="D482" s="2">
        <v>37</v>
      </c>
      <c r="E482">
        <f>IF(OR(D482&lt;18, D482&gt;100),AD481,D482)</f>
        <v>37</v>
      </c>
      <c r="F482" t="s">
        <v>2992</v>
      </c>
      <c r="G482" t="str">
        <f t="shared" si="50"/>
        <v>Female</v>
      </c>
      <c r="H482" t="s">
        <v>2998</v>
      </c>
      <c r="I482" t="s">
        <v>3019</v>
      </c>
      <c r="K482" t="str">
        <f t="shared" si="51"/>
        <v>Employed</v>
      </c>
      <c r="L482">
        <v>19</v>
      </c>
      <c r="M482">
        <v>1680071</v>
      </c>
      <c r="N482">
        <f t="shared" si="52"/>
        <v>1680071</v>
      </c>
      <c r="O482">
        <v>407988</v>
      </c>
      <c r="P482">
        <v>27.16</v>
      </c>
      <c r="Q482">
        <v>12</v>
      </c>
      <c r="R482" t="s">
        <v>3046</v>
      </c>
      <c r="S482" t="str">
        <f t="shared" si="53"/>
        <v>Medical</v>
      </c>
      <c r="T482">
        <v>571</v>
      </c>
      <c r="U482">
        <f t="shared" si="54"/>
        <v>571</v>
      </c>
      <c r="V482">
        <v>0</v>
      </c>
      <c r="W482" t="s">
        <v>3053</v>
      </c>
      <c r="X482" s="3" t="s">
        <v>3490</v>
      </c>
      <c r="Y482" s="3">
        <f t="shared" si="55"/>
        <v>44355</v>
      </c>
      <c r="Z482">
        <v>0.24279999999999999</v>
      </c>
    </row>
    <row r="483" spans="1:26" x14ac:dyDescent="0.35">
      <c r="A483" t="s">
        <v>496</v>
      </c>
      <c r="B483" t="str">
        <f t="shared" si="49"/>
        <v>OK</v>
      </c>
      <c r="C483" t="s">
        <v>1987</v>
      </c>
      <c r="D483" s="2">
        <v>21</v>
      </c>
      <c r="E483">
        <f>IF(OR(D483&lt;18, D483&gt;100),AD482,D483)</f>
        <v>21</v>
      </c>
      <c r="F483" t="s">
        <v>2992</v>
      </c>
      <c r="G483" t="str">
        <f t="shared" si="50"/>
        <v>Female</v>
      </c>
      <c r="H483" t="s">
        <v>3000</v>
      </c>
      <c r="I483" t="s">
        <v>3021</v>
      </c>
      <c r="K483" t="str">
        <f t="shared" si="51"/>
        <v>Unemployed</v>
      </c>
      <c r="L483">
        <v>17</v>
      </c>
      <c r="M483">
        <v>1323657</v>
      </c>
      <c r="N483">
        <f t="shared" si="52"/>
        <v>1323657</v>
      </c>
      <c r="O483">
        <v>758464</v>
      </c>
      <c r="P483">
        <v>20.84</v>
      </c>
      <c r="Q483">
        <v>48</v>
      </c>
      <c r="R483" t="s">
        <v>3051</v>
      </c>
      <c r="S483" t="str">
        <f t="shared" si="53"/>
        <v>Education</v>
      </c>
      <c r="T483">
        <v>425</v>
      </c>
      <c r="U483">
        <f t="shared" si="54"/>
        <v>425</v>
      </c>
      <c r="V483">
        <v>5</v>
      </c>
      <c r="W483" t="s">
        <v>3054</v>
      </c>
      <c r="X483" s="3" t="s">
        <v>3491</v>
      </c>
      <c r="Y483" s="3">
        <f t="shared" si="55"/>
        <v>44380</v>
      </c>
      <c r="Z483">
        <v>0.57299999999999995</v>
      </c>
    </row>
    <row r="484" spans="1:26" x14ac:dyDescent="0.35">
      <c r="A484" t="s">
        <v>497</v>
      </c>
      <c r="B484" t="str">
        <f t="shared" si="49"/>
        <v>OK</v>
      </c>
      <c r="C484" t="s">
        <v>1988</v>
      </c>
      <c r="D484" s="2">
        <v>24</v>
      </c>
      <c r="E484">
        <f>IF(OR(D484&lt;18, D484&gt;100),AD483,D484)</f>
        <v>24</v>
      </c>
      <c r="F484" t="s">
        <v>2990</v>
      </c>
      <c r="G484" t="str">
        <f t="shared" si="50"/>
        <v>Male</v>
      </c>
      <c r="H484" t="s">
        <v>3005</v>
      </c>
      <c r="I484" t="s">
        <v>3020</v>
      </c>
      <c r="K484" t="str">
        <f t="shared" si="51"/>
        <v>Self-Employed</v>
      </c>
      <c r="L484">
        <v>23</v>
      </c>
      <c r="M484">
        <v>2303238</v>
      </c>
      <c r="N484">
        <f t="shared" si="52"/>
        <v>2303238</v>
      </c>
      <c r="O484">
        <v>766055</v>
      </c>
      <c r="P484">
        <v>24.31</v>
      </c>
      <c r="Q484">
        <v>24</v>
      </c>
      <c r="R484" t="s">
        <v>3047</v>
      </c>
      <c r="S484" t="str">
        <f t="shared" si="53"/>
        <v>Personal</v>
      </c>
      <c r="T484">
        <v>624</v>
      </c>
      <c r="U484">
        <f t="shared" si="54"/>
        <v>624</v>
      </c>
      <c r="V484">
        <v>4</v>
      </c>
      <c r="W484" t="s">
        <v>3052</v>
      </c>
      <c r="X484" s="3" t="s">
        <v>3092</v>
      </c>
      <c r="Y484" s="3">
        <f t="shared" si="55"/>
        <v>45257</v>
      </c>
      <c r="Z484">
        <v>0.33260000000000001</v>
      </c>
    </row>
    <row r="485" spans="1:26" x14ac:dyDescent="0.35">
      <c r="A485" t="s">
        <v>498</v>
      </c>
      <c r="B485" t="str">
        <f t="shared" si="49"/>
        <v>OK</v>
      </c>
      <c r="C485" t="s">
        <v>1989</v>
      </c>
      <c r="D485" s="2">
        <v>45</v>
      </c>
      <c r="E485">
        <f>IF(OR(D485&lt;18, D485&gt;100),AD484,D485)</f>
        <v>45</v>
      </c>
      <c r="F485" t="s">
        <v>2990</v>
      </c>
      <c r="G485" t="str">
        <f t="shared" si="50"/>
        <v>Male</v>
      </c>
      <c r="H485" t="s">
        <v>3006</v>
      </c>
      <c r="I485" t="s">
        <v>3019</v>
      </c>
      <c r="K485" t="str">
        <f t="shared" si="51"/>
        <v>Employed</v>
      </c>
      <c r="L485">
        <v>23</v>
      </c>
      <c r="M485">
        <v>1518486</v>
      </c>
      <c r="N485">
        <f t="shared" si="52"/>
        <v>1518486</v>
      </c>
      <c r="O485">
        <v>651525</v>
      </c>
      <c r="P485">
        <v>22.62</v>
      </c>
      <c r="Q485">
        <v>36</v>
      </c>
      <c r="R485" t="s">
        <v>3046</v>
      </c>
      <c r="S485" t="str">
        <f t="shared" si="53"/>
        <v>Medical</v>
      </c>
      <c r="T485">
        <v>373</v>
      </c>
      <c r="U485">
        <f t="shared" si="54"/>
        <v>373</v>
      </c>
      <c r="V485">
        <v>6</v>
      </c>
      <c r="W485" t="s">
        <v>3055</v>
      </c>
      <c r="X485" s="3" t="s">
        <v>3492</v>
      </c>
      <c r="Y485" s="3">
        <f t="shared" si="55"/>
        <v>45245</v>
      </c>
      <c r="Z485">
        <v>0.42909999999999998</v>
      </c>
    </row>
    <row r="486" spans="1:26" x14ac:dyDescent="0.35">
      <c r="A486" t="s">
        <v>499</v>
      </c>
      <c r="B486" t="str">
        <f t="shared" si="49"/>
        <v>OK</v>
      </c>
      <c r="C486" t="s">
        <v>1990</v>
      </c>
      <c r="D486" s="2">
        <v>41</v>
      </c>
      <c r="E486">
        <f>IF(OR(D486&lt;18, D486&gt;100),AD485,D486)</f>
        <v>41</v>
      </c>
      <c r="F486" t="s">
        <v>2990</v>
      </c>
      <c r="G486" t="str">
        <f t="shared" si="50"/>
        <v>Male</v>
      </c>
      <c r="H486" t="s">
        <v>3004</v>
      </c>
      <c r="I486" t="s">
        <v>3020</v>
      </c>
      <c r="K486" t="str">
        <f t="shared" si="51"/>
        <v>Self-Employed</v>
      </c>
      <c r="L486">
        <v>12</v>
      </c>
      <c r="M486">
        <v>2222999</v>
      </c>
      <c r="N486">
        <f t="shared" si="52"/>
        <v>2222999</v>
      </c>
      <c r="O486">
        <v>52441</v>
      </c>
      <c r="P486">
        <v>20.170000000000002</v>
      </c>
      <c r="Q486">
        <v>36</v>
      </c>
      <c r="R486" t="s">
        <v>3047</v>
      </c>
      <c r="S486" t="str">
        <f t="shared" si="53"/>
        <v>Personal</v>
      </c>
      <c r="T486">
        <v>534</v>
      </c>
      <c r="U486">
        <f t="shared" si="54"/>
        <v>534</v>
      </c>
      <c r="V486">
        <v>2</v>
      </c>
      <c r="W486" t="s">
        <v>3056</v>
      </c>
      <c r="X486" s="3" t="s">
        <v>3493</v>
      </c>
      <c r="Y486" s="3">
        <f t="shared" si="55"/>
        <v>44558</v>
      </c>
      <c r="Z486">
        <v>2.3599999999999999E-2</v>
      </c>
    </row>
    <row r="487" spans="1:26" x14ac:dyDescent="0.35">
      <c r="A487" t="s">
        <v>500</v>
      </c>
      <c r="B487" t="str">
        <f t="shared" si="49"/>
        <v>OK</v>
      </c>
      <c r="C487" t="s">
        <v>1991</v>
      </c>
      <c r="D487" s="2">
        <v>55</v>
      </c>
      <c r="E487">
        <f>IF(OR(D487&lt;18, D487&gt;100),AD486,D487)</f>
        <v>55</v>
      </c>
      <c r="F487" t="s">
        <v>2990</v>
      </c>
      <c r="G487" t="str">
        <f t="shared" si="50"/>
        <v>Male</v>
      </c>
      <c r="H487" t="s">
        <v>3005</v>
      </c>
      <c r="I487" t="s">
        <v>3018</v>
      </c>
      <c r="K487" t="str">
        <f t="shared" si="51"/>
        <v>Business Owner</v>
      </c>
      <c r="L487">
        <v>22</v>
      </c>
      <c r="M487">
        <v>933315</v>
      </c>
      <c r="N487">
        <f t="shared" si="52"/>
        <v>933315</v>
      </c>
      <c r="O487">
        <v>133000</v>
      </c>
      <c r="P487">
        <v>16.38</v>
      </c>
      <c r="Q487">
        <v>48</v>
      </c>
      <c r="R487" t="s">
        <v>3046</v>
      </c>
      <c r="S487" t="str">
        <f t="shared" si="53"/>
        <v>Medical</v>
      </c>
      <c r="T487">
        <v>528</v>
      </c>
      <c r="U487">
        <f t="shared" si="54"/>
        <v>528</v>
      </c>
      <c r="V487">
        <v>0</v>
      </c>
      <c r="W487" t="s">
        <v>3056</v>
      </c>
      <c r="X487" s="3" t="s">
        <v>3258</v>
      </c>
      <c r="Y487" s="3">
        <f t="shared" si="55"/>
        <v>44695</v>
      </c>
      <c r="Z487">
        <v>0.14249999999999999</v>
      </c>
    </row>
    <row r="488" spans="1:26" x14ac:dyDescent="0.35">
      <c r="A488" t="s">
        <v>501</v>
      </c>
      <c r="B488" t="str">
        <f t="shared" si="49"/>
        <v>OK</v>
      </c>
      <c r="C488" t="s">
        <v>1992</v>
      </c>
      <c r="D488" s="2">
        <v>60</v>
      </c>
      <c r="E488">
        <f>IF(OR(D488&lt;18, D488&gt;100),AD487,D488)</f>
        <v>60</v>
      </c>
      <c r="F488" t="s">
        <v>2990</v>
      </c>
      <c r="G488" t="str">
        <f t="shared" si="50"/>
        <v>Male</v>
      </c>
      <c r="H488" t="s">
        <v>3007</v>
      </c>
      <c r="I488" t="s">
        <v>3018</v>
      </c>
      <c r="K488" t="str">
        <f t="shared" si="51"/>
        <v>Business Owner</v>
      </c>
      <c r="L488">
        <v>24</v>
      </c>
      <c r="M488">
        <v>977232</v>
      </c>
      <c r="N488">
        <f t="shared" si="52"/>
        <v>977232</v>
      </c>
      <c r="O488">
        <v>624489</v>
      </c>
      <c r="P488">
        <v>23.64</v>
      </c>
      <c r="Q488">
        <v>24</v>
      </c>
      <c r="R488" t="s">
        <v>3051</v>
      </c>
      <c r="S488" t="str">
        <f t="shared" si="53"/>
        <v>Education</v>
      </c>
      <c r="U488">
        <f t="shared" si="54"/>
        <v>556</v>
      </c>
      <c r="V488">
        <v>4</v>
      </c>
      <c r="W488" t="s">
        <v>3057</v>
      </c>
      <c r="X488" s="3" t="s">
        <v>3494</v>
      </c>
      <c r="Y488" s="3">
        <f t="shared" si="55"/>
        <v>44305</v>
      </c>
      <c r="Z488">
        <v>0.63900000000000001</v>
      </c>
    </row>
    <row r="489" spans="1:26" x14ac:dyDescent="0.35">
      <c r="A489" t="s">
        <v>502</v>
      </c>
      <c r="B489" t="str">
        <f t="shared" si="49"/>
        <v>OK</v>
      </c>
      <c r="C489" t="s">
        <v>1993</v>
      </c>
      <c r="D489" s="2">
        <v>32</v>
      </c>
      <c r="E489">
        <f>IF(OR(D489&lt;18, D489&gt;100),AD488,D489)</f>
        <v>32</v>
      </c>
      <c r="F489" t="s">
        <v>2992</v>
      </c>
      <c r="G489" t="str">
        <f t="shared" si="50"/>
        <v>Female</v>
      </c>
      <c r="H489" t="s">
        <v>3005</v>
      </c>
      <c r="I489" t="s">
        <v>3019</v>
      </c>
      <c r="K489" t="str">
        <f t="shared" si="51"/>
        <v>Employed</v>
      </c>
      <c r="L489">
        <v>7</v>
      </c>
      <c r="M489">
        <v>2193321</v>
      </c>
      <c r="N489">
        <f t="shared" si="52"/>
        <v>2193321</v>
      </c>
      <c r="O489">
        <v>81842</v>
      </c>
      <c r="P489">
        <v>17.63</v>
      </c>
      <c r="Q489">
        <v>48</v>
      </c>
      <c r="R489" t="s">
        <v>3046</v>
      </c>
      <c r="S489" t="str">
        <f t="shared" si="53"/>
        <v>Medical</v>
      </c>
      <c r="T489">
        <v>763</v>
      </c>
      <c r="U489">
        <f t="shared" si="54"/>
        <v>763</v>
      </c>
      <c r="V489">
        <v>3</v>
      </c>
      <c r="W489" t="s">
        <v>3055</v>
      </c>
      <c r="X489" s="3" t="s">
        <v>3495</v>
      </c>
      <c r="Y489" s="3">
        <f t="shared" si="55"/>
        <v>44607</v>
      </c>
      <c r="Z489">
        <v>3.73E-2</v>
      </c>
    </row>
    <row r="490" spans="1:26" x14ac:dyDescent="0.35">
      <c r="A490" t="s">
        <v>503</v>
      </c>
      <c r="B490" t="str">
        <f t="shared" si="49"/>
        <v>OK</v>
      </c>
      <c r="C490" t="s">
        <v>1994</v>
      </c>
      <c r="D490" s="2">
        <v>21</v>
      </c>
      <c r="E490">
        <f>IF(OR(D490&lt;18, D490&gt;100),AD489,D490)</f>
        <v>21</v>
      </c>
      <c r="F490" t="s">
        <v>2990</v>
      </c>
      <c r="G490" t="str">
        <f t="shared" si="50"/>
        <v>Male</v>
      </c>
      <c r="H490" t="s">
        <v>3000</v>
      </c>
      <c r="I490" t="s">
        <v>3019</v>
      </c>
      <c r="K490" t="str">
        <f t="shared" si="51"/>
        <v>Employed</v>
      </c>
      <c r="L490">
        <v>22</v>
      </c>
      <c r="M490">
        <v>199675</v>
      </c>
      <c r="N490">
        <f t="shared" si="52"/>
        <v>199675</v>
      </c>
      <c r="O490">
        <v>444032</v>
      </c>
      <c r="P490">
        <v>19.010000000000002</v>
      </c>
      <c r="Q490">
        <v>36</v>
      </c>
      <c r="R490" t="s">
        <v>3049</v>
      </c>
      <c r="S490" t="str">
        <f t="shared" si="53"/>
        <v>Business</v>
      </c>
      <c r="T490">
        <v>741</v>
      </c>
      <c r="U490">
        <f t="shared" si="54"/>
        <v>741</v>
      </c>
      <c r="V490">
        <v>6</v>
      </c>
      <c r="W490" t="s">
        <v>3052</v>
      </c>
      <c r="X490" s="3" t="s">
        <v>3496</v>
      </c>
      <c r="Y490" s="3">
        <f t="shared" si="55"/>
        <v>44836</v>
      </c>
      <c r="Z490">
        <v>2.2238000000000002</v>
      </c>
    </row>
    <row r="491" spans="1:26" x14ac:dyDescent="0.35">
      <c r="A491" t="s">
        <v>504</v>
      </c>
      <c r="B491" t="str">
        <f t="shared" si="49"/>
        <v>OK</v>
      </c>
      <c r="C491" t="s">
        <v>1995</v>
      </c>
      <c r="D491" s="2">
        <v>49</v>
      </c>
      <c r="E491">
        <f>IF(OR(D491&lt;18, D491&gt;100),AD490,D491)</f>
        <v>49</v>
      </c>
      <c r="G491" t="str">
        <f t="shared" si="50"/>
        <v>Unknown</v>
      </c>
      <c r="H491" t="s">
        <v>3007</v>
      </c>
      <c r="I491" t="s">
        <v>3019</v>
      </c>
      <c r="K491" t="str">
        <f t="shared" si="51"/>
        <v>Employed</v>
      </c>
      <c r="L491">
        <v>15</v>
      </c>
      <c r="M491">
        <v>1871870</v>
      </c>
      <c r="N491">
        <f t="shared" si="52"/>
        <v>1871870</v>
      </c>
      <c r="O491">
        <v>242123</v>
      </c>
      <c r="P491">
        <v>14.86</v>
      </c>
      <c r="Q491">
        <v>24</v>
      </c>
      <c r="R491" t="s">
        <v>3051</v>
      </c>
      <c r="S491" t="str">
        <f t="shared" si="53"/>
        <v>Education</v>
      </c>
      <c r="T491">
        <v>762</v>
      </c>
      <c r="U491">
        <f t="shared" si="54"/>
        <v>762</v>
      </c>
      <c r="V491">
        <v>4</v>
      </c>
      <c r="W491" t="s">
        <v>3053</v>
      </c>
      <c r="X491" s="3" t="s">
        <v>3497</v>
      </c>
      <c r="Y491" s="3">
        <f t="shared" si="55"/>
        <v>44436</v>
      </c>
      <c r="Z491">
        <v>0.1293</v>
      </c>
    </row>
    <row r="492" spans="1:26" x14ac:dyDescent="0.35">
      <c r="A492" t="s">
        <v>505</v>
      </c>
      <c r="B492" t="str">
        <f t="shared" si="49"/>
        <v>OK</v>
      </c>
      <c r="C492" t="s">
        <v>1996</v>
      </c>
      <c r="D492" s="2">
        <v>57</v>
      </c>
      <c r="E492">
        <f>IF(OR(D492&lt;18, D492&gt;100),AD491,D492)</f>
        <v>57</v>
      </c>
      <c r="F492" t="s">
        <v>2992</v>
      </c>
      <c r="G492" t="str">
        <f t="shared" si="50"/>
        <v>Female</v>
      </c>
      <c r="H492" t="s">
        <v>3004</v>
      </c>
      <c r="K492" t="str">
        <f t="shared" si="51"/>
        <v>Unknown</v>
      </c>
      <c r="L492">
        <v>6</v>
      </c>
      <c r="M492">
        <v>734399</v>
      </c>
      <c r="N492">
        <f t="shared" si="52"/>
        <v>734399</v>
      </c>
      <c r="O492">
        <v>670443</v>
      </c>
      <c r="P492">
        <v>26.79</v>
      </c>
      <c r="Q492">
        <v>36</v>
      </c>
      <c r="R492" t="s">
        <v>3050</v>
      </c>
      <c r="S492" t="str">
        <f t="shared" si="53"/>
        <v>Agriculture</v>
      </c>
      <c r="T492">
        <v>741</v>
      </c>
      <c r="U492">
        <f t="shared" si="54"/>
        <v>741</v>
      </c>
      <c r="V492">
        <v>1</v>
      </c>
      <c r="W492" t="s">
        <v>3052</v>
      </c>
      <c r="X492" s="3" t="s">
        <v>3498</v>
      </c>
      <c r="Y492" s="3">
        <f t="shared" si="55"/>
        <v>45105</v>
      </c>
      <c r="Z492">
        <v>0.91290000000000004</v>
      </c>
    </row>
    <row r="493" spans="1:26" x14ac:dyDescent="0.35">
      <c r="A493" t="s">
        <v>506</v>
      </c>
      <c r="B493" t="str">
        <f t="shared" si="49"/>
        <v>OK</v>
      </c>
      <c r="C493" t="s">
        <v>1997</v>
      </c>
      <c r="D493" s="2">
        <v>49</v>
      </c>
      <c r="E493">
        <f>IF(OR(D493&lt;18, D493&gt;100),AD492,D493)</f>
        <v>49</v>
      </c>
      <c r="F493" t="s">
        <v>2992</v>
      </c>
      <c r="G493" t="str">
        <f t="shared" si="50"/>
        <v>Female</v>
      </c>
      <c r="H493" t="s">
        <v>3004</v>
      </c>
      <c r="I493" t="s">
        <v>3020</v>
      </c>
      <c r="K493" t="str">
        <f t="shared" si="51"/>
        <v>Self-Employed</v>
      </c>
      <c r="L493">
        <v>18</v>
      </c>
      <c r="M493">
        <v>2300539</v>
      </c>
      <c r="N493">
        <f t="shared" si="52"/>
        <v>2300539</v>
      </c>
      <c r="O493">
        <v>274024</v>
      </c>
      <c r="P493">
        <v>19.16</v>
      </c>
      <c r="Q493">
        <v>48</v>
      </c>
      <c r="R493" t="s">
        <v>3046</v>
      </c>
      <c r="S493" t="str">
        <f t="shared" si="53"/>
        <v>Medical</v>
      </c>
      <c r="T493">
        <v>768</v>
      </c>
      <c r="U493">
        <f t="shared" si="54"/>
        <v>768</v>
      </c>
      <c r="V493">
        <v>7</v>
      </c>
      <c r="W493" t="s">
        <v>3054</v>
      </c>
      <c r="X493" s="3" t="s">
        <v>3328</v>
      </c>
      <c r="Y493" s="3">
        <f t="shared" si="55"/>
        <v>44708</v>
      </c>
      <c r="Z493">
        <v>0.1191</v>
      </c>
    </row>
    <row r="494" spans="1:26" x14ac:dyDescent="0.35">
      <c r="A494" t="s">
        <v>507</v>
      </c>
      <c r="B494" t="str">
        <f t="shared" si="49"/>
        <v>OK</v>
      </c>
      <c r="C494" t="s">
        <v>1998</v>
      </c>
      <c r="D494" s="2">
        <v>48</v>
      </c>
      <c r="E494">
        <f>IF(OR(D494&lt;18, D494&gt;100),AD493,D494)</f>
        <v>48</v>
      </c>
      <c r="F494" t="s">
        <v>2990</v>
      </c>
      <c r="G494" t="str">
        <f t="shared" si="50"/>
        <v>Male</v>
      </c>
      <c r="H494" t="s">
        <v>3002</v>
      </c>
      <c r="I494" t="s">
        <v>3020</v>
      </c>
      <c r="K494" t="str">
        <f t="shared" si="51"/>
        <v>Self-Employed</v>
      </c>
      <c r="L494">
        <v>24</v>
      </c>
      <c r="M494">
        <v>2207410</v>
      </c>
      <c r="N494">
        <f t="shared" si="52"/>
        <v>2207410</v>
      </c>
      <c r="O494">
        <v>329550</v>
      </c>
      <c r="P494">
        <v>19.350000000000001</v>
      </c>
      <c r="Q494">
        <v>48</v>
      </c>
      <c r="R494" t="s">
        <v>3046</v>
      </c>
      <c r="S494" t="str">
        <f t="shared" si="53"/>
        <v>Medical</v>
      </c>
      <c r="T494">
        <v>404</v>
      </c>
      <c r="U494">
        <f t="shared" si="54"/>
        <v>404</v>
      </c>
      <c r="V494">
        <v>4</v>
      </c>
      <c r="W494" t="s">
        <v>3053</v>
      </c>
      <c r="X494" s="3" t="s">
        <v>3499</v>
      </c>
      <c r="Y494" s="3">
        <f t="shared" si="55"/>
        <v>44905</v>
      </c>
      <c r="Z494">
        <v>0.14929999999999999</v>
      </c>
    </row>
    <row r="495" spans="1:26" x14ac:dyDescent="0.35">
      <c r="A495" t="s">
        <v>508</v>
      </c>
      <c r="B495" t="str">
        <f t="shared" si="49"/>
        <v>OK</v>
      </c>
      <c r="C495" t="s">
        <v>1999</v>
      </c>
      <c r="D495" s="2">
        <v>34</v>
      </c>
      <c r="E495">
        <f>IF(OR(D495&lt;18, D495&gt;100),AD494,D495)</f>
        <v>34</v>
      </c>
      <c r="F495" t="s">
        <v>2997</v>
      </c>
      <c r="G495" t="str">
        <f t="shared" si="50"/>
        <v>Male</v>
      </c>
      <c r="H495" t="s">
        <v>3002</v>
      </c>
      <c r="I495" t="s">
        <v>3021</v>
      </c>
      <c r="K495" t="str">
        <f t="shared" si="51"/>
        <v>Unemployed</v>
      </c>
      <c r="L495">
        <v>26</v>
      </c>
      <c r="M495">
        <v>1829729</v>
      </c>
      <c r="N495">
        <f t="shared" si="52"/>
        <v>1829729</v>
      </c>
      <c r="O495">
        <v>340815</v>
      </c>
      <c r="P495">
        <v>14.71</v>
      </c>
      <c r="Q495">
        <v>48</v>
      </c>
      <c r="R495" t="s">
        <v>3047</v>
      </c>
      <c r="S495" t="str">
        <f t="shared" si="53"/>
        <v>Personal</v>
      </c>
      <c r="T495">
        <v>651</v>
      </c>
      <c r="U495">
        <f t="shared" si="54"/>
        <v>651</v>
      </c>
      <c r="V495">
        <v>1</v>
      </c>
      <c r="W495" t="s">
        <v>3053</v>
      </c>
      <c r="X495" s="3" t="s">
        <v>3500</v>
      </c>
      <c r="Y495" s="3">
        <f t="shared" si="55"/>
        <v>44754</v>
      </c>
      <c r="Z495">
        <v>0.18629999999999999</v>
      </c>
    </row>
    <row r="496" spans="1:26" x14ac:dyDescent="0.35">
      <c r="A496" t="s">
        <v>509</v>
      </c>
      <c r="B496" t="str">
        <f t="shared" si="49"/>
        <v>OK</v>
      </c>
      <c r="C496" t="s">
        <v>2000</v>
      </c>
      <c r="D496" s="2">
        <v>28</v>
      </c>
      <c r="E496">
        <f>IF(OR(D496&lt;18, D496&gt;100),AD495,D496)</f>
        <v>28</v>
      </c>
      <c r="F496" t="s">
        <v>2992</v>
      </c>
      <c r="G496" t="str">
        <f t="shared" si="50"/>
        <v>Female</v>
      </c>
      <c r="H496" t="s">
        <v>3000</v>
      </c>
      <c r="I496" t="s">
        <v>3020</v>
      </c>
      <c r="K496" t="str">
        <f t="shared" si="51"/>
        <v>Self-Employed</v>
      </c>
      <c r="L496">
        <v>28</v>
      </c>
      <c r="M496">
        <v>682420</v>
      </c>
      <c r="N496">
        <f t="shared" si="52"/>
        <v>682420</v>
      </c>
      <c r="O496">
        <v>161880</v>
      </c>
      <c r="P496">
        <v>15.56</v>
      </c>
      <c r="Q496">
        <v>60</v>
      </c>
      <c r="R496" t="s">
        <v>3049</v>
      </c>
      <c r="S496" t="str">
        <f t="shared" si="53"/>
        <v>Business</v>
      </c>
      <c r="T496">
        <v>749</v>
      </c>
      <c r="U496">
        <f t="shared" si="54"/>
        <v>749</v>
      </c>
      <c r="V496">
        <v>5</v>
      </c>
      <c r="W496" t="s">
        <v>3053</v>
      </c>
      <c r="X496" s="3" t="s">
        <v>3501</v>
      </c>
      <c r="Y496" s="3">
        <f t="shared" si="55"/>
        <v>44485</v>
      </c>
      <c r="Z496">
        <v>0.23719999999999999</v>
      </c>
    </row>
    <row r="497" spans="1:26" x14ac:dyDescent="0.35">
      <c r="A497" t="s">
        <v>510</v>
      </c>
      <c r="B497" t="str">
        <f t="shared" si="49"/>
        <v>OK</v>
      </c>
      <c r="C497" t="s">
        <v>2001</v>
      </c>
      <c r="D497" s="2">
        <v>38</v>
      </c>
      <c r="E497">
        <f>IF(OR(D497&lt;18, D497&gt;100),AD496,D497)</f>
        <v>38</v>
      </c>
      <c r="F497" t="s">
        <v>2992</v>
      </c>
      <c r="G497" t="str">
        <f t="shared" si="50"/>
        <v>Female</v>
      </c>
      <c r="H497" t="s">
        <v>3005</v>
      </c>
      <c r="I497" t="s">
        <v>3020</v>
      </c>
      <c r="K497" t="str">
        <f t="shared" si="51"/>
        <v>Self-Employed</v>
      </c>
      <c r="L497">
        <v>22</v>
      </c>
      <c r="M497">
        <v>450914</v>
      </c>
      <c r="N497">
        <f t="shared" si="52"/>
        <v>450914</v>
      </c>
      <c r="O497">
        <v>145829</v>
      </c>
      <c r="P497">
        <v>13.96</v>
      </c>
      <c r="Q497">
        <v>24</v>
      </c>
      <c r="R497" t="s">
        <v>3046</v>
      </c>
      <c r="S497" t="str">
        <f t="shared" si="53"/>
        <v>Medical</v>
      </c>
      <c r="U497">
        <f t="shared" si="54"/>
        <v>556</v>
      </c>
      <c r="V497">
        <v>3</v>
      </c>
      <c r="W497" t="s">
        <v>3056</v>
      </c>
      <c r="X497" s="3" t="s">
        <v>3502</v>
      </c>
      <c r="Y497" s="3">
        <f t="shared" si="55"/>
        <v>44373</v>
      </c>
      <c r="Z497">
        <v>0.32340000000000002</v>
      </c>
    </row>
    <row r="498" spans="1:26" x14ac:dyDescent="0.35">
      <c r="A498" t="s">
        <v>511</v>
      </c>
      <c r="B498" t="str">
        <f t="shared" si="49"/>
        <v>OK</v>
      </c>
      <c r="C498" t="s">
        <v>2002</v>
      </c>
      <c r="D498" s="2">
        <v>46</v>
      </c>
      <c r="E498">
        <f>IF(OR(D498&lt;18, D498&gt;100),AD497,D498)</f>
        <v>46</v>
      </c>
      <c r="F498" t="s">
        <v>2990</v>
      </c>
      <c r="G498" t="str">
        <f t="shared" si="50"/>
        <v>Male</v>
      </c>
      <c r="H498" t="s">
        <v>3003</v>
      </c>
      <c r="I498" t="s">
        <v>3021</v>
      </c>
      <c r="K498" t="str">
        <f t="shared" si="51"/>
        <v>Unemployed</v>
      </c>
      <c r="L498">
        <v>23</v>
      </c>
      <c r="M498">
        <v>664090</v>
      </c>
      <c r="N498">
        <f t="shared" si="52"/>
        <v>664090</v>
      </c>
      <c r="O498">
        <v>636410</v>
      </c>
      <c r="P498">
        <v>24.03</v>
      </c>
      <c r="Q498">
        <v>48</v>
      </c>
      <c r="R498" t="s">
        <v>3048</v>
      </c>
      <c r="S498" t="str">
        <f t="shared" si="53"/>
        <v>Home Improvement</v>
      </c>
      <c r="T498">
        <v>739</v>
      </c>
      <c r="U498">
        <f t="shared" si="54"/>
        <v>739</v>
      </c>
      <c r="V498">
        <v>5</v>
      </c>
      <c r="W498" t="s">
        <v>3053</v>
      </c>
      <c r="X498" s="3" t="s">
        <v>3503</v>
      </c>
      <c r="Y498" s="3">
        <f t="shared" si="55"/>
        <v>45268</v>
      </c>
      <c r="Z498">
        <v>0.95830000000000004</v>
      </c>
    </row>
    <row r="499" spans="1:26" x14ac:dyDescent="0.35">
      <c r="A499" t="s">
        <v>512</v>
      </c>
      <c r="B499" t="str">
        <f t="shared" si="49"/>
        <v>OK</v>
      </c>
      <c r="C499" t="s">
        <v>2003</v>
      </c>
      <c r="D499" s="2">
        <v>46</v>
      </c>
      <c r="E499">
        <f>IF(OR(D499&lt;18, D499&gt;100),AD498,D499)</f>
        <v>46</v>
      </c>
      <c r="F499" t="s">
        <v>2990</v>
      </c>
      <c r="G499" t="str">
        <f t="shared" si="50"/>
        <v>Male</v>
      </c>
      <c r="H499" t="s">
        <v>3003</v>
      </c>
      <c r="I499" t="s">
        <v>3019</v>
      </c>
      <c r="K499" t="str">
        <f t="shared" si="51"/>
        <v>Employed</v>
      </c>
      <c r="L499">
        <v>3</v>
      </c>
      <c r="M499">
        <v>1492743</v>
      </c>
      <c r="N499">
        <f t="shared" si="52"/>
        <v>1492743</v>
      </c>
      <c r="O499">
        <v>163927</v>
      </c>
      <c r="P499">
        <v>15.99</v>
      </c>
      <c r="Q499">
        <v>36</v>
      </c>
      <c r="R499" t="s">
        <v>3050</v>
      </c>
      <c r="S499" t="str">
        <f t="shared" si="53"/>
        <v>Agriculture</v>
      </c>
      <c r="T499">
        <v>451</v>
      </c>
      <c r="U499">
        <f t="shared" si="54"/>
        <v>451</v>
      </c>
      <c r="V499">
        <v>0</v>
      </c>
      <c r="W499" t="s">
        <v>3057</v>
      </c>
      <c r="X499" s="3" t="s">
        <v>3504</v>
      </c>
      <c r="Y499" s="3">
        <f t="shared" si="55"/>
        <v>44006</v>
      </c>
      <c r="Z499">
        <v>0.10979999999999999</v>
      </c>
    </row>
    <row r="500" spans="1:26" x14ac:dyDescent="0.35">
      <c r="A500" t="s">
        <v>513</v>
      </c>
      <c r="B500" t="str">
        <f t="shared" si="49"/>
        <v>OK</v>
      </c>
      <c r="C500" t="s">
        <v>2004</v>
      </c>
      <c r="D500" s="2">
        <v>42</v>
      </c>
      <c r="E500">
        <f>IF(OR(D500&lt;18, D500&gt;100),AD499,D500)</f>
        <v>42</v>
      </c>
      <c r="F500" t="s">
        <v>2990</v>
      </c>
      <c r="G500" t="str">
        <f t="shared" si="50"/>
        <v>Male</v>
      </c>
      <c r="H500" t="s">
        <v>3005</v>
      </c>
      <c r="I500" t="s">
        <v>3020</v>
      </c>
      <c r="K500" t="str">
        <f t="shared" si="51"/>
        <v>Self-Employed</v>
      </c>
      <c r="L500">
        <v>13</v>
      </c>
      <c r="M500">
        <v>2130013</v>
      </c>
      <c r="N500">
        <f t="shared" si="52"/>
        <v>2130013</v>
      </c>
      <c r="O500">
        <v>569523</v>
      </c>
      <c r="P500">
        <v>23.95</v>
      </c>
      <c r="Q500">
        <v>36</v>
      </c>
      <c r="R500" t="s">
        <v>3051</v>
      </c>
      <c r="S500" t="str">
        <f t="shared" si="53"/>
        <v>Education</v>
      </c>
      <c r="U500">
        <f t="shared" si="54"/>
        <v>556</v>
      </c>
      <c r="V500">
        <v>3</v>
      </c>
      <c r="W500" t="s">
        <v>3056</v>
      </c>
      <c r="X500" s="3" t="s">
        <v>3505</v>
      </c>
      <c r="Y500" s="3">
        <f t="shared" si="55"/>
        <v>44278</v>
      </c>
      <c r="Z500">
        <v>0.26740000000000003</v>
      </c>
    </row>
    <row r="501" spans="1:26" x14ac:dyDescent="0.35">
      <c r="A501" t="s">
        <v>514</v>
      </c>
      <c r="B501" t="str">
        <f t="shared" si="49"/>
        <v>OK</v>
      </c>
      <c r="C501" t="s">
        <v>2005</v>
      </c>
      <c r="D501" s="2">
        <v>21</v>
      </c>
      <c r="E501">
        <f>IF(OR(D501&lt;18, D501&gt;100),AD500,D501)</f>
        <v>21</v>
      </c>
      <c r="F501" t="s">
        <v>2990</v>
      </c>
      <c r="G501" t="str">
        <f t="shared" si="50"/>
        <v>Male</v>
      </c>
      <c r="H501" t="s">
        <v>3007</v>
      </c>
      <c r="I501" t="s">
        <v>3018</v>
      </c>
      <c r="K501" t="str">
        <f t="shared" si="51"/>
        <v>Business Owner</v>
      </c>
      <c r="L501">
        <v>6</v>
      </c>
      <c r="M501">
        <v>280734</v>
      </c>
      <c r="N501">
        <f t="shared" si="52"/>
        <v>280734</v>
      </c>
      <c r="O501">
        <v>75350</v>
      </c>
      <c r="P501">
        <v>19.36</v>
      </c>
      <c r="Q501">
        <v>60</v>
      </c>
      <c r="R501" t="s">
        <v>3051</v>
      </c>
      <c r="S501" t="str">
        <f t="shared" si="53"/>
        <v>Education</v>
      </c>
      <c r="T501">
        <v>511</v>
      </c>
      <c r="U501">
        <f t="shared" si="54"/>
        <v>511</v>
      </c>
      <c r="V501">
        <v>3</v>
      </c>
      <c r="W501" t="s">
        <v>3053</v>
      </c>
      <c r="X501" s="3" t="s">
        <v>3502</v>
      </c>
      <c r="Y501" s="3">
        <f t="shared" si="55"/>
        <v>44373</v>
      </c>
      <c r="Z501">
        <v>0.26840000000000003</v>
      </c>
    </row>
    <row r="502" spans="1:26" x14ac:dyDescent="0.35">
      <c r="A502" t="s">
        <v>515</v>
      </c>
      <c r="B502" t="str">
        <f t="shared" si="49"/>
        <v>OK</v>
      </c>
      <c r="C502" t="s">
        <v>2007</v>
      </c>
      <c r="D502" s="2">
        <v>37</v>
      </c>
      <c r="E502">
        <f>IF(OR(D502&lt;18, D502&gt;100),AD501,D502)</f>
        <v>37</v>
      </c>
      <c r="F502" t="s">
        <v>2992</v>
      </c>
      <c r="G502" t="str">
        <f t="shared" si="50"/>
        <v>Female</v>
      </c>
      <c r="H502" t="s">
        <v>3004</v>
      </c>
      <c r="I502" t="s">
        <v>3021</v>
      </c>
      <c r="K502" t="str">
        <f t="shared" si="51"/>
        <v>Unemployed</v>
      </c>
      <c r="L502">
        <v>29</v>
      </c>
      <c r="M502">
        <v>284195</v>
      </c>
      <c r="N502">
        <f t="shared" si="52"/>
        <v>284195</v>
      </c>
      <c r="O502">
        <v>417674</v>
      </c>
      <c r="P502">
        <v>11.62</v>
      </c>
      <c r="Q502">
        <v>24</v>
      </c>
      <c r="R502" t="s">
        <v>3051</v>
      </c>
      <c r="S502" t="str">
        <f t="shared" si="53"/>
        <v>Education</v>
      </c>
      <c r="T502">
        <v>371</v>
      </c>
      <c r="U502">
        <f t="shared" si="54"/>
        <v>371</v>
      </c>
      <c r="V502">
        <v>3</v>
      </c>
      <c r="W502" t="s">
        <v>3056</v>
      </c>
      <c r="X502" s="3" t="s">
        <v>3182</v>
      </c>
      <c r="Y502" s="3">
        <f t="shared" si="55"/>
        <v>44831</v>
      </c>
      <c r="Z502">
        <v>1.4697</v>
      </c>
    </row>
    <row r="503" spans="1:26" x14ac:dyDescent="0.35">
      <c r="A503" t="s">
        <v>516</v>
      </c>
      <c r="B503" t="str">
        <f t="shared" si="49"/>
        <v>OK</v>
      </c>
      <c r="C503" t="s">
        <v>2008</v>
      </c>
      <c r="D503" s="2">
        <v>52</v>
      </c>
      <c r="E503">
        <f>IF(OR(D503&lt;18, D503&gt;100),AD502,D503)</f>
        <v>52</v>
      </c>
      <c r="F503" t="s">
        <v>2992</v>
      </c>
      <c r="G503" t="str">
        <f t="shared" si="50"/>
        <v>Female</v>
      </c>
      <c r="H503" t="s">
        <v>3000</v>
      </c>
      <c r="K503" t="str">
        <f t="shared" si="51"/>
        <v>Unknown</v>
      </c>
      <c r="L503">
        <v>6</v>
      </c>
      <c r="M503">
        <v>977968</v>
      </c>
      <c r="N503">
        <f t="shared" si="52"/>
        <v>977968</v>
      </c>
      <c r="O503">
        <v>0</v>
      </c>
      <c r="P503">
        <v>23.02</v>
      </c>
      <c r="Q503">
        <v>48</v>
      </c>
      <c r="R503" t="s">
        <v>3050</v>
      </c>
      <c r="S503" t="str">
        <f t="shared" si="53"/>
        <v>Agriculture</v>
      </c>
      <c r="T503">
        <v>661</v>
      </c>
      <c r="U503">
        <f t="shared" si="54"/>
        <v>661</v>
      </c>
      <c r="V503">
        <v>6</v>
      </c>
      <c r="W503" t="s">
        <v>3057</v>
      </c>
      <c r="X503" s="3" t="s">
        <v>3507</v>
      </c>
      <c r="Y503" s="3">
        <f t="shared" si="55"/>
        <v>45052</v>
      </c>
      <c r="Z503">
        <v>0.14530000000000001</v>
      </c>
    </row>
    <row r="504" spans="1:26" x14ac:dyDescent="0.35">
      <c r="A504" t="s">
        <v>517</v>
      </c>
      <c r="B504" t="str">
        <f t="shared" si="49"/>
        <v>OK</v>
      </c>
      <c r="C504" t="s">
        <v>2009</v>
      </c>
      <c r="D504" s="2">
        <v>25</v>
      </c>
      <c r="E504">
        <f>IF(OR(D504&lt;18, D504&gt;100),AD503,D504)</f>
        <v>25</v>
      </c>
      <c r="F504" t="s">
        <v>2990</v>
      </c>
      <c r="G504" t="str">
        <f t="shared" si="50"/>
        <v>Male</v>
      </c>
      <c r="H504" t="s">
        <v>3002</v>
      </c>
      <c r="I504" t="s">
        <v>3019</v>
      </c>
      <c r="K504" t="str">
        <f t="shared" si="51"/>
        <v>Employed</v>
      </c>
      <c r="L504">
        <v>28</v>
      </c>
      <c r="M504">
        <v>2039234</v>
      </c>
      <c r="N504">
        <f t="shared" si="52"/>
        <v>2039234</v>
      </c>
      <c r="O504">
        <v>45675</v>
      </c>
      <c r="P504">
        <v>24.25</v>
      </c>
      <c r="Q504">
        <v>36</v>
      </c>
      <c r="R504" t="s">
        <v>3046</v>
      </c>
      <c r="S504" t="str">
        <f t="shared" si="53"/>
        <v>Medical</v>
      </c>
      <c r="T504">
        <v>757</v>
      </c>
      <c r="U504">
        <f t="shared" si="54"/>
        <v>757</v>
      </c>
      <c r="V504">
        <v>6</v>
      </c>
      <c r="W504" t="s">
        <v>3056</v>
      </c>
      <c r="X504" s="3" t="s">
        <v>3508</v>
      </c>
      <c r="Y504" s="3">
        <f t="shared" si="55"/>
        <v>45127</v>
      </c>
      <c r="Z504">
        <v>2.24E-2</v>
      </c>
    </row>
    <row r="505" spans="1:26" x14ac:dyDescent="0.35">
      <c r="A505" t="s">
        <v>518</v>
      </c>
      <c r="B505" t="str">
        <f t="shared" si="49"/>
        <v>OK</v>
      </c>
      <c r="C505" t="s">
        <v>2010</v>
      </c>
      <c r="D505" s="2">
        <v>56</v>
      </c>
      <c r="E505">
        <f>IF(OR(D505&lt;18, D505&gt;100),AD504,D505)</f>
        <v>56</v>
      </c>
      <c r="F505" t="s">
        <v>2992</v>
      </c>
      <c r="G505" t="str">
        <f t="shared" si="50"/>
        <v>Female</v>
      </c>
      <c r="H505" t="s">
        <v>3000</v>
      </c>
      <c r="I505" t="s">
        <v>3018</v>
      </c>
      <c r="K505" t="str">
        <f t="shared" si="51"/>
        <v>Business Owner</v>
      </c>
      <c r="L505">
        <v>3</v>
      </c>
      <c r="M505">
        <v>450040</v>
      </c>
      <c r="N505">
        <f t="shared" si="52"/>
        <v>450040</v>
      </c>
      <c r="O505">
        <v>79500</v>
      </c>
      <c r="P505">
        <v>25.23</v>
      </c>
      <c r="Q505">
        <v>36</v>
      </c>
      <c r="R505" t="s">
        <v>3048</v>
      </c>
      <c r="S505" t="str">
        <f t="shared" si="53"/>
        <v>Home Improvement</v>
      </c>
      <c r="T505">
        <v>329</v>
      </c>
      <c r="U505">
        <f t="shared" si="54"/>
        <v>329</v>
      </c>
      <c r="V505">
        <v>3</v>
      </c>
      <c r="W505" t="s">
        <v>3063</v>
      </c>
      <c r="X505" s="3" t="s">
        <v>3509</v>
      </c>
      <c r="Y505" s="3">
        <f t="shared" si="55"/>
        <v>44811</v>
      </c>
      <c r="Z505">
        <v>0.1767</v>
      </c>
    </row>
    <row r="506" spans="1:26" x14ac:dyDescent="0.35">
      <c r="A506" t="s">
        <v>519</v>
      </c>
      <c r="B506" t="str">
        <f t="shared" si="49"/>
        <v>OK</v>
      </c>
      <c r="C506" t="s">
        <v>2011</v>
      </c>
      <c r="D506" s="2">
        <v>38</v>
      </c>
      <c r="E506">
        <f>IF(OR(D506&lt;18, D506&gt;100),AD505,D506)</f>
        <v>38</v>
      </c>
      <c r="F506" t="s">
        <v>2990</v>
      </c>
      <c r="G506" t="str">
        <f t="shared" si="50"/>
        <v>Male</v>
      </c>
      <c r="H506" t="s">
        <v>3002</v>
      </c>
      <c r="I506" t="s">
        <v>3020</v>
      </c>
      <c r="K506" t="str">
        <f t="shared" si="51"/>
        <v>Self-Employed</v>
      </c>
      <c r="L506">
        <v>12</v>
      </c>
      <c r="M506">
        <v>1167073</v>
      </c>
      <c r="N506">
        <f t="shared" si="52"/>
        <v>1167073</v>
      </c>
      <c r="O506">
        <v>615484</v>
      </c>
      <c r="P506">
        <v>23.5</v>
      </c>
      <c r="Q506">
        <v>60</v>
      </c>
      <c r="R506" t="s">
        <v>3051</v>
      </c>
      <c r="S506" t="str">
        <f t="shared" si="53"/>
        <v>Education</v>
      </c>
      <c r="T506">
        <v>633</v>
      </c>
      <c r="U506">
        <f t="shared" si="54"/>
        <v>633</v>
      </c>
      <c r="V506">
        <v>1</v>
      </c>
      <c r="W506" t="s">
        <v>3053</v>
      </c>
      <c r="X506" s="3" t="s">
        <v>3510</v>
      </c>
      <c r="Y506" s="3">
        <f t="shared" si="55"/>
        <v>44124</v>
      </c>
      <c r="Z506">
        <v>0.52739999999999998</v>
      </c>
    </row>
    <row r="507" spans="1:26" x14ac:dyDescent="0.35">
      <c r="A507" t="s">
        <v>520</v>
      </c>
      <c r="B507" t="str">
        <f t="shared" si="49"/>
        <v>OK</v>
      </c>
      <c r="C507" t="s">
        <v>2012</v>
      </c>
      <c r="D507" s="2">
        <v>52</v>
      </c>
      <c r="E507">
        <f>IF(OR(D507&lt;18, D507&gt;100),AD506,D507)</f>
        <v>52</v>
      </c>
      <c r="F507" t="s">
        <v>2990</v>
      </c>
      <c r="G507" t="str">
        <f t="shared" si="50"/>
        <v>Male</v>
      </c>
      <c r="H507" t="s">
        <v>3000</v>
      </c>
      <c r="I507" t="s">
        <v>3020</v>
      </c>
      <c r="K507" t="str">
        <f t="shared" si="51"/>
        <v>Self-Employed</v>
      </c>
      <c r="L507">
        <v>22</v>
      </c>
      <c r="M507">
        <v>1303389</v>
      </c>
      <c r="N507">
        <f t="shared" si="52"/>
        <v>1303389</v>
      </c>
      <c r="O507">
        <v>132701</v>
      </c>
      <c r="P507">
        <v>27.78</v>
      </c>
      <c r="Q507">
        <v>12</v>
      </c>
      <c r="R507" t="s">
        <v>3049</v>
      </c>
      <c r="S507" t="str">
        <f t="shared" si="53"/>
        <v>Business</v>
      </c>
      <c r="T507">
        <v>488</v>
      </c>
      <c r="U507">
        <f t="shared" si="54"/>
        <v>488</v>
      </c>
      <c r="V507">
        <v>5</v>
      </c>
      <c r="W507" t="s">
        <v>3055</v>
      </c>
      <c r="X507" s="3" t="s">
        <v>3511</v>
      </c>
      <c r="Y507" s="3">
        <f t="shared" si="55"/>
        <v>44490</v>
      </c>
      <c r="Z507">
        <v>0.1018</v>
      </c>
    </row>
    <row r="508" spans="1:26" x14ac:dyDescent="0.35">
      <c r="A508" t="s">
        <v>521</v>
      </c>
      <c r="B508" t="str">
        <f t="shared" si="49"/>
        <v>OK</v>
      </c>
      <c r="C508" t="s">
        <v>1702</v>
      </c>
      <c r="D508" s="2">
        <v>32</v>
      </c>
      <c r="E508">
        <f>IF(OR(D508&lt;18, D508&gt;100),AD507,D508)</f>
        <v>32</v>
      </c>
      <c r="F508" t="s">
        <v>2992</v>
      </c>
      <c r="G508" t="str">
        <f t="shared" si="50"/>
        <v>Female</v>
      </c>
      <c r="H508" t="s">
        <v>3004</v>
      </c>
      <c r="I508" t="s">
        <v>3019</v>
      </c>
      <c r="K508" t="str">
        <f t="shared" si="51"/>
        <v>Employed</v>
      </c>
      <c r="L508">
        <v>20</v>
      </c>
      <c r="M508">
        <v>1884597</v>
      </c>
      <c r="N508">
        <f t="shared" si="52"/>
        <v>1884597</v>
      </c>
      <c r="O508">
        <v>247189</v>
      </c>
      <c r="P508">
        <v>22.29</v>
      </c>
      <c r="Q508">
        <v>36</v>
      </c>
      <c r="R508" t="s">
        <v>3049</v>
      </c>
      <c r="S508" t="str">
        <f t="shared" si="53"/>
        <v>Business</v>
      </c>
      <c r="T508">
        <v>313</v>
      </c>
      <c r="U508">
        <f t="shared" si="54"/>
        <v>313</v>
      </c>
      <c r="V508">
        <v>6</v>
      </c>
      <c r="W508" t="s">
        <v>3052</v>
      </c>
      <c r="X508" s="3" t="s">
        <v>3512</v>
      </c>
      <c r="Y508" s="3">
        <f t="shared" si="55"/>
        <v>44895</v>
      </c>
      <c r="Z508">
        <v>0.13120000000000001</v>
      </c>
    </row>
    <row r="509" spans="1:26" x14ac:dyDescent="0.35">
      <c r="A509" t="s">
        <v>522</v>
      </c>
      <c r="B509" t="str">
        <f t="shared" si="49"/>
        <v>OK</v>
      </c>
      <c r="C509" t="s">
        <v>2013</v>
      </c>
      <c r="D509" s="2">
        <v>47</v>
      </c>
      <c r="E509">
        <f>IF(OR(D509&lt;18, D509&gt;100),AD508,D509)</f>
        <v>47</v>
      </c>
      <c r="F509" t="s">
        <v>2990</v>
      </c>
      <c r="G509" t="str">
        <f t="shared" si="50"/>
        <v>Male</v>
      </c>
      <c r="H509" t="s">
        <v>3003</v>
      </c>
      <c r="I509" t="s">
        <v>3021</v>
      </c>
      <c r="K509" t="str">
        <f t="shared" si="51"/>
        <v>Unemployed</v>
      </c>
      <c r="L509">
        <v>4</v>
      </c>
      <c r="M509">
        <v>1445898</v>
      </c>
      <c r="N509">
        <f t="shared" si="52"/>
        <v>1445898</v>
      </c>
      <c r="O509">
        <v>153498</v>
      </c>
      <c r="P509">
        <v>25.56</v>
      </c>
      <c r="Q509">
        <v>12</v>
      </c>
      <c r="R509" t="s">
        <v>3046</v>
      </c>
      <c r="S509" t="str">
        <f t="shared" si="53"/>
        <v>Medical</v>
      </c>
      <c r="T509">
        <v>578</v>
      </c>
      <c r="U509">
        <f t="shared" si="54"/>
        <v>578</v>
      </c>
      <c r="V509">
        <v>0</v>
      </c>
      <c r="W509" t="s">
        <v>3057</v>
      </c>
      <c r="X509" s="3" t="s">
        <v>3513</v>
      </c>
      <c r="Y509" s="3">
        <f t="shared" si="55"/>
        <v>44922</v>
      </c>
      <c r="Z509">
        <v>0.1062</v>
      </c>
    </row>
    <row r="510" spans="1:26" x14ac:dyDescent="0.35">
      <c r="A510" t="s">
        <v>523</v>
      </c>
      <c r="B510" t="str">
        <f t="shared" si="49"/>
        <v>OK</v>
      </c>
      <c r="C510" t="s">
        <v>2014</v>
      </c>
      <c r="D510" s="2">
        <v>40</v>
      </c>
      <c r="E510">
        <f>IF(OR(D510&lt;18, D510&gt;100),AD509,D510)</f>
        <v>40</v>
      </c>
      <c r="F510" t="s">
        <v>2992</v>
      </c>
      <c r="G510" t="str">
        <f t="shared" si="50"/>
        <v>Female</v>
      </c>
      <c r="H510" t="s">
        <v>3001</v>
      </c>
      <c r="I510" t="s">
        <v>3020</v>
      </c>
      <c r="K510" t="str">
        <f t="shared" si="51"/>
        <v>Self-Employed</v>
      </c>
      <c r="L510">
        <v>6</v>
      </c>
      <c r="M510">
        <v>1268075</v>
      </c>
      <c r="N510">
        <f t="shared" si="52"/>
        <v>1268075</v>
      </c>
      <c r="O510">
        <v>213069</v>
      </c>
      <c r="P510">
        <v>24.62</v>
      </c>
      <c r="Q510">
        <v>48</v>
      </c>
      <c r="R510" t="s">
        <v>3050</v>
      </c>
      <c r="S510" t="str">
        <f t="shared" si="53"/>
        <v>Agriculture</v>
      </c>
      <c r="T510">
        <v>523</v>
      </c>
      <c r="U510">
        <f t="shared" si="54"/>
        <v>523</v>
      </c>
      <c r="V510">
        <v>4</v>
      </c>
      <c r="W510" t="s">
        <v>3055</v>
      </c>
      <c r="X510" s="3" t="s">
        <v>3514</v>
      </c>
      <c r="Y510" s="3">
        <f t="shared" si="55"/>
        <v>43837</v>
      </c>
      <c r="Z510">
        <v>0.16800000000000001</v>
      </c>
    </row>
    <row r="511" spans="1:26" x14ac:dyDescent="0.35">
      <c r="A511" t="s">
        <v>524</v>
      </c>
      <c r="B511" t="str">
        <f t="shared" si="49"/>
        <v>OK</v>
      </c>
      <c r="C511" t="s">
        <v>2015</v>
      </c>
      <c r="D511" s="2">
        <v>44</v>
      </c>
      <c r="E511">
        <f>IF(OR(D511&lt;18, D511&gt;100),AD510,D511)</f>
        <v>44</v>
      </c>
      <c r="F511" t="s">
        <v>2992</v>
      </c>
      <c r="G511" t="str">
        <f t="shared" si="50"/>
        <v>Female</v>
      </c>
      <c r="H511" t="s">
        <v>3007</v>
      </c>
      <c r="I511" t="s">
        <v>3021</v>
      </c>
      <c r="K511" t="str">
        <f t="shared" si="51"/>
        <v>Unemployed</v>
      </c>
      <c r="L511">
        <v>0</v>
      </c>
      <c r="M511">
        <v>883650</v>
      </c>
      <c r="N511">
        <f t="shared" si="52"/>
        <v>883650</v>
      </c>
      <c r="O511">
        <v>255469</v>
      </c>
      <c r="P511">
        <v>8.2100000000000009</v>
      </c>
      <c r="Q511">
        <v>24</v>
      </c>
      <c r="R511" t="s">
        <v>3046</v>
      </c>
      <c r="S511" t="str">
        <f t="shared" si="53"/>
        <v>Medical</v>
      </c>
      <c r="T511">
        <v>632</v>
      </c>
      <c r="U511">
        <f t="shared" si="54"/>
        <v>632</v>
      </c>
      <c r="V511">
        <v>3</v>
      </c>
      <c r="W511" t="s">
        <v>3056</v>
      </c>
      <c r="X511" s="3" t="s">
        <v>3515</v>
      </c>
      <c r="Y511" s="3">
        <f t="shared" si="55"/>
        <v>44641</v>
      </c>
      <c r="Z511">
        <v>0.28910000000000002</v>
      </c>
    </row>
    <row r="512" spans="1:26" x14ac:dyDescent="0.35">
      <c r="A512" t="s">
        <v>525</v>
      </c>
      <c r="B512" t="str">
        <f t="shared" ref="B512:B574" si="56">IF(A512="", "MISSING", "OK")</f>
        <v>OK</v>
      </c>
      <c r="C512" t="s">
        <v>2016</v>
      </c>
      <c r="D512" s="2">
        <v>24</v>
      </c>
      <c r="E512">
        <f>IF(OR(D512&lt;18, D512&gt;100),AD511,D512)</f>
        <v>24</v>
      </c>
      <c r="F512" t="s">
        <v>2992</v>
      </c>
      <c r="G512" t="str">
        <f t="shared" si="50"/>
        <v>Female</v>
      </c>
      <c r="H512" t="s">
        <v>3004</v>
      </c>
      <c r="I512" t="s">
        <v>3019</v>
      </c>
      <c r="K512" t="str">
        <f t="shared" si="51"/>
        <v>Employed</v>
      </c>
      <c r="L512">
        <v>3</v>
      </c>
      <c r="M512">
        <v>595384</v>
      </c>
      <c r="N512">
        <f t="shared" si="52"/>
        <v>595384</v>
      </c>
      <c r="O512">
        <v>794168</v>
      </c>
      <c r="P512">
        <v>12.41</v>
      </c>
      <c r="Q512">
        <v>48</v>
      </c>
      <c r="R512" t="s">
        <v>3050</v>
      </c>
      <c r="S512" t="str">
        <f t="shared" si="53"/>
        <v>Agriculture</v>
      </c>
      <c r="T512">
        <v>616</v>
      </c>
      <c r="U512">
        <f t="shared" si="54"/>
        <v>616</v>
      </c>
      <c r="V512">
        <v>6</v>
      </c>
      <c r="W512" t="s">
        <v>3052</v>
      </c>
      <c r="X512" s="3" t="s">
        <v>3516</v>
      </c>
      <c r="Y512" s="3">
        <f t="shared" si="55"/>
        <v>45071</v>
      </c>
      <c r="Z512">
        <v>1.3339000000000001</v>
      </c>
    </row>
    <row r="513" spans="1:26" x14ac:dyDescent="0.35">
      <c r="A513" t="s">
        <v>526</v>
      </c>
      <c r="B513" t="str">
        <f t="shared" si="56"/>
        <v>OK</v>
      </c>
      <c r="C513" t="s">
        <v>2017</v>
      </c>
      <c r="D513" s="2">
        <v>31</v>
      </c>
      <c r="E513">
        <f>IF(OR(D513&lt;18, D513&gt;100),AD512,D513)</f>
        <v>31</v>
      </c>
      <c r="F513" t="s">
        <v>2992</v>
      </c>
      <c r="G513" t="str">
        <f t="shared" si="50"/>
        <v>Female</v>
      </c>
      <c r="H513" t="s">
        <v>3003</v>
      </c>
      <c r="I513" t="s">
        <v>3020</v>
      </c>
      <c r="K513" t="str">
        <f t="shared" si="51"/>
        <v>Self-Employed</v>
      </c>
      <c r="L513">
        <v>26</v>
      </c>
      <c r="M513">
        <v>-1757969</v>
      </c>
      <c r="N513">
        <f t="shared" si="52"/>
        <v>1333224</v>
      </c>
      <c r="O513">
        <v>696585</v>
      </c>
      <c r="P513">
        <v>18.27</v>
      </c>
      <c r="Q513">
        <v>24</v>
      </c>
      <c r="R513" t="s">
        <v>3047</v>
      </c>
      <c r="S513" t="str">
        <f t="shared" si="53"/>
        <v>Personal</v>
      </c>
      <c r="T513">
        <v>598</v>
      </c>
      <c r="U513">
        <f t="shared" si="54"/>
        <v>598</v>
      </c>
      <c r="V513">
        <v>2</v>
      </c>
      <c r="W513" t="s">
        <v>3057</v>
      </c>
      <c r="X513" s="3" t="s">
        <v>3233</v>
      </c>
      <c r="Y513" s="3">
        <f t="shared" si="55"/>
        <v>44450</v>
      </c>
      <c r="Z513">
        <v>0.3962</v>
      </c>
    </row>
    <row r="514" spans="1:26" x14ac:dyDescent="0.35">
      <c r="A514" t="s">
        <v>527</v>
      </c>
      <c r="B514" t="str">
        <f t="shared" si="56"/>
        <v>OK</v>
      </c>
      <c r="C514" t="s">
        <v>2018</v>
      </c>
      <c r="D514" s="2">
        <v>42</v>
      </c>
      <c r="E514">
        <f>IF(OR(D514&lt;18, D514&gt;100),AD513,D514)</f>
        <v>42</v>
      </c>
      <c r="F514" t="s">
        <v>2992</v>
      </c>
      <c r="G514" t="str">
        <f t="shared" si="50"/>
        <v>Female</v>
      </c>
      <c r="H514" t="s">
        <v>2998</v>
      </c>
      <c r="I514" t="s">
        <v>3018</v>
      </c>
      <c r="K514" t="str">
        <f t="shared" si="51"/>
        <v>Business Owner</v>
      </c>
      <c r="L514">
        <v>13</v>
      </c>
      <c r="M514">
        <v>1337655</v>
      </c>
      <c r="N514">
        <f t="shared" si="52"/>
        <v>1337655</v>
      </c>
      <c r="O514">
        <v>25668</v>
      </c>
      <c r="P514">
        <v>21.84</v>
      </c>
      <c r="Q514">
        <v>12</v>
      </c>
      <c r="R514" t="s">
        <v>3050</v>
      </c>
      <c r="S514" t="str">
        <f t="shared" si="53"/>
        <v>Agriculture</v>
      </c>
      <c r="T514">
        <v>661</v>
      </c>
      <c r="U514">
        <f t="shared" si="54"/>
        <v>661</v>
      </c>
      <c r="V514">
        <v>7</v>
      </c>
      <c r="W514" t="s">
        <v>3056</v>
      </c>
      <c r="X514" s="3" t="s">
        <v>3517</v>
      </c>
      <c r="Y514" s="3">
        <f t="shared" si="55"/>
        <v>44021</v>
      </c>
      <c r="Z514">
        <v>1.9199999999999998E-2</v>
      </c>
    </row>
    <row r="515" spans="1:26" x14ac:dyDescent="0.35">
      <c r="A515" t="s">
        <v>528</v>
      </c>
      <c r="B515" t="str">
        <f t="shared" si="56"/>
        <v>OK</v>
      </c>
      <c r="C515" t="s">
        <v>2019</v>
      </c>
      <c r="D515" s="2">
        <v>35</v>
      </c>
      <c r="E515">
        <f>IF(OR(D515&lt;18, D515&gt;100),AD514,D515)</f>
        <v>35</v>
      </c>
      <c r="F515" t="s">
        <v>2992</v>
      </c>
      <c r="G515" t="str">
        <f t="shared" ref="G515:G578" si="57">IF(F515="", "Unknown", IF(OR(F515="F", F515="FEMALE", F515="Female"), "Female", IF(OR(F515="M", F515="MALE", F515="Male"), "Male", "Other")))</f>
        <v>Female</v>
      </c>
      <c r="H515" t="s">
        <v>2999</v>
      </c>
      <c r="I515" t="s">
        <v>3021</v>
      </c>
      <c r="K515" t="str">
        <f t="shared" ref="K515:K578" si="58">IF(I515="", "Unknown", I515)</f>
        <v>Unemployed</v>
      </c>
      <c r="L515">
        <v>5</v>
      </c>
      <c r="M515">
        <v>1552236</v>
      </c>
      <c r="N515">
        <f t="shared" ref="N515:N578" si="59">IF(OR(M515="",M515&lt;0),$AD$3,M515)</f>
        <v>1552236</v>
      </c>
      <c r="O515">
        <v>285471</v>
      </c>
      <c r="P515">
        <v>21.48</v>
      </c>
      <c r="Q515">
        <v>60</v>
      </c>
      <c r="R515" t="s">
        <v>3050</v>
      </c>
      <c r="S515" t="str">
        <f t="shared" ref="S515:S578" si="60">IF(R515="", "Unknown", R515)</f>
        <v>Agriculture</v>
      </c>
      <c r="T515">
        <v>771</v>
      </c>
      <c r="U515">
        <f t="shared" ref="U515:U578" si="61">IF(OR(T515="",T515&gt;999),$AD$2,T515)</f>
        <v>771</v>
      </c>
      <c r="V515">
        <v>5</v>
      </c>
      <c r="W515" t="s">
        <v>3054</v>
      </c>
      <c r="X515" s="3" t="s">
        <v>3275</v>
      </c>
      <c r="Y515" s="3">
        <f t="shared" ref="Y515:Y578" si="62">IF(ISNUMBER(X515), X515, DATEVALUE(X515))</f>
        <v>44372</v>
      </c>
      <c r="Z515">
        <v>0.18390000000000001</v>
      </c>
    </row>
    <row r="516" spans="1:26" x14ac:dyDescent="0.35">
      <c r="A516" t="s">
        <v>529</v>
      </c>
      <c r="B516" t="str">
        <f t="shared" si="56"/>
        <v>OK</v>
      </c>
      <c r="C516" t="s">
        <v>2020</v>
      </c>
      <c r="D516" s="2">
        <v>25</v>
      </c>
      <c r="E516">
        <f>IF(OR(D516&lt;18, D516&gt;100),AD515,D516)</f>
        <v>25</v>
      </c>
      <c r="F516" t="s">
        <v>2992</v>
      </c>
      <c r="G516" t="str">
        <f t="shared" si="57"/>
        <v>Female</v>
      </c>
      <c r="H516" t="s">
        <v>3017</v>
      </c>
      <c r="I516" t="s">
        <v>3020</v>
      </c>
      <c r="K516" t="str">
        <f t="shared" si="58"/>
        <v>Self-Employed</v>
      </c>
      <c r="L516">
        <v>27</v>
      </c>
      <c r="M516">
        <v>1779908</v>
      </c>
      <c r="N516">
        <f t="shared" si="59"/>
        <v>1779908</v>
      </c>
      <c r="O516">
        <v>241552</v>
      </c>
      <c r="P516">
        <v>9.5399999999999991</v>
      </c>
      <c r="Q516">
        <v>48</v>
      </c>
      <c r="R516" t="s">
        <v>3047</v>
      </c>
      <c r="S516" t="str">
        <f t="shared" si="60"/>
        <v>Personal</v>
      </c>
      <c r="T516">
        <v>495</v>
      </c>
      <c r="U516">
        <f t="shared" si="61"/>
        <v>495</v>
      </c>
      <c r="V516">
        <v>5</v>
      </c>
      <c r="W516" t="s">
        <v>3057</v>
      </c>
      <c r="X516" s="3" t="s">
        <v>3518</v>
      </c>
      <c r="Y516" s="3">
        <f t="shared" si="62"/>
        <v>44572</v>
      </c>
      <c r="Z516">
        <v>0.13569999999999999</v>
      </c>
    </row>
    <row r="517" spans="1:26" x14ac:dyDescent="0.35">
      <c r="A517" t="s">
        <v>530</v>
      </c>
      <c r="B517" t="str">
        <f t="shared" si="56"/>
        <v>OK</v>
      </c>
      <c r="C517" t="s">
        <v>2021</v>
      </c>
      <c r="D517" s="2">
        <v>54</v>
      </c>
      <c r="E517">
        <f>IF(OR(D517&lt;18, D517&gt;100),AD516,D517)</f>
        <v>54</v>
      </c>
      <c r="F517" t="s">
        <v>2990</v>
      </c>
      <c r="G517" t="str">
        <f t="shared" si="57"/>
        <v>Male</v>
      </c>
      <c r="H517" t="s">
        <v>3004</v>
      </c>
      <c r="I517" t="s">
        <v>3018</v>
      </c>
      <c r="K517" t="str">
        <f t="shared" si="58"/>
        <v>Business Owner</v>
      </c>
      <c r="L517">
        <v>4</v>
      </c>
      <c r="M517">
        <v>2077501</v>
      </c>
      <c r="N517">
        <f t="shared" si="59"/>
        <v>2077501</v>
      </c>
      <c r="O517">
        <v>299143</v>
      </c>
      <c r="P517">
        <v>9.61</v>
      </c>
      <c r="Q517">
        <v>24</v>
      </c>
      <c r="R517" t="s">
        <v>3046</v>
      </c>
      <c r="S517" t="str">
        <f t="shared" si="60"/>
        <v>Medical</v>
      </c>
      <c r="T517">
        <v>588</v>
      </c>
      <c r="U517">
        <f t="shared" si="61"/>
        <v>588</v>
      </c>
      <c r="V517">
        <v>0</v>
      </c>
      <c r="W517" t="s">
        <v>3057</v>
      </c>
      <c r="X517" s="3" t="s">
        <v>3066</v>
      </c>
      <c r="Y517" s="3">
        <f t="shared" si="62"/>
        <v>45235</v>
      </c>
      <c r="Z517">
        <v>0.14399999999999999</v>
      </c>
    </row>
    <row r="518" spans="1:26" x14ac:dyDescent="0.35">
      <c r="A518" t="s">
        <v>531</v>
      </c>
      <c r="B518" t="str">
        <f t="shared" si="56"/>
        <v>OK</v>
      </c>
      <c r="C518" t="s">
        <v>2022</v>
      </c>
      <c r="D518" s="2">
        <v>51</v>
      </c>
      <c r="E518">
        <f>IF(OR(D518&lt;18, D518&gt;100),AD517,D518)</f>
        <v>51</v>
      </c>
      <c r="F518" t="s">
        <v>2990</v>
      </c>
      <c r="G518" t="str">
        <f t="shared" si="57"/>
        <v>Male</v>
      </c>
      <c r="H518" t="s">
        <v>2999</v>
      </c>
      <c r="I518" t="s">
        <v>3021</v>
      </c>
      <c r="K518" t="str">
        <f t="shared" si="58"/>
        <v>Unemployed</v>
      </c>
      <c r="L518">
        <v>27</v>
      </c>
      <c r="M518">
        <v>701998</v>
      </c>
      <c r="N518">
        <f t="shared" si="59"/>
        <v>701998</v>
      </c>
      <c r="O518">
        <v>233606</v>
      </c>
      <c r="P518">
        <v>21.78</v>
      </c>
      <c r="Q518">
        <v>36</v>
      </c>
      <c r="R518" t="s">
        <v>3046</v>
      </c>
      <c r="S518" t="str">
        <f t="shared" si="60"/>
        <v>Medical</v>
      </c>
      <c r="T518">
        <v>405</v>
      </c>
      <c r="U518">
        <f t="shared" si="61"/>
        <v>405</v>
      </c>
      <c r="V518">
        <v>6</v>
      </c>
      <c r="W518" t="s">
        <v>3057</v>
      </c>
      <c r="X518" s="3" t="s">
        <v>3519</v>
      </c>
      <c r="Y518" s="3">
        <f t="shared" si="62"/>
        <v>44555</v>
      </c>
      <c r="Z518">
        <v>0.33279999999999998</v>
      </c>
    </row>
    <row r="519" spans="1:26" x14ac:dyDescent="0.35">
      <c r="A519" t="s">
        <v>532</v>
      </c>
      <c r="B519" t="str">
        <f t="shared" si="56"/>
        <v>OK</v>
      </c>
      <c r="C519" t="s">
        <v>2023</v>
      </c>
      <c r="D519" s="2">
        <v>36</v>
      </c>
      <c r="E519">
        <f>IF(OR(D519&lt;18, D519&gt;100),AD518,D519)</f>
        <v>36</v>
      </c>
      <c r="G519" t="str">
        <f t="shared" si="57"/>
        <v>Unknown</v>
      </c>
      <c r="H519" t="s">
        <v>3001</v>
      </c>
      <c r="I519" t="s">
        <v>3018</v>
      </c>
      <c r="K519" t="str">
        <f t="shared" si="58"/>
        <v>Business Owner</v>
      </c>
      <c r="L519">
        <v>2</v>
      </c>
      <c r="M519">
        <v>2264298</v>
      </c>
      <c r="N519">
        <f t="shared" si="59"/>
        <v>2264298</v>
      </c>
      <c r="O519">
        <v>435842</v>
      </c>
      <c r="P519">
        <v>11.13</v>
      </c>
      <c r="Q519">
        <v>24</v>
      </c>
      <c r="R519" t="s">
        <v>3050</v>
      </c>
      <c r="S519" t="str">
        <f t="shared" si="60"/>
        <v>Agriculture</v>
      </c>
      <c r="T519">
        <v>737</v>
      </c>
      <c r="U519">
        <f t="shared" si="61"/>
        <v>737</v>
      </c>
      <c r="V519">
        <v>2</v>
      </c>
      <c r="W519" t="s">
        <v>3057</v>
      </c>
      <c r="X519" s="3" t="s">
        <v>3520</v>
      </c>
      <c r="Y519" s="3">
        <f t="shared" si="62"/>
        <v>44979</v>
      </c>
      <c r="Z519">
        <v>0.1925</v>
      </c>
    </row>
    <row r="520" spans="1:26" x14ac:dyDescent="0.35">
      <c r="A520" t="s">
        <v>533</v>
      </c>
      <c r="B520" t="str">
        <f t="shared" si="56"/>
        <v>OK</v>
      </c>
      <c r="C520" t="s">
        <v>2024</v>
      </c>
      <c r="D520" s="2">
        <v>32</v>
      </c>
      <c r="E520">
        <f>IF(OR(D520&lt;18, D520&gt;100),AD519,D520)</f>
        <v>32</v>
      </c>
      <c r="F520" t="s">
        <v>2992</v>
      </c>
      <c r="G520" t="str">
        <f t="shared" si="57"/>
        <v>Female</v>
      </c>
      <c r="H520" t="s">
        <v>3003</v>
      </c>
      <c r="I520" t="s">
        <v>3019</v>
      </c>
      <c r="K520" t="str">
        <f t="shared" si="58"/>
        <v>Employed</v>
      </c>
      <c r="L520">
        <v>1</v>
      </c>
      <c r="M520">
        <v>2335145</v>
      </c>
      <c r="N520">
        <f t="shared" si="59"/>
        <v>2335145</v>
      </c>
      <c r="O520">
        <v>367139</v>
      </c>
      <c r="P520">
        <v>20.059999999999999</v>
      </c>
      <c r="Q520">
        <v>12</v>
      </c>
      <c r="R520" t="s">
        <v>3046</v>
      </c>
      <c r="S520" t="str">
        <f t="shared" si="60"/>
        <v>Medical</v>
      </c>
      <c r="T520">
        <v>670</v>
      </c>
      <c r="U520">
        <f t="shared" si="61"/>
        <v>670</v>
      </c>
      <c r="V520">
        <v>6</v>
      </c>
      <c r="W520" t="s">
        <v>3054</v>
      </c>
      <c r="X520" s="3" t="s">
        <v>3521</v>
      </c>
      <c r="Y520" s="3">
        <f t="shared" si="62"/>
        <v>44286</v>
      </c>
      <c r="Z520">
        <v>0.15720000000000001</v>
      </c>
    </row>
    <row r="521" spans="1:26" x14ac:dyDescent="0.35">
      <c r="A521" t="s">
        <v>534</v>
      </c>
      <c r="B521" t="str">
        <f t="shared" si="56"/>
        <v>OK</v>
      </c>
      <c r="C521" t="s">
        <v>2025</v>
      </c>
      <c r="D521" s="2">
        <v>25</v>
      </c>
      <c r="E521">
        <f>IF(OR(D521&lt;18, D521&gt;100),AD520,D521)</f>
        <v>25</v>
      </c>
      <c r="F521" t="s">
        <v>2992</v>
      </c>
      <c r="G521" t="str">
        <f t="shared" si="57"/>
        <v>Female</v>
      </c>
      <c r="H521" t="s">
        <v>3003</v>
      </c>
      <c r="I521" t="s">
        <v>3019</v>
      </c>
      <c r="K521" t="str">
        <f t="shared" si="58"/>
        <v>Employed</v>
      </c>
      <c r="L521">
        <v>19</v>
      </c>
      <c r="M521">
        <v>216035</v>
      </c>
      <c r="N521">
        <f t="shared" si="59"/>
        <v>216035</v>
      </c>
      <c r="O521">
        <v>240357</v>
      </c>
      <c r="P521">
        <v>25.02</v>
      </c>
      <c r="Q521">
        <v>36</v>
      </c>
      <c r="R521" t="s">
        <v>3049</v>
      </c>
      <c r="S521" t="str">
        <f t="shared" si="60"/>
        <v>Business</v>
      </c>
      <c r="T521">
        <v>616</v>
      </c>
      <c r="U521">
        <f t="shared" si="61"/>
        <v>616</v>
      </c>
      <c r="V521">
        <v>2</v>
      </c>
      <c r="W521" t="s">
        <v>3053</v>
      </c>
      <c r="X521" s="3" t="s">
        <v>3522</v>
      </c>
      <c r="Y521" s="3">
        <f t="shared" si="62"/>
        <v>44418</v>
      </c>
      <c r="Z521">
        <v>1.1126</v>
      </c>
    </row>
    <row r="522" spans="1:26" x14ac:dyDescent="0.35">
      <c r="A522" t="s">
        <v>535</v>
      </c>
      <c r="B522" t="str">
        <f t="shared" si="56"/>
        <v>OK</v>
      </c>
      <c r="C522" t="s">
        <v>2026</v>
      </c>
      <c r="D522" s="2">
        <v>49</v>
      </c>
      <c r="E522">
        <f>IF(OR(D522&lt;18, D522&gt;100),AD521,D522)</f>
        <v>49</v>
      </c>
      <c r="F522" t="s">
        <v>2992</v>
      </c>
      <c r="G522" t="str">
        <f t="shared" si="57"/>
        <v>Female</v>
      </c>
      <c r="H522" t="s">
        <v>3012</v>
      </c>
      <c r="I522" t="s">
        <v>3020</v>
      </c>
      <c r="K522" t="str">
        <f t="shared" si="58"/>
        <v>Self-Employed</v>
      </c>
      <c r="L522">
        <v>18</v>
      </c>
      <c r="M522">
        <v>2202234</v>
      </c>
      <c r="N522">
        <f t="shared" si="59"/>
        <v>2202234</v>
      </c>
      <c r="O522">
        <v>693647</v>
      </c>
      <c r="P522">
        <v>14.54</v>
      </c>
      <c r="Q522">
        <v>60</v>
      </c>
      <c r="S522" t="str">
        <f t="shared" si="60"/>
        <v>Unknown</v>
      </c>
      <c r="T522">
        <v>342</v>
      </c>
      <c r="U522">
        <f t="shared" si="61"/>
        <v>342</v>
      </c>
      <c r="V522">
        <v>4</v>
      </c>
      <c r="W522" t="s">
        <v>3055</v>
      </c>
      <c r="X522" s="3" t="s">
        <v>3523</v>
      </c>
      <c r="Y522" s="3">
        <f t="shared" si="62"/>
        <v>45099</v>
      </c>
      <c r="Z522">
        <v>0.315</v>
      </c>
    </row>
    <row r="523" spans="1:26" x14ac:dyDescent="0.35">
      <c r="A523" t="s">
        <v>536</v>
      </c>
      <c r="B523" t="str">
        <f t="shared" si="56"/>
        <v>OK</v>
      </c>
      <c r="C523" t="s">
        <v>2027</v>
      </c>
      <c r="D523" s="2">
        <v>56</v>
      </c>
      <c r="E523">
        <f>IF(OR(D523&lt;18, D523&gt;100),AD522,D523)</f>
        <v>56</v>
      </c>
      <c r="F523" t="s">
        <v>2990</v>
      </c>
      <c r="G523" t="str">
        <f t="shared" si="57"/>
        <v>Male</v>
      </c>
      <c r="H523" t="s">
        <v>3001</v>
      </c>
      <c r="I523" t="s">
        <v>3020</v>
      </c>
      <c r="K523" t="str">
        <f t="shared" si="58"/>
        <v>Self-Employed</v>
      </c>
      <c r="L523">
        <v>12</v>
      </c>
      <c r="M523">
        <v>211852</v>
      </c>
      <c r="N523">
        <f t="shared" si="59"/>
        <v>211852</v>
      </c>
      <c r="O523">
        <v>545005</v>
      </c>
      <c r="P523">
        <v>26.91</v>
      </c>
      <c r="Q523">
        <v>36</v>
      </c>
      <c r="R523" t="s">
        <v>3051</v>
      </c>
      <c r="S523" t="str">
        <f t="shared" si="60"/>
        <v>Education</v>
      </c>
      <c r="T523">
        <v>456</v>
      </c>
      <c r="U523">
        <f t="shared" si="61"/>
        <v>456</v>
      </c>
      <c r="V523">
        <v>7</v>
      </c>
      <c r="W523" t="s">
        <v>3056</v>
      </c>
      <c r="X523" s="3" t="s">
        <v>3524</v>
      </c>
      <c r="Y523" s="3">
        <f t="shared" si="62"/>
        <v>43913</v>
      </c>
      <c r="Z523">
        <v>2.5726</v>
      </c>
    </row>
    <row r="524" spans="1:26" x14ac:dyDescent="0.35">
      <c r="A524" t="s">
        <v>537</v>
      </c>
      <c r="B524" t="str">
        <f t="shared" si="56"/>
        <v>OK</v>
      </c>
      <c r="C524" t="s">
        <v>2028</v>
      </c>
      <c r="D524" s="2">
        <v>41</v>
      </c>
      <c r="E524">
        <f>IF(OR(D524&lt;18, D524&gt;100),AD523,D524)</f>
        <v>41</v>
      </c>
      <c r="F524" t="s">
        <v>2990</v>
      </c>
      <c r="G524" t="str">
        <f t="shared" si="57"/>
        <v>Male</v>
      </c>
      <c r="H524" t="s">
        <v>3004</v>
      </c>
      <c r="I524" t="s">
        <v>3019</v>
      </c>
      <c r="K524" t="str">
        <f t="shared" si="58"/>
        <v>Employed</v>
      </c>
      <c r="L524">
        <v>27</v>
      </c>
      <c r="M524">
        <v>1254135</v>
      </c>
      <c r="N524">
        <f t="shared" si="59"/>
        <v>1254135</v>
      </c>
      <c r="O524">
        <v>502616</v>
      </c>
      <c r="P524">
        <v>11.71</v>
      </c>
      <c r="Q524">
        <v>36</v>
      </c>
      <c r="R524" t="s">
        <v>3051</v>
      </c>
      <c r="S524" t="str">
        <f t="shared" si="60"/>
        <v>Education</v>
      </c>
      <c r="T524">
        <v>743</v>
      </c>
      <c r="U524">
        <f t="shared" si="61"/>
        <v>743</v>
      </c>
      <c r="V524">
        <v>2</v>
      </c>
      <c r="W524" t="s">
        <v>3054</v>
      </c>
      <c r="X524" s="3" t="s">
        <v>3525</v>
      </c>
      <c r="Y524" s="3">
        <f t="shared" si="62"/>
        <v>44288</v>
      </c>
      <c r="Z524">
        <v>0.40079999999999999</v>
      </c>
    </row>
    <row r="525" spans="1:26" x14ac:dyDescent="0.35">
      <c r="A525" t="s">
        <v>538</v>
      </c>
      <c r="B525" t="str">
        <f t="shared" si="56"/>
        <v>OK</v>
      </c>
      <c r="C525" t="s">
        <v>2029</v>
      </c>
      <c r="D525" s="2">
        <v>32</v>
      </c>
      <c r="E525">
        <f>IF(OR(D525&lt;18, D525&gt;100),AD524,D525)</f>
        <v>32</v>
      </c>
      <c r="F525" t="s">
        <v>2990</v>
      </c>
      <c r="G525" t="str">
        <f t="shared" si="57"/>
        <v>Male</v>
      </c>
      <c r="H525" t="s">
        <v>3002</v>
      </c>
      <c r="I525" t="s">
        <v>3018</v>
      </c>
      <c r="K525" t="str">
        <f t="shared" si="58"/>
        <v>Business Owner</v>
      </c>
      <c r="L525">
        <v>16</v>
      </c>
      <c r="M525">
        <v>1224327</v>
      </c>
      <c r="N525">
        <f t="shared" si="59"/>
        <v>1224327</v>
      </c>
      <c r="O525">
        <v>384986</v>
      </c>
      <c r="P525">
        <v>20.67</v>
      </c>
      <c r="Q525">
        <v>60</v>
      </c>
      <c r="S525" t="str">
        <f t="shared" si="60"/>
        <v>Unknown</v>
      </c>
      <c r="T525">
        <v>405</v>
      </c>
      <c r="U525">
        <f t="shared" si="61"/>
        <v>405</v>
      </c>
      <c r="V525">
        <v>5</v>
      </c>
      <c r="W525" t="s">
        <v>3057</v>
      </c>
      <c r="X525" s="3" t="s">
        <v>3526</v>
      </c>
      <c r="Y525" s="3">
        <f t="shared" si="62"/>
        <v>44446</v>
      </c>
      <c r="Z525">
        <v>0.31440000000000001</v>
      </c>
    </row>
    <row r="526" spans="1:26" x14ac:dyDescent="0.35">
      <c r="A526" t="s">
        <v>539</v>
      </c>
      <c r="B526" t="str">
        <f t="shared" si="56"/>
        <v>OK</v>
      </c>
      <c r="C526" t="s">
        <v>2030</v>
      </c>
      <c r="D526" s="2">
        <v>60</v>
      </c>
      <c r="E526">
        <f>IF(OR(D526&lt;18, D526&gt;100),AD525,D526)</f>
        <v>60</v>
      </c>
      <c r="F526" t="s">
        <v>2992</v>
      </c>
      <c r="G526" t="str">
        <f t="shared" si="57"/>
        <v>Female</v>
      </c>
      <c r="H526" t="s">
        <v>3003</v>
      </c>
      <c r="I526" t="s">
        <v>3020</v>
      </c>
      <c r="K526" t="str">
        <f t="shared" si="58"/>
        <v>Self-Employed</v>
      </c>
      <c r="L526">
        <v>18</v>
      </c>
      <c r="M526">
        <v>928013</v>
      </c>
      <c r="N526">
        <f t="shared" si="59"/>
        <v>928013</v>
      </c>
      <c r="O526">
        <v>477719</v>
      </c>
      <c r="P526">
        <v>25.91</v>
      </c>
      <c r="Q526">
        <v>24</v>
      </c>
      <c r="S526" t="str">
        <f t="shared" si="60"/>
        <v>Unknown</v>
      </c>
      <c r="T526">
        <v>381</v>
      </c>
      <c r="U526">
        <f t="shared" si="61"/>
        <v>381</v>
      </c>
      <c r="V526">
        <v>1</v>
      </c>
      <c r="W526" t="s">
        <v>3057</v>
      </c>
      <c r="X526" s="3" t="s">
        <v>3527</v>
      </c>
      <c r="Y526" s="3">
        <f t="shared" si="62"/>
        <v>43838</v>
      </c>
      <c r="Z526">
        <v>0.51480000000000004</v>
      </c>
    </row>
    <row r="527" spans="1:26" x14ac:dyDescent="0.35">
      <c r="A527" t="s">
        <v>201</v>
      </c>
      <c r="B527" t="str">
        <f t="shared" si="56"/>
        <v>OK</v>
      </c>
      <c r="C527" t="s">
        <v>1692</v>
      </c>
      <c r="D527" s="2">
        <v>42</v>
      </c>
      <c r="E527">
        <f>IF(OR(D527&lt;18, D527&gt;100),AD526,D527)</f>
        <v>42</v>
      </c>
      <c r="F527" t="s">
        <v>2990</v>
      </c>
      <c r="G527" t="str">
        <f t="shared" si="57"/>
        <v>Male</v>
      </c>
      <c r="H527" t="s">
        <v>3005</v>
      </c>
      <c r="K527" t="str">
        <f t="shared" si="58"/>
        <v>Unknown</v>
      </c>
      <c r="L527">
        <v>20</v>
      </c>
      <c r="M527">
        <v>1365111</v>
      </c>
      <c r="N527">
        <f t="shared" si="59"/>
        <v>1365111</v>
      </c>
      <c r="O527">
        <v>343258</v>
      </c>
      <c r="P527">
        <v>11.2</v>
      </c>
      <c r="Q527">
        <v>12</v>
      </c>
      <c r="R527" t="s">
        <v>3049</v>
      </c>
      <c r="S527" t="str">
        <f t="shared" si="60"/>
        <v>Business</v>
      </c>
      <c r="T527">
        <v>716</v>
      </c>
      <c r="U527">
        <f t="shared" si="61"/>
        <v>716</v>
      </c>
      <c r="V527">
        <v>3</v>
      </c>
      <c r="W527" t="s">
        <v>3052</v>
      </c>
      <c r="X527" s="3" t="s">
        <v>3240</v>
      </c>
      <c r="Y527" s="3">
        <f t="shared" si="62"/>
        <v>45252</v>
      </c>
      <c r="Z527">
        <v>0.2515</v>
      </c>
    </row>
    <row r="528" spans="1:26" x14ac:dyDescent="0.35">
      <c r="A528" t="s">
        <v>540</v>
      </c>
      <c r="B528" t="str">
        <f t="shared" si="56"/>
        <v>OK</v>
      </c>
      <c r="C528" t="s">
        <v>2031</v>
      </c>
      <c r="D528" s="2">
        <v>28</v>
      </c>
      <c r="E528">
        <f>IF(OR(D528&lt;18, D528&gt;100),AD527,D528)</f>
        <v>28</v>
      </c>
      <c r="F528" t="s">
        <v>2992</v>
      </c>
      <c r="G528" t="str">
        <f t="shared" si="57"/>
        <v>Female</v>
      </c>
      <c r="H528" t="s">
        <v>3002</v>
      </c>
      <c r="I528" t="s">
        <v>3018</v>
      </c>
      <c r="K528" t="str">
        <f t="shared" si="58"/>
        <v>Business Owner</v>
      </c>
      <c r="L528">
        <v>12</v>
      </c>
      <c r="M528">
        <v>336498</v>
      </c>
      <c r="N528">
        <f t="shared" si="59"/>
        <v>336498</v>
      </c>
      <c r="O528">
        <v>702773</v>
      </c>
      <c r="P528">
        <v>14.13</v>
      </c>
      <c r="Q528">
        <v>60</v>
      </c>
      <c r="R528" t="s">
        <v>3050</v>
      </c>
      <c r="S528" t="str">
        <f t="shared" si="60"/>
        <v>Agriculture</v>
      </c>
      <c r="T528">
        <v>350</v>
      </c>
      <c r="U528">
        <f t="shared" si="61"/>
        <v>350</v>
      </c>
      <c r="V528">
        <v>6</v>
      </c>
      <c r="W528" t="s">
        <v>3055</v>
      </c>
      <c r="X528" s="3" t="s">
        <v>3528</v>
      </c>
      <c r="Y528" s="3">
        <f t="shared" si="62"/>
        <v>44984</v>
      </c>
      <c r="Z528">
        <v>2.0884999999999998</v>
      </c>
    </row>
    <row r="529" spans="1:26" x14ac:dyDescent="0.35">
      <c r="A529" t="s">
        <v>541</v>
      </c>
      <c r="B529" t="str">
        <f t="shared" si="56"/>
        <v>OK</v>
      </c>
      <c r="C529" t="s">
        <v>2032</v>
      </c>
      <c r="D529" s="2">
        <v>56</v>
      </c>
      <c r="E529">
        <f>IF(OR(D529&lt;18, D529&gt;100),AD528,D529)</f>
        <v>56</v>
      </c>
      <c r="F529" t="s">
        <v>2990</v>
      </c>
      <c r="G529" t="str">
        <f t="shared" si="57"/>
        <v>Male</v>
      </c>
      <c r="H529" t="s">
        <v>3003</v>
      </c>
      <c r="I529" t="s">
        <v>3019</v>
      </c>
      <c r="K529" t="str">
        <f t="shared" si="58"/>
        <v>Employed</v>
      </c>
      <c r="L529">
        <v>18</v>
      </c>
      <c r="M529">
        <v>1558369</v>
      </c>
      <c r="N529">
        <f t="shared" si="59"/>
        <v>1558369</v>
      </c>
      <c r="O529">
        <v>372414</v>
      </c>
      <c r="P529">
        <v>9.4</v>
      </c>
      <c r="Q529">
        <v>12</v>
      </c>
      <c r="R529" t="s">
        <v>3050</v>
      </c>
      <c r="S529" t="str">
        <f t="shared" si="60"/>
        <v>Agriculture</v>
      </c>
      <c r="T529">
        <v>328</v>
      </c>
      <c r="U529">
        <f t="shared" si="61"/>
        <v>328</v>
      </c>
      <c r="V529">
        <v>2</v>
      </c>
      <c r="W529" t="s">
        <v>3056</v>
      </c>
      <c r="X529" s="3" t="s">
        <v>3529</v>
      </c>
      <c r="Y529" s="3">
        <f t="shared" si="62"/>
        <v>44340</v>
      </c>
      <c r="Z529">
        <v>0.23899999999999999</v>
      </c>
    </row>
    <row r="530" spans="1:26" x14ac:dyDescent="0.35">
      <c r="A530" t="s">
        <v>542</v>
      </c>
      <c r="B530" t="str">
        <f t="shared" si="56"/>
        <v>OK</v>
      </c>
      <c r="C530" t="s">
        <v>2033</v>
      </c>
      <c r="D530" s="2">
        <v>62</v>
      </c>
      <c r="E530">
        <f>IF(OR(D530&lt;18, D530&gt;100),AD529,D530)</f>
        <v>62</v>
      </c>
      <c r="F530" t="s">
        <v>2992</v>
      </c>
      <c r="G530" t="str">
        <f t="shared" si="57"/>
        <v>Female</v>
      </c>
      <c r="H530" t="s">
        <v>3003</v>
      </c>
      <c r="I530" t="s">
        <v>3021</v>
      </c>
      <c r="K530" t="str">
        <f t="shared" si="58"/>
        <v>Unemployed</v>
      </c>
      <c r="L530">
        <v>28</v>
      </c>
      <c r="M530">
        <v>1666205</v>
      </c>
      <c r="N530">
        <f t="shared" si="59"/>
        <v>1666205</v>
      </c>
      <c r="O530">
        <v>173077</v>
      </c>
      <c r="P530">
        <v>13.31</v>
      </c>
      <c r="Q530">
        <v>24</v>
      </c>
      <c r="R530" t="s">
        <v>3050</v>
      </c>
      <c r="S530" t="str">
        <f t="shared" si="60"/>
        <v>Agriculture</v>
      </c>
      <c r="T530">
        <v>714</v>
      </c>
      <c r="U530">
        <f t="shared" si="61"/>
        <v>714</v>
      </c>
      <c r="V530">
        <v>4</v>
      </c>
      <c r="W530" t="s">
        <v>3053</v>
      </c>
      <c r="X530" s="3" t="s">
        <v>3530</v>
      </c>
      <c r="Y530" s="3">
        <f t="shared" si="62"/>
        <v>43896</v>
      </c>
      <c r="Z530">
        <v>0.10390000000000001</v>
      </c>
    </row>
    <row r="531" spans="1:26" x14ac:dyDescent="0.35">
      <c r="A531" t="s">
        <v>543</v>
      </c>
      <c r="B531" t="str">
        <f t="shared" si="56"/>
        <v>OK</v>
      </c>
      <c r="C531" t="s">
        <v>2034</v>
      </c>
      <c r="D531" s="2">
        <v>40</v>
      </c>
      <c r="E531">
        <f>IF(OR(D531&lt;18, D531&gt;100),AD530,D531)</f>
        <v>40</v>
      </c>
      <c r="F531" t="s">
        <v>2990</v>
      </c>
      <c r="G531" t="str">
        <f t="shared" si="57"/>
        <v>Male</v>
      </c>
      <c r="H531" t="s">
        <v>3000</v>
      </c>
      <c r="I531" t="s">
        <v>3021</v>
      </c>
      <c r="K531" t="str">
        <f t="shared" si="58"/>
        <v>Unemployed</v>
      </c>
      <c r="L531">
        <v>3</v>
      </c>
      <c r="M531">
        <v>332999</v>
      </c>
      <c r="N531">
        <f t="shared" si="59"/>
        <v>332999</v>
      </c>
      <c r="O531">
        <v>390416</v>
      </c>
      <c r="P531">
        <v>11.14</v>
      </c>
      <c r="Q531">
        <v>36</v>
      </c>
      <c r="R531" t="s">
        <v>3046</v>
      </c>
      <c r="S531" t="str">
        <f t="shared" si="60"/>
        <v>Medical</v>
      </c>
      <c r="T531">
        <v>704</v>
      </c>
      <c r="U531">
        <f t="shared" si="61"/>
        <v>704</v>
      </c>
      <c r="V531">
        <v>3</v>
      </c>
      <c r="W531" t="s">
        <v>3062</v>
      </c>
      <c r="X531" s="3" t="s">
        <v>3318</v>
      </c>
      <c r="Y531" s="3">
        <f t="shared" si="62"/>
        <v>44929</v>
      </c>
      <c r="Z531">
        <v>1.1724000000000001</v>
      </c>
    </row>
    <row r="532" spans="1:26" x14ac:dyDescent="0.35">
      <c r="A532" t="s">
        <v>544</v>
      </c>
      <c r="B532" t="str">
        <f t="shared" si="56"/>
        <v>OK</v>
      </c>
      <c r="C532" t="s">
        <v>2035</v>
      </c>
      <c r="D532" s="2">
        <v>44</v>
      </c>
      <c r="E532">
        <f>IF(OR(D532&lt;18, D532&gt;100),AD531,D532)</f>
        <v>44</v>
      </c>
      <c r="F532" t="s">
        <v>2992</v>
      </c>
      <c r="G532" t="str">
        <f t="shared" si="57"/>
        <v>Female</v>
      </c>
      <c r="H532" t="s">
        <v>3006</v>
      </c>
      <c r="I532" t="s">
        <v>3020</v>
      </c>
      <c r="K532" t="str">
        <f t="shared" si="58"/>
        <v>Self-Employed</v>
      </c>
      <c r="L532">
        <v>27</v>
      </c>
      <c r="M532">
        <v>941985</v>
      </c>
      <c r="N532">
        <f t="shared" si="59"/>
        <v>941985</v>
      </c>
      <c r="O532">
        <v>568277</v>
      </c>
      <c r="P532">
        <v>16.260000000000002</v>
      </c>
      <c r="Q532">
        <v>24</v>
      </c>
      <c r="R532" t="s">
        <v>3047</v>
      </c>
      <c r="S532" t="str">
        <f t="shared" si="60"/>
        <v>Personal</v>
      </c>
      <c r="T532">
        <v>374</v>
      </c>
      <c r="U532">
        <f t="shared" si="61"/>
        <v>374</v>
      </c>
      <c r="V532">
        <v>2</v>
      </c>
      <c r="W532" t="s">
        <v>3057</v>
      </c>
      <c r="X532" s="3" t="s">
        <v>3136</v>
      </c>
      <c r="Y532" s="3">
        <f t="shared" si="62"/>
        <v>44655</v>
      </c>
      <c r="Z532">
        <v>0.60329999999999995</v>
      </c>
    </row>
    <row r="533" spans="1:26" x14ac:dyDescent="0.35">
      <c r="A533" t="s">
        <v>545</v>
      </c>
      <c r="B533" t="str">
        <f t="shared" si="56"/>
        <v>OK</v>
      </c>
      <c r="C533" t="s">
        <v>2036</v>
      </c>
      <c r="D533" s="2">
        <v>60</v>
      </c>
      <c r="E533">
        <f>IF(OR(D533&lt;18, D533&gt;100),AD532,D533)</f>
        <v>60</v>
      </c>
      <c r="F533" t="s">
        <v>2992</v>
      </c>
      <c r="G533" t="str">
        <f t="shared" si="57"/>
        <v>Female</v>
      </c>
      <c r="H533" t="s">
        <v>3003</v>
      </c>
      <c r="I533" t="s">
        <v>3020</v>
      </c>
      <c r="K533" t="str">
        <f t="shared" si="58"/>
        <v>Self-Employed</v>
      </c>
      <c r="L533">
        <v>27</v>
      </c>
      <c r="M533">
        <v>2094142</v>
      </c>
      <c r="N533">
        <f t="shared" si="59"/>
        <v>2094142</v>
      </c>
      <c r="O533">
        <v>622248</v>
      </c>
      <c r="P533">
        <v>8.4700000000000006</v>
      </c>
      <c r="Q533">
        <v>12</v>
      </c>
      <c r="R533" t="s">
        <v>3050</v>
      </c>
      <c r="S533" t="str">
        <f t="shared" si="60"/>
        <v>Agriculture</v>
      </c>
      <c r="T533">
        <v>629</v>
      </c>
      <c r="U533">
        <f t="shared" si="61"/>
        <v>629</v>
      </c>
      <c r="V533">
        <v>1</v>
      </c>
      <c r="W533" t="s">
        <v>3052</v>
      </c>
      <c r="X533" s="3" t="s">
        <v>3531</v>
      </c>
      <c r="Y533" s="3">
        <f t="shared" si="62"/>
        <v>44249</v>
      </c>
      <c r="Z533">
        <v>0.29709999999999998</v>
      </c>
    </row>
    <row r="534" spans="1:26" x14ac:dyDescent="0.35">
      <c r="A534" t="s">
        <v>546</v>
      </c>
      <c r="B534" t="str">
        <f t="shared" si="56"/>
        <v>OK</v>
      </c>
      <c r="C534" t="s">
        <v>2038</v>
      </c>
      <c r="D534" s="2">
        <v>25</v>
      </c>
      <c r="E534">
        <f>IF(OR(D534&lt;18, D534&gt;100),AD533,D534)</f>
        <v>25</v>
      </c>
      <c r="F534" t="s">
        <v>2996</v>
      </c>
      <c r="G534" t="str">
        <f t="shared" si="57"/>
        <v>Female</v>
      </c>
      <c r="H534" t="s">
        <v>3000</v>
      </c>
      <c r="I534" t="s">
        <v>3020</v>
      </c>
      <c r="K534" t="str">
        <f t="shared" si="58"/>
        <v>Self-Employed</v>
      </c>
      <c r="L534">
        <v>4</v>
      </c>
      <c r="M534">
        <v>1043403</v>
      </c>
      <c r="N534">
        <f t="shared" si="59"/>
        <v>1043403</v>
      </c>
      <c r="O534">
        <v>284064</v>
      </c>
      <c r="P534">
        <v>18.47</v>
      </c>
      <c r="Q534">
        <v>24</v>
      </c>
      <c r="R534" t="s">
        <v>3049</v>
      </c>
      <c r="S534" t="str">
        <f t="shared" si="60"/>
        <v>Business</v>
      </c>
      <c r="T534">
        <v>637</v>
      </c>
      <c r="U534">
        <f t="shared" si="61"/>
        <v>637</v>
      </c>
      <c r="V534">
        <v>4</v>
      </c>
      <c r="W534" t="s">
        <v>3059</v>
      </c>
      <c r="X534" s="3" t="s">
        <v>3215</v>
      </c>
      <c r="Y534" s="3">
        <f t="shared" si="62"/>
        <v>43883</v>
      </c>
      <c r="Z534">
        <v>0.2722</v>
      </c>
    </row>
    <row r="535" spans="1:26" x14ac:dyDescent="0.35">
      <c r="A535" t="s">
        <v>547</v>
      </c>
      <c r="B535" t="str">
        <f t="shared" si="56"/>
        <v>OK</v>
      </c>
      <c r="C535" t="s">
        <v>2039</v>
      </c>
      <c r="D535" s="2">
        <v>34</v>
      </c>
      <c r="E535">
        <f>IF(OR(D535&lt;18, D535&gt;100),AD534,D535)</f>
        <v>34</v>
      </c>
      <c r="F535" t="s">
        <v>2992</v>
      </c>
      <c r="G535" t="str">
        <f t="shared" si="57"/>
        <v>Female</v>
      </c>
      <c r="H535" t="s">
        <v>3003</v>
      </c>
      <c r="I535" t="s">
        <v>3019</v>
      </c>
      <c r="K535" t="str">
        <f t="shared" si="58"/>
        <v>Employed</v>
      </c>
      <c r="L535">
        <v>0</v>
      </c>
      <c r="M535">
        <v>963066</v>
      </c>
      <c r="N535">
        <f t="shared" si="59"/>
        <v>963066</v>
      </c>
      <c r="O535">
        <v>153296</v>
      </c>
      <c r="P535">
        <v>11.21</v>
      </c>
      <c r="Q535">
        <v>48</v>
      </c>
      <c r="R535" t="s">
        <v>3049</v>
      </c>
      <c r="S535" t="str">
        <f t="shared" si="60"/>
        <v>Business</v>
      </c>
      <c r="T535">
        <v>659</v>
      </c>
      <c r="U535">
        <f t="shared" si="61"/>
        <v>659</v>
      </c>
      <c r="V535">
        <v>7</v>
      </c>
      <c r="W535" t="s">
        <v>3057</v>
      </c>
      <c r="X535" s="3" t="s">
        <v>3103</v>
      </c>
      <c r="Y535" s="3">
        <f t="shared" si="62"/>
        <v>44609</v>
      </c>
      <c r="Z535">
        <v>0.15920000000000001</v>
      </c>
    </row>
    <row r="536" spans="1:26" x14ac:dyDescent="0.35">
      <c r="A536" t="s">
        <v>548</v>
      </c>
      <c r="B536" t="str">
        <f t="shared" si="56"/>
        <v>OK</v>
      </c>
      <c r="C536" t="s">
        <v>2040</v>
      </c>
      <c r="D536" s="2">
        <v>150</v>
      </c>
      <c r="E536">
        <f>IF(OR(D536&lt;18, D536&gt;100),AD535,D536)</f>
        <v>0</v>
      </c>
      <c r="F536" t="s">
        <v>2990</v>
      </c>
      <c r="G536" t="str">
        <f t="shared" si="57"/>
        <v>Male</v>
      </c>
      <c r="H536" t="s">
        <v>3005</v>
      </c>
      <c r="I536" t="s">
        <v>3018</v>
      </c>
      <c r="K536" t="str">
        <f t="shared" si="58"/>
        <v>Business Owner</v>
      </c>
      <c r="L536">
        <v>21</v>
      </c>
      <c r="M536">
        <v>375246</v>
      </c>
      <c r="N536">
        <f t="shared" si="59"/>
        <v>375246</v>
      </c>
      <c r="O536">
        <v>373646</v>
      </c>
      <c r="P536">
        <v>13.06</v>
      </c>
      <c r="Q536">
        <v>48</v>
      </c>
      <c r="R536" t="s">
        <v>3048</v>
      </c>
      <c r="S536" t="str">
        <f t="shared" si="60"/>
        <v>Home Improvement</v>
      </c>
      <c r="T536">
        <v>404</v>
      </c>
      <c r="U536">
        <f t="shared" si="61"/>
        <v>404</v>
      </c>
      <c r="V536">
        <v>3</v>
      </c>
      <c r="W536" t="s">
        <v>3053</v>
      </c>
      <c r="X536" s="3" t="s">
        <v>3533</v>
      </c>
      <c r="Y536" s="3">
        <v>44674</v>
      </c>
      <c r="Z536">
        <v>0.99570000000000003</v>
      </c>
    </row>
    <row r="537" spans="1:26" x14ac:dyDescent="0.35">
      <c r="A537" t="s">
        <v>549</v>
      </c>
      <c r="B537" t="str">
        <f t="shared" si="56"/>
        <v>OK</v>
      </c>
      <c r="C537" t="s">
        <v>2041</v>
      </c>
      <c r="D537" s="2">
        <v>46</v>
      </c>
      <c r="E537">
        <f>IF(OR(D537&lt;18, D537&gt;100),AD536,D537)</f>
        <v>46</v>
      </c>
      <c r="F537" t="s">
        <v>2992</v>
      </c>
      <c r="G537" t="str">
        <f t="shared" si="57"/>
        <v>Female</v>
      </c>
      <c r="H537" t="s">
        <v>3003</v>
      </c>
      <c r="I537" t="s">
        <v>3019</v>
      </c>
      <c r="K537" t="str">
        <f t="shared" si="58"/>
        <v>Employed</v>
      </c>
      <c r="L537">
        <v>26</v>
      </c>
      <c r="M537">
        <v>858250</v>
      </c>
      <c r="N537">
        <f t="shared" si="59"/>
        <v>858250</v>
      </c>
      <c r="O537">
        <v>340752</v>
      </c>
      <c r="P537">
        <v>17.329999999999998</v>
      </c>
      <c r="Q537">
        <v>36</v>
      </c>
      <c r="R537" t="s">
        <v>3046</v>
      </c>
      <c r="S537" t="str">
        <f t="shared" si="60"/>
        <v>Medical</v>
      </c>
      <c r="T537">
        <v>743</v>
      </c>
      <c r="U537">
        <f t="shared" si="61"/>
        <v>743</v>
      </c>
      <c r="V537">
        <v>5</v>
      </c>
      <c r="W537" t="s">
        <v>3057</v>
      </c>
      <c r="X537" s="3" t="s">
        <v>3125</v>
      </c>
      <c r="Y537" s="3">
        <f t="shared" si="62"/>
        <v>45067</v>
      </c>
      <c r="Z537">
        <v>0.39700000000000002</v>
      </c>
    </row>
    <row r="538" spans="1:26" x14ac:dyDescent="0.35">
      <c r="A538" t="s">
        <v>550</v>
      </c>
      <c r="B538" t="str">
        <f t="shared" si="56"/>
        <v>OK</v>
      </c>
      <c r="C538" t="s">
        <v>2042</v>
      </c>
      <c r="D538" s="2">
        <v>43</v>
      </c>
      <c r="E538">
        <f>IF(OR(D538&lt;18, D538&gt;100),AD537,D538)</f>
        <v>43</v>
      </c>
      <c r="F538" t="s">
        <v>2990</v>
      </c>
      <c r="G538" t="str">
        <f t="shared" si="57"/>
        <v>Male</v>
      </c>
      <c r="H538" t="s">
        <v>3001</v>
      </c>
      <c r="I538" t="s">
        <v>3021</v>
      </c>
      <c r="K538" t="str">
        <f t="shared" si="58"/>
        <v>Unemployed</v>
      </c>
      <c r="L538">
        <v>0</v>
      </c>
      <c r="M538">
        <v>2267342</v>
      </c>
      <c r="N538">
        <f t="shared" si="59"/>
        <v>2267342</v>
      </c>
      <c r="O538">
        <v>106724</v>
      </c>
      <c r="P538">
        <v>23.27</v>
      </c>
      <c r="Q538">
        <v>12</v>
      </c>
      <c r="R538" t="s">
        <v>3048</v>
      </c>
      <c r="S538" t="str">
        <f t="shared" si="60"/>
        <v>Home Improvement</v>
      </c>
      <c r="T538">
        <v>748</v>
      </c>
      <c r="U538">
        <f t="shared" si="61"/>
        <v>748</v>
      </c>
      <c r="V538">
        <v>2</v>
      </c>
      <c r="W538" t="s">
        <v>3054</v>
      </c>
      <c r="X538" s="3" t="s">
        <v>3534</v>
      </c>
      <c r="Y538" s="3">
        <f t="shared" si="62"/>
        <v>45230</v>
      </c>
      <c r="Z538">
        <v>4.7100000000000003E-2</v>
      </c>
    </row>
    <row r="539" spans="1:26" x14ac:dyDescent="0.35">
      <c r="A539" t="s">
        <v>551</v>
      </c>
      <c r="B539" t="str">
        <f t="shared" si="56"/>
        <v>OK</v>
      </c>
      <c r="C539" t="s">
        <v>2043</v>
      </c>
      <c r="D539" s="2">
        <v>47</v>
      </c>
      <c r="E539">
        <f>IF(OR(D539&lt;18, D539&gt;100),AD538,D539)</f>
        <v>47</v>
      </c>
      <c r="F539" t="s">
        <v>2994</v>
      </c>
      <c r="G539" t="str">
        <f t="shared" si="57"/>
        <v>Female</v>
      </c>
      <c r="H539" t="s">
        <v>3004</v>
      </c>
      <c r="I539" t="s">
        <v>3019</v>
      </c>
      <c r="K539" t="str">
        <f t="shared" si="58"/>
        <v>Employed</v>
      </c>
      <c r="L539">
        <v>9</v>
      </c>
      <c r="M539">
        <v>1289004</v>
      </c>
      <c r="N539">
        <f t="shared" si="59"/>
        <v>1289004</v>
      </c>
      <c r="O539">
        <v>508765</v>
      </c>
      <c r="P539">
        <v>27.95</v>
      </c>
      <c r="Q539">
        <v>24</v>
      </c>
      <c r="R539" t="s">
        <v>3050</v>
      </c>
      <c r="S539" t="str">
        <f t="shared" si="60"/>
        <v>Agriculture</v>
      </c>
      <c r="T539">
        <v>538</v>
      </c>
      <c r="U539">
        <f t="shared" si="61"/>
        <v>538</v>
      </c>
      <c r="V539">
        <v>1</v>
      </c>
      <c r="W539" t="s">
        <v>3055</v>
      </c>
      <c r="X539" s="3" t="s">
        <v>3535</v>
      </c>
      <c r="Y539" s="3">
        <f t="shared" si="62"/>
        <v>44615</v>
      </c>
      <c r="Z539">
        <v>0.3947</v>
      </c>
    </row>
    <row r="540" spans="1:26" x14ac:dyDescent="0.35">
      <c r="A540" t="s">
        <v>552</v>
      </c>
      <c r="B540" t="str">
        <f t="shared" si="56"/>
        <v>OK</v>
      </c>
      <c r="C540" t="s">
        <v>2044</v>
      </c>
      <c r="D540" s="2">
        <v>52</v>
      </c>
      <c r="E540">
        <f>IF(OR(D540&lt;18, D540&gt;100),AD539,D540)</f>
        <v>52</v>
      </c>
      <c r="F540" t="s">
        <v>2990</v>
      </c>
      <c r="G540" t="str">
        <f t="shared" si="57"/>
        <v>Male</v>
      </c>
      <c r="H540" t="s">
        <v>3006</v>
      </c>
      <c r="I540" t="s">
        <v>3018</v>
      </c>
      <c r="K540" t="str">
        <f t="shared" si="58"/>
        <v>Business Owner</v>
      </c>
      <c r="L540">
        <v>25</v>
      </c>
      <c r="M540">
        <v>1834753</v>
      </c>
      <c r="N540">
        <f t="shared" si="59"/>
        <v>1834753</v>
      </c>
      <c r="O540">
        <v>126611</v>
      </c>
      <c r="P540">
        <v>17.850000000000001</v>
      </c>
      <c r="Q540">
        <v>48</v>
      </c>
      <c r="R540" t="s">
        <v>3048</v>
      </c>
      <c r="S540" t="str">
        <f t="shared" si="60"/>
        <v>Home Improvement</v>
      </c>
      <c r="T540">
        <v>502</v>
      </c>
      <c r="U540">
        <f t="shared" si="61"/>
        <v>502</v>
      </c>
      <c r="V540">
        <v>4</v>
      </c>
      <c r="W540" t="s">
        <v>3052</v>
      </c>
      <c r="X540" s="3" t="s">
        <v>3275</v>
      </c>
      <c r="Y540" s="3">
        <f t="shared" si="62"/>
        <v>44372</v>
      </c>
      <c r="Z540">
        <v>6.9000000000000006E-2</v>
      </c>
    </row>
    <row r="541" spans="1:26" x14ac:dyDescent="0.35">
      <c r="A541" t="s">
        <v>553</v>
      </c>
      <c r="B541" t="str">
        <f t="shared" si="56"/>
        <v>OK</v>
      </c>
      <c r="C541" t="s">
        <v>2045</v>
      </c>
      <c r="D541" s="2">
        <v>27</v>
      </c>
      <c r="E541">
        <f>IF(OR(D541&lt;18, D541&gt;100),AD540,D541)</f>
        <v>27</v>
      </c>
      <c r="F541" t="s">
        <v>2992</v>
      </c>
      <c r="G541" t="str">
        <f t="shared" si="57"/>
        <v>Female</v>
      </c>
      <c r="H541" t="s">
        <v>3006</v>
      </c>
      <c r="I541" t="s">
        <v>3018</v>
      </c>
      <c r="K541" t="str">
        <f t="shared" si="58"/>
        <v>Business Owner</v>
      </c>
      <c r="L541">
        <v>6</v>
      </c>
      <c r="M541">
        <v>-796529</v>
      </c>
      <c r="N541">
        <f t="shared" si="59"/>
        <v>1333224</v>
      </c>
      <c r="O541">
        <v>82551</v>
      </c>
      <c r="P541">
        <v>16.600000000000001</v>
      </c>
      <c r="Q541">
        <v>24</v>
      </c>
      <c r="R541" t="s">
        <v>3046</v>
      </c>
      <c r="S541" t="str">
        <f t="shared" si="60"/>
        <v>Medical</v>
      </c>
      <c r="T541">
        <v>496</v>
      </c>
      <c r="U541">
        <f t="shared" si="61"/>
        <v>496</v>
      </c>
      <c r="V541">
        <v>4</v>
      </c>
      <c r="W541" t="s">
        <v>3055</v>
      </c>
      <c r="X541" s="3" t="s">
        <v>3318</v>
      </c>
      <c r="Y541" s="3">
        <f t="shared" si="62"/>
        <v>44929</v>
      </c>
      <c r="Z541">
        <v>0.1036</v>
      </c>
    </row>
    <row r="542" spans="1:26" x14ac:dyDescent="0.35">
      <c r="A542" t="s">
        <v>554</v>
      </c>
      <c r="B542" t="str">
        <f t="shared" si="56"/>
        <v>OK</v>
      </c>
      <c r="C542" t="s">
        <v>2046</v>
      </c>
      <c r="D542" s="2">
        <v>48</v>
      </c>
      <c r="E542">
        <f>IF(OR(D542&lt;18, D542&gt;100),AD541,D542)</f>
        <v>48</v>
      </c>
      <c r="F542" t="s">
        <v>2992</v>
      </c>
      <c r="G542" t="str">
        <f t="shared" si="57"/>
        <v>Female</v>
      </c>
      <c r="H542" t="s">
        <v>3001</v>
      </c>
      <c r="I542" t="s">
        <v>3021</v>
      </c>
      <c r="K542" t="str">
        <f t="shared" si="58"/>
        <v>Unemployed</v>
      </c>
      <c r="L542">
        <v>1</v>
      </c>
      <c r="M542">
        <v>2179254</v>
      </c>
      <c r="N542">
        <f t="shared" si="59"/>
        <v>2179254</v>
      </c>
      <c r="O542">
        <v>132492</v>
      </c>
      <c r="P542">
        <v>13.36</v>
      </c>
      <c r="Q542">
        <v>12</v>
      </c>
      <c r="R542" t="s">
        <v>3051</v>
      </c>
      <c r="S542" t="str">
        <f t="shared" si="60"/>
        <v>Education</v>
      </c>
      <c r="T542">
        <v>364</v>
      </c>
      <c r="U542">
        <f t="shared" si="61"/>
        <v>364</v>
      </c>
      <c r="V542">
        <v>5</v>
      </c>
      <c r="W542" t="s">
        <v>3052</v>
      </c>
      <c r="X542" s="3" t="s">
        <v>3536</v>
      </c>
      <c r="Y542" s="3">
        <f t="shared" si="62"/>
        <v>45238</v>
      </c>
      <c r="Z542">
        <v>6.08E-2</v>
      </c>
    </row>
    <row r="543" spans="1:26" x14ac:dyDescent="0.35">
      <c r="A543" t="s">
        <v>555</v>
      </c>
      <c r="B543" t="str">
        <f t="shared" si="56"/>
        <v>OK</v>
      </c>
      <c r="C543" t="s">
        <v>2047</v>
      </c>
      <c r="D543" s="2">
        <v>53</v>
      </c>
      <c r="E543">
        <f>IF(OR(D543&lt;18, D543&gt;100),AD542,D543)</f>
        <v>53</v>
      </c>
      <c r="F543" t="s">
        <v>2990</v>
      </c>
      <c r="G543" t="str">
        <f t="shared" si="57"/>
        <v>Male</v>
      </c>
      <c r="H543" t="s">
        <v>3007</v>
      </c>
      <c r="I543" t="s">
        <v>3020</v>
      </c>
      <c r="K543" t="str">
        <f t="shared" si="58"/>
        <v>Self-Employed</v>
      </c>
      <c r="L543">
        <v>5</v>
      </c>
      <c r="M543">
        <v>2111342</v>
      </c>
      <c r="N543">
        <f t="shared" si="59"/>
        <v>2111342</v>
      </c>
      <c r="O543">
        <v>253612</v>
      </c>
      <c r="P543">
        <v>22.59</v>
      </c>
      <c r="Q543">
        <v>60</v>
      </c>
      <c r="R543" t="s">
        <v>3049</v>
      </c>
      <c r="S543" t="str">
        <f t="shared" si="60"/>
        <v>Business</v>
      </c>
      <c r="T543">
        <v>849</v>
      </c>
      <c r="U543">
        <f t="shared" si="61"/>
        <v>849</v>
      </c>
      <c r="V543">
        <v>6</v>
      </c>
      <c r="W543" t="s">
        <v>3055</v>
      </c>
      <c r="X543" s="3" t="s">
        <v>3536</v>
      </c>
      <c r="Y543" s="3">
        <f t="shared" si="62"/>
        <v>45238</v>
      </c>
      <c r="Z543">
        <v>0.1201</v>
      </c>
    </row>
    <row r="544" spans="1:26" x14ac:dyDescent="0.35">
      <c r="A544" t="s">
        <v>556</v>
      </c>
      <c r="B544" t="str">
        <f t="shared" si="56"/>
        <v>OK</v>
      </c>
      <c r="C544" t="s">
        <v>2048</v>
      </c>
      <c r="D544" s="2">
        <v>32</v>
      </c>
      <c r="E544">
        <f>IF(OR(D544&lt;18, D544&gt;100),AD543,D544)</f>
        <v>32</v>
      </c>
      <c r="F544" t="s">
        <v>2990</v>
      </c>
      <c r="G544" t="str">
        <f t="shared" si="57"/>
        <v>Male</v>
      </c>
      <c r="H544" t="s">
        <v>3000</v>
      </c>
      <c r="I544" t="s">
        <v>3018</v>
      </c>
      <c r="K544" t="str">
        <f t="shared" si="58"/>
        <v>Business Owner</v>
      </c>
      <c r="L544">
        <v>1</v>
      </c>
      <c r="M544">
        <v>1195416</v>
      </c>
      <c r="N544">
        <f t="shared" si="59"/>
        <v>1195416</v>
      </c>
      <c r="O544">
        <v>159784</v>
      </c>
      <c r="P544">
        <v>22.58</v>
      </c>
      <c r="Q544">
        <v>48</v>
      </c>
      <c r="R544" t="s">
        <v>3047</v>
      </c>
      <c r="S544" t="str">
        <f t="shared" si="60"/>
        <v>Personal</v>
      </c>
      <c r="T544">
        <v>487</v>
      </c>
      <c r="U544">
        <f t="shared" si="61"/>
        <v>487</v>
      </c>
      <c r="V544">
        <v>5</v>
      </c>
      <c r="W544" t="s">
        <v>3052</v>
      </c>
      <c r="X544" s="3" t="s">
        <v>3292</v>
      </c>
      <c r="Y544" s="3">
        <f t="shared" si="62"/>
        <v>45196</v>
      </c>
      <c r="Z544">
        <v>0.13370000000000001</v>
      </c>
    </row>
    <row r="545" spans="1:26" x14ac:dyDescent="0.35">
      <c r="A545" t="s">
        <v>557</v>
      </c>
      <c r="B545" t="str">
        <f t="shared" si="56"/>
        <v>OK</v>
      </c>
      <c r="C545" t="s">
        <v>2049</v>
      </c>
      <c r="D545" s="2">
        <v>28</v>
      </c>
      <c r="E545">
        <f>IF(OR(D545&lt;18, D545&gt;100),AD544,D545)</f>
        <v>28</v>
      </c>
      <c r="F545" t="s">
        <v>2990</v>
      </c>
      <c r="G545" t="str">
        <f t="shared" si="57"/>
        <v>Male</v>
      </c>
      <c r="H545" t="s">
        <v>3000</v>
      </c>
      <c r="I545" t="s">
        <v>3018</v>
      </c>
      <c r="K545" t="str">
        <f t="shared" si="58"/>
        <v>Business Owner</v>
      </c>
      <c r="L545">
        <v>8</v>
      </c>
      <c r="M545">
        <v>785409</v>
      </c>
      <c r="N545">
        <f t="shared" si="59"/>
        <v>785409</v>
      </c>
      <c r="O545">
        <v>474418</v>
      </c>
      <c r="P545">
        <v>19.420000000000002</v>
      </c>
      <c r="Q545">
        <v>48</v>
      </c>
      <c r="R545" t="s">
        <v>3049</v>
      </c>
      <c r="S545" t="str">
        <f t="shared" si="60"/>
        <v>Business</v>
      </c>
      <c r="T545">
        <v>482</v>
      </c>
      <c r="U545">
        <f t="shared" si="61"/>
        <v>482</v>
      </c>
      <c r="V545">
        <v>2</v>
      </c>
      <c r="W545" t="s">
        <v>3055</v>
      </c>
      <c r="X545" s="3" t="s">
        <v>3537</v>
      </c>
      <c r="Y545" s="3">
        <f t="shared" si="62"/>
        <v>44332</v>
      </c>
      <c r="Z545">
        <v>0.60399999999999998</v>
      </c>
    </row>
    <row r="546" spans="1:26" x14ac:dyDescent="0.35">
      <c r="A546" t="s">
        <v>558</v>
      </c>
      <c r="B546" t="str">
        <f t="shared" si="56"/>
        <v>OK</v>
      </c>
      <c r="C546" t="s">
        <v>2050</v>
      </c>
      <c r="D546" s="2">
        <v>59</v>
      </c>
      <c r="E546">
        <f>IF(OR(D546&lt;18, D546&gt;100),AD545,D546)</f>
        <v>59</v>
      </c>
      <c r="F546" t="s">
        <v>2992</v>
      </c>
      <c r="G546" t="str">
        <f t="shared" si="57"/>
        <v>Female</v>
      </c>
      <c r="H546" t="s">
        <v>2998</v>
      </c>
      <c r="I546" t="s">
        <v>3020</v>
      </c>
      <c r="K546" t="str">
        <f t="shared" si="58"/>
        <v>Self-Employed</v>
      </c>
      <c r="L546">
        <v>1</v>
      </c>
      <c r="M546">
        <v>673948</v>
      </c>
      <c r="N546">
        <f t="shared" si="59"/>
        <v>673948</v>
      </c>
      <c r="O546">
        <v>574394</v>
      </c>
      <c r="P546">
        <v>9.8000000000000007</v>
      </c>
      <c r="Q546">
        <v>60</v>
      </c>
      <c r="R546" t="s">
        <v>3051</v>
      </c>
      <c r="S546" t="str">
        <f t="shared" si="60"/>
        <v>Education</v>
      </c>
      <c r="T546">
        <v>524</v>
      </c>
      <c r="U546">
        <f t="shared" si="61"/>
        <v>524</v>
      </c>
      <c r="V546">
        <v>6</v>
      </c>
      <c r="W546" t="s">
        <v>3055</v>
      </c>
      <c r="X546" s="3" t="s">
        <v>3372</v>
      </c>
      <c r="Y546" s="3">
        <f t="shared" si="62"/>
        <v>44220</v>
      </c>
      <c r="Z546">
        <v>0.85229999999999995</v>
      </c>
    </row>
    <row r="547" spans="1:26" x14ac:dyDescent="0.35">
      <c r="A547" t="s">
        <v>559</v>
      </c>
      <c r="B547" t="str">
        <f t="shared" si="56"/>
        <v>OK</v>
      </c>
      <c r="C547" t="s">
        <v>2051</v>
      </c>
      <c r="D547" s="2">
        <v>25</v>
      </c>
      <c r="E547">
        <f>IF(OR(D547&lt;18, D547&gt;100),AD546,D547)</f>
        <v>25</v>
      </c>
      <c r="F547" t="s">
        <v>2990</v>
      </c>
      <c r="G547" t="str">
        <f t="shared" si="57"/>
        <v>Male</v>
      </c>
      <c r="H547" t="s">
        <v>3000</v>
      </c>
      <c r="I547" t="s">
        <v>3021</v>
      </c>
      <c r="K547" t="str">
        <f t="shared" si="58"/>
        <v>Unemployed</v>
      </c>
      <c r="L547">
        <v>17</v>
      </c>
      <c r="M547">
        <v>1751951</v>
      </c>
      <c r="N547">
        <f t="shared" si="59"/>
        <v>1751951</v>
      </c>
      <c r="O547">
        <v>117406</v>
      </c>
      <c r="P547">
        <v>18</v>
      </c>
      <c r="Q547">
        <v>12</v>
      </c>
      <c r="R547" t="s">
        <v>3050</v>
      </c>
      <c r="S547" t="str">
        <f t="shared" si="60"/>
        <v>Agriculture</v>
      </c>
      <c r="T547">
        <v>572</v>
      </c>
      <c r="U547">
        <f t="shared" si="61"/>
        <v>572</v>
      </c>
      <c r="V547">
        <v>0</v>
      </c>
      <c r="W547" t="s">
        <v>3053</v>
      </c>
      <c r="X547" s="3" t="s">
        <v>3538</v>
      </c>
      <c r="Y547" s="3">
        <f t="shared" si="62"/>
        <v>44186</v>
      </c>
      <c r="Z547">
        <v>6.7000000000000004E-2</v>
      </c>
    </row>
    <row r="548" spans="1:26" x14ac:dyDescent="0.35">
      <c r="A548" t="s">
        <v>560</v>
      </c>
      <c r="B548" t="str">
        <f t="shared" si="56"/>
        <v>OK</v>
      </c>
      <c r="C548" t="s">
        <v>2052</v>
      </c>
      <c r="D548" s="2">
        <v>47</v>
      </c>
      <c r="E548">
        <f>IF(OR(D548&lt;18, D548&gt;100),AD547,D548)</f>
        <v>47</v>
      </c>
      <c r="F548" t="s">
        <v>2992</v>
      </c>
      <c r="G548" t="str">
        <f t="shared" si="57"/>
        <v>Female</v>
      </c>
      <c r="H548" t="s">
        <v>2998</v>
      </c>
      <c r="I548" t="s">
        <v>3019</v>
      </c>
      <c r="K548" t="str">
        <f t="shared" si="58"/>
        <v>Employed</v>
      </c>
      <c r="L548">
        <v>18</v>
      </c>
      <c r="M548">
        <v>1043349</v>
      </c>
      <c r="N548">
        <f t="shared" si="59"/>
        <v>1043349</v>
      </c>
      <c r="O548">
        <v>88798</v>
      </c>
      <c r="P548">
        <v>19.93</v>
      </c>
      <c r="Q548">
        <v>12</v>
      </c>
      <c r="R548" t="s">
        <v>3049</v>
      </c>
      <c r="S548" t="str">
        <f t="shared" si="60"/>
        <v>Business</v>
      </c>
      <c r="U548">
        <f t="shared" si="61"/>
        <v>556</v>
      </c>
      <c r="V548">
        <v>4</v>
      </c>
      <c r="W548" t="s">
        <v>3057</v>
      </c>
      <c r="X548" s="3" t="s">
        <v>3539</v>
      </c>
      <c r="Y548" s="3">
        <f t="shared" si="62"/>
        <v>44538</v>
      </c>
      <c r="Z548">
        <v>8.5099999999999995E-2</v>
      </c>
    </row>
    <row r="549" spans="1:26" x14ac:dyDescent="0.35">
      <c r="A549" t="s">
        <v>561</v>
      </c>
      <c r="B549" t="str">
        <f t="shared" si="56"/>
        <v>OK</v>
      </c>
      <c r="C549" t="s">
        <v>2053</v>
      </c>
      <c r="D549" s="2">
        <v>48</v>
      </c>
      <c r="E549">
        <f>IF(OR(D549&lt;18, D549&gt;100),AD548,D549)</f>
        <v>48</v>
      </c>
      <c r="F549" t="s">
        <v>2990</v>
      </c>
      <c r="G549" t="str">
        <f t="shared" si="57"/>
        <v>Male</v>
      </c>
      <c r="H549" t="s">
        <v>2998</v>
      </c>
      <c r="I549" t="s">
        <v>3020</v>
      </c>
      <c r="K549" t="str">
        <f t="shared" si="58"/>
        <v>Self-Employed</v>
      </c>
      <c r="L549">
        <v>20</v>
      </c>
      <c r="M549">
        <v>2319686</v>
      </c>
      <c r="N549">
        <f t="shared" si="59"/>
        <v>2319686</v>
      </c>
      <c r="O549">
        <v>219775</v>
      </c>
      <c r="P549">
        <v>17.75</v>
      </c>
      <c r="Q549">
        <v>48</v>
      </c>
      <c r="R549" t="s">
        <v>3047</v>
      </c>
      <c r="S549" t="str">
        <f t="shared" si="60"/>
        <v>Personal</v>
      </c>
      <c r="T549">
        <v>704</v>
      </c>
      <c r="U549">
        <f t="shared" si="61"/>
        <v>704</v>
      </c>
      <c r="V549">
        <v>6</v>
      </c>
      <c r="W549" t="s">
        <v>3055</v>
      </c>
      <c r="X549" s="3" t="s">
        <v>3540</v>
      </c>
      <c r="Y549" s="3">
        <f t="shared" si="62"/>
        <v>44771</v>
      </c>
      <c r="Z549">
        <v>9.4700000000000006E-2</v>
      </c>
    </row>
    <row r="550" spans="1:26" x14ac:dyDescent="0.35">
      <c r="A550" t="s">
        <v>562</v>
      </c>
      <c r="B550" t="str">
        <f t="shared" si="56"/>
        <v>OK</v>
      </c>
      <c r="C550" t="s">
        <v>2054</v>
      </c>
      <c r="D550" s="2">
        <v>42</v>
      </c>
      <c r="E550">
        <f>IF(OR(D550&lt;18, D550&gt;100),AD549,D550)</f>
        <v>42</v>
      </c>
      <c r="F550" t="s">
        <v>2992</v>
      </c>
      <c r="G550" t="str">
        <f t="shared" si="57"/>
        <v>Female</v>
      </c>
      <c r="H550" t="s">
        <v>3007</v>
      </c>
      <c r="I550" t="s">
        <v>3018</v>
      </c>
      <c r="K550" t="str">
        <f t="shared" si="58"/>
        <v>Business Owner</v>
      </c>
      <c r="L550">
        <v>4</v>
      </c>
      <c r="M550">
        <v>1327116</v>
      </c>
      <c r="N550">
        <f t="shared" si="59"/>
        <v>1327116</v>
      </c>
      <c r="O550">
        <v>292158</v>
      </c>
      <c r="P550">
        <v>8.02</v>
      </c>
      <c r="Q550">
        <v>48</v>
      </c>
      <c r="R550" t="s">
        <v>3049</v>
      </c>
      <c r="S550" t="str">
        <f t="shared" si="60"/>
        <v>Business</v>
      </c>
      <c r="T550">
        <v>725</v>
      </c>
      <c r="U550">
        <f t="shared" si="61"/>
        <v>725</v>
      </c>
      <c r="V550">
        <v>1</v>
      </c>
      <c r="W550" t="s">
        <v>3052</v>
      </c>
      <c r="X550" s="3" t="s">
        <v>3541</v>
      </c>
      <c r="Y550" s="3">
        <f t="shared" si="62"/>
        <v>45107</v>
      </c>
      <c r="Z550">
        <v>0.22009999999999999</v>
      </c>
    </row>
    <row r="551" spans="1:26" x14ac:dyDescent="0.35">
      <c r="A551" t="s">
        <v>563</v>
      </c>
      <c r="B551" t="str">
        <f t="shared" si="56"/>
        <v>OK</v>
      </c>
      <c r="C551" t="s">
        <v>2055</v>
      </c>
      <c r="D551" s="2">
        <v>45</v>
      </c>
      <c r="E551">
        <f>IF(OR(D551&lt;18, D551&gt;100),AD550,D551)</f>
        <v>45</v>
      </c>
      <c r="F551" t="s">
        <v>2990</v>
      </c>
      <c r="G551" t="str">
        <f t="shared" si="57"/>
        <v>Male</v>
      </c>
      <c r="H551" t="s">
        <v>3003</v>
      </c>
      <c r="I551" t="s">
        <v>3020</v>
      </c>
      <c r="K551" t="str">
        <f t="shared" si="58"/>
        <v>Self-Employed</v>
      </c>
      <c r="L551">
        <v>5</v>
      </c>
      <c r="M551">
        <v>2255020</v>
      </c>
      <c r="N551">
        <f t="shared" si="59"/>
        <v>2255020</v>
      </c>
      <c r="O551">
        <v>794504</v>
      </c>
      <c r="P551">
        <v>22.69</v>
      </c>
      <c r="Q551">
        <v>60</v>
      </c>
      <c r="R551" t="s">
        <v>3050</v>
      </c>
      <c r="S551" t="str">
        <f t="shared" si="60"/>
        <v>Agriculture</v>
      </c>
      <c r="T551">
        <v>409</v>
      </c>
      <c r="U551">
        <f t="shared" si="61"/>
        <v>409</v>
      </c>
      <c r="V551">
        <v>1</v>
      </c>
      <c r="W551" t="s">
        <v>3053</v>
      </c>
      <c r="X551" s="3" t="s">
        <v>3542</v>
      </c>
      <c r="Y551" s="3">
        <f t="shared" si="62"/>
        <v>44629</v>
      </c>
      <c r="Z551">
        <v>0.3523</v>
      </c>
    </row>
    <row r="552" spans="1:26" x14ac:dyDescent="0.35">
      <c r="A552" t="s">
        <v>564</v>
      </c>
      <c r="B552" t="str">
        <f t="shared" si="56"/>
        <v>OK</v>
      </c>
      <c r="C552" t="s">
        <v>2056</v>
      </c>
      <c r="D552" s="2">
        <v>57</v>
      </c>
      <c r="E552">
        <f>IF(OR(D552&lt;18, D552&gt;100),AD551,D552)</f>
        <v>57</v>
      </c>
      <c r="F552" t="s">
        <v>2992</v>
      </c>
      <c r="G552" t="str">
        <f t="shared" si="57"/>
        <v>Female</v>
      </c>
      <c r="H552" t="s">
        <v>3005</v>
      </c>
      <c r="I552" t="s">
        <v>3021</v>
      </c>
      <c r="K552" t="str">
        <f t="shared" si="58"/>
        <v>Unemployed</v>
      </c>
      <c r="L552">
        <v>13</v>
      </c>
      <c r="M552">
        <v>1430632</v>
      </c>
      <c r="N552">
        <f t="shared" si="59"/>
        <v>1430632</v>
      </c>
      <c r="O552">
        <v>145355</v>
      </c>
      <c r="P552">
        <v>25.96</v>
      </c>
      <c r="Q552">
        <v>12</v>
      </c>
      <c r="R552" t="s">
        <v>3049</v>
      </c>
      <c r="S552" t="str">
        <f t="shared" si="60"/>
        <v>Business</v>
      </c>
      <c r="T552">
        <v>837</v>
      </c>
      <c r="U552">
        <f t="shared" si="61"/>
        <v>837</v>
      </c>
      <c r="V552">
        <v>0</v>
      </c>
      <c r="W552" t="s">
        <v>3057</v>
      </c>
      <c r="X552" s="3" t="s">
        <v>3543</v>
      </c>
      <c r="Y552" s="3">
        <v>44918</v>
      </c>
      <c r="Z552">
        <v>0.1016</v>
      </c>
    </row>
    <row r="553" spans="1:26" x14ac:dyDescent="0.35">
      <c r="A553" t="s">
        <v>565</v>
      </c>
      <c r="B553" t="str">
        <f t="shared" si="56"/>
        <v>OK</v>
      </c>
      <c r="C553" t="s">
        <v>2057</v>
      </c>
      <c r="D553" s="2">
        <v>47</v>
      </c>
      <c r="E553">
        <f>IF(OR(D553&lt;18, D553&gt;100),AD552,D553)</f>
        <v>47</v>
      </c>
      <c r="F553" t="s">
        <v>2990</v>
      </c>
      <c r="G553" t="str">
        <f t="shared" si="57"/>
        <v>Male</v>
      </c>
      <c r="H553" t="s">
        <v>3004</v>
      </c>
      <c r="I553" t="s">
        <v>3020</v>
      </c>
      <c r="K553" t="str">
        <f t="shared" si="58"/>
        <v>Self-Employed</v>
      </c>
      <c r="L553">
        <v>12</v>
      </c>
      <c r="M553">
        <v>574341</v>
      </c>
      <c r="N553">
        <f t="shared" si="59"/>
        <v>574341</v>
      </c>
      <c r="O553">
        <v>200882</v>
      </c>
      <c r="P553">
        <v>10.63</v>
      </c>
      <c r="Q553">
        <v>24</v>
      </c>
      <c r="R553" t="s">
        <v>3051</v>
      </c>
      <c r="S553" t="str">
        <f t="shared" si="60"/>
        <v>Education</v>
      </c>
      <c r="T553">
        <v>373</v>
      </c>
      <c r="U553">
        <f t="shared" si="61"/>
        <v>373</v>
      </c>
      <c r="V553">
        <v>3</v>
      </c>
      <c r="W553" t="s">
        <v>3053</v>
      </c>
      <c r="X553" s="3" t="s">
        <v>3544</v>
      </c>
      <c r="Y553" s="3">
        <f t="shared" si="62"/>
        <v>44893</v>
      </c>
      <c r="Z553">
        <v>0.3498</v>
      </c>
    </row>
    <row r="554" spans="1:26" x14ac:dyDescent="0.35">
      <c r="A554" t="s">
        <v>566</v>
      </c>
      <c r="B554" t="str">
        <f t="shared" si="56"/>
        <v>OK</v>
      </c>
      <c r="C554" t="s">
        <v>2058</v>
      </c>
      <c r="D554" s="2">
        <v>27</v>
      </c>
      <c r="E554">
        <f>IF(OR(D554&lt;18, D554&gt;100),AD553,D554)</f>
        <v>27</v>
      </c>
      <c r="F554" t="s">
        <v>2990</v>
      </c>
      <c r="G554" t="str">
        <f t="shared" si="57"/>
        <v>Male</v>
      </c>
      <c r="H554" t="s">
        <v>3005</v>
      </c>
      <c r="I554" t="s">
        <v>3021</v>
      </c>
      <c r="K554" t="str">
        <f t="shared" si="58"/>
        <v>Unemployed</v>
      </c>
      <c r="L554">
        <v>14</v>
      </c>
      <c r="M554">
        <v>1621985</v>
      </c>
      <c r="N554">
        <f t="shared" si="59"/>
        <v>1621985</v>
      </c>
      <c r="O554">
        <v>148216</v>
      </c>
      <c r="P554">
        <v>14.41</v>
      </c>
      <c r="Q554">
        <v>12</v>
      </c>
      <c r="R554" t="s">
        <v>3051</v>
      </c>
      <c r="S554" t="str">
        <f t="shared" si="60"/>
        <v>Education</v>
      </c>
      <c r="T554">
        <v>515</v>
      </c>
      <c r="U554">
        <f t="shared" si="61"/>
        <v>515</v>
      </c>
      <c r="V554">
        <v>6</v>
      </c>
      <c r="W554" t="s">
        <v>3053</v>
      </c>
      <c r="X554" s="3" t="s">
        <v>3545</v>
      </c>
      <c r="Y554" s="3">
        <f t="shared" si="62"/>
        <v>44524</v>
      </c>
      <c r="Z554">
        <v>9.1399999999999995E-2</v>
      </c>
    </row>
    <row r="555" spans="1:26" x14ac:dyDescent="0.35">
      <c r="A555" t="s">
        <v>567</v>
      </c>
      <c r="B555" t="str">
        <f t="shared" si="56"/>
        <v>OK</v>
      </c>
      <c r="C555" t="s">
        <v>2059</v>
      </c>
      <c r="D555" s="2">
        <v>63</v>
      </c>
      <c r="E555">
        <f>IF(OR(D555&lt;18, D555&gt;100),AD554,D555)</f>
        <v>63</v>
      </c>
      <c r="F555" t="s">
        <v>2990</v>
      </c>
      <c r="G555" t="str">
        <f t="shared" si="57"/>
        <v>Male</v>
      </c>
      <c r="H555" t="s">
        <v>2999</v>
      </c>
      <c r="I555" t="s">
        <v>3018</v>
      </c>
      <c r="K555" t="str">
        <f t="shared" si="58"/>
        <v>Business Owner</v>
      </c>
      <c r="L555">
        <v>4</v>
      </c>
      <c r="M555">
        <v>744678</v>
      </c>
      <c r="N555">
        <f t="shared" si="59"/>
        <v>744678</v>
      </c>
      <c r="O555">
        <v>292919</v>
      </c>
      <c r="P555">
        <v>21.53</v>
      </c>
      <c r="Q555">
        <v>60</v>
      </c>
      <c r="R555" t="s">
        <v>3048</v>
      </c>
      <c r="S555" t="str">
        <f t="shared" si="60"/>
        <v>Home Improvement</v>
      </c>
      <c r="T555">
        <v>763</v>
      </c>
      <c r="U555">
        <f t="shared" si="61"/>
        <v>763</v>
      </c>
      <c r="V555">
        <v>2</v>
      </c>
      <c r="W555" t="s">
        <v>3055</v>
      </c>
      <c r="X555" s="3" t="s">
        <v>3546</v>
      </c>
      <c r="Y555" s="3">
        <f t="shared" si="62"/>
        <v>43910</v>
      </c>
      <c r="Z555">
        <v>0.39329999999999998</v>
      </c>
    </row>
    <row r="556" spans="1:26" x14ac:dyDescent="0.35">
      <c r="A556" t="s">
        <v>568</v>
      </c>
      <c r="B556" t="str">
        <f t="shared" si="56"/>
        <v>OK</v>
      </c>
      <c r="C556" t="s">
        <v>2060</v>
      </c>
      <c r="D556" s="2">
        <v>27</v>
      </c>
      <c r="E556">
        <f>IF(OR(D556&lt;18, D556&gt;100),AD555,D556)</f>
        <v>27</v>
      </c>
      <c r="F556" t="s">
        <v>2990</v>
      </c>
      <c r="G556" t="str">
        <f t="shared" si="57"/>
        <v>Male</v>
      </c>
      <c r="H556" t="s">
        <v>3007</v>
      </c>
      <c r="I556" t="s">
        <v>3019</v>
      </c>
      <c r="K556" t="str">
        <f t="shared" si="58"/>
        <v>Employed</v>
      </c>
      <c r="L556">
        <v>11</v>
      </c>
      <c r="M556">
        <v>2331061</v>
      </c>
      <c r="N556">
        <f t="shared" si="59"/>
        <v>2331061</v>
      </c>
      <c r="O556">
        <v>128944</v>
      </c>
      <c r="P556">
        <v>16.37</v>
      </c>
      <c r="Q556">
        <v>24</v>
      </c>
      <c r="R556" t="s">
        <v>3047</v>
      </c>
      <c r="S556" t="str">
        <f t="shared" si="60"/>
        <v>Personal</v>
      </c>
      <c r="T556">
        <v>331</v>
      </c>
      <c r="U556">
        <f t="shared" si="61"/>
        <v>331</v>
      </c>
      <c r="V556">
        <v>3</v>
      </c>
      <c r="W556" t="s">
        <v>3057</v>
      </c>
      <c r="X556" s="3" t="s">
        <v>3547</v>
      </c>
      <c r="Y556" s="3">
        <f t="shared" si="62"/>
        <v>44390</v>
      </c>
      <c r="Z556">
        <v>5.5300000000000002E-2</v>
      </c>
    </row>
    <row r="557" spans="1:26" x14ac:dyDescent="0.35">
      <c r="A557" t="s">
        <v>569</v>
      </c>
      <c r="B557" t="str">
        <f t="shared" si="56"/>
        <v>OK</v>
      </c>
      <c r="C557" t="s">
        <v>2061</v>
      </c>
      <c r="D557" s="2">
        <v>50</v>
      </c>
      <c r="E557">
        <f>IF(OR(D557&lt;18, D557&gt;100),AD556,D557)</f>
        <v>50</v>
      </c>
      <c r="F557" t="s">
        <v>2992</v>
      </c>
      <c r="G557" t="str">
        <f t="shared" si="57"/>
        <v>Female</v>
      </c>
      <c r="H557" t="s">
        <v>3000</v>
      </c>
      <c r="I557" t="s">
        <v>3020</v>
      </c>
      <c r="K557" t="str">
        <f t="shared" si="58"/>
        <v>Self-Employed</v>
      </c>
      <c r="L557">
        <v>9</v>
      </c>
      <c r="M557">
        <v>551931</v>
      </c>
      <c r="N557">
        <f t="shared" si="59"/>
        <v>551931</v>
      </c>
      <c r="O557">
        <v>691553</v>
      </c>
      <c r="P557">
        <v>27.65</v>
      </c>
      <c r="Q557">
        <v>12</v>
      </c>
      <c r="R557" t="s">
        <v>3047</v>
      </c>
      <c r="S557" t="str">
        <f t="shared" si="60"/>
        <v>Personal</v>
      </c>
      <c r="T557">
        <v>606</v>
      </c>
      <c r="U557">
        <f t="shared" si="61"/>
        <v>606</v>
      </c>
      <c r="V557">
        <v>0</v>
      </c>
      <c r="W557" t="s">
        <v>3052</v>
      </c>
      <c r="X557" s="3" t="s">
        <v>3548</v>
      </c>
      <c r="Y557" s="3">
        <f t="shared" si="62"/>
        <v>43998</v>
      </c>
      <c r="Z557">
        <v>1.2529999999999999</v>
      </c>
    </row>
    <row r="558" spans="1:26" x14ac:dyDescent="0.35">
      <c r="A558" t="s">
        <v>570</v>
      </c>
      <c r="B558" t="str">
        <f t="shared" si="56"/>
        <v>OK</v>
      </c>
      <c r="C558" t="s">
        <v>1516</v>
      </c>
      <c r="D558" s="2">
        <v>49</v>
      </c>
      <c r="E558">
        <f>IF(OR(D558&lt;18, D558&gt;100),AD557,D558)</f>
        <v>49</v>
      </c>
      <c r="F558" t="s">
        <v>2992</v>
      </c>
      <c r="G558" t="str">
        <f t="shared" si="57"/>
        <v>Female</v>
      </c>
      <c r="H558" t="s">
        <v>2999</v>
      </c>
      <c r="I558" t="s">
        <v>3020</v>
      </c>
      <c r="K558" t="str">
        <f t="shared" si="58"/>
        <v>Self-Employed</v>
      </c>
      <c r="L558">
        <v>25</v>
      </c>
      <c r="M558">
        <v>1856273</v>
      </c>
      <c r="N558">
        <f t="shared" si="59"/>
        <v>1856273</v>
      </c>
      <c r="O558">
        <v>712137</v>
      </c>
      <c r="P558">
        <v>25.37</v>
      </c>
      <c r="Q558">
        <v>48</v>
      </c>
      <c r="R558" t="s">
        <v>3047</v>
      </c>
      <c r="S558" t="str">
        <f t="shared" si="60"/>
        <v>Personal</v>
      </c>
      <c r="T558">
        <v>322</v>
      </c>
      <c r="U558">
        <f t="shared" si="61"/>
        <v>322</v>
      </c>
      <c r="V558">
        <v>6</v>
      </c>
      <c r="W558" t="s">
        <v>3053</v>
      </c>
      <c r="X558" s="3" t="s">
        <v>3515</v>
      </c>
      <c r="Y558" s="3">
        <f t="shared" si="62"/>
        <v>44641</v>
      </c>
      <c r="Z558">
        <v>0.3836</v>
      </c>
    </row>
    <row r="559" spans="1:26" x14ac:dyDescent="0.35">
      <c r="A559" t="s">
        <v>571</v>
      </c>
      <c r="B559" t="str">
        <f t="shared" si="56"/>
        <v>OK</v>
      </c>
      <c r="C559" t="s">
        <v>2062</v>
      </c>
      <c r="D559" s="2">
        <v>51</v>
      </c>
      <c r="E559">
        <f>IF(OR(D559&lt;18, D559&gt;100),AD558,D559)</f>
        <v>51</v>
      </c>
      <c r="F559" t="s">
        <v>2995</v>
      </c>
      <c r="G559" t="str">
        <f t="shared" si="57"/>
        <v>Male</v>
      </c>
      <c r="H559" t="s">
        <v>2998</v>
      </c>
      <c r="I559" t="s">
        <v>3018</v>
      </c>
      <c r="K559" t="str">
        <f t="shared" si="58"/>
        <v>Business Owner</v>
      </c>
      <c r="L559">
        <v>20</v>
      </c>
      <c r="M559">
        <v>1596207</v>
      </c>
      <c r="N559">
        <f t="shared" si="59"/>
        <v>1596207</v>
      </c>
      <c r="O559">
        <v>253192</v>
      </c>
      <c r="P559">
        <v>23.04</v>
      </c>
      <c r="Q559">
        <v>24</v>
      </c>
      <c r="R559" t="s">
        <v>3049</v>
      </c>
      <c r="S559" t="str">
        <f t="shared" si="60"/>
        <v>Business</v>
      </c>
      <c r="T559">
        <v>364</v>
      </c>
      <c r="U559">
        <f t="shared" si="61"/>
        <v>364</v>
      </c>
      <c r="V559">
        <v>6</v>
      </c>
      <c r="W559" t="s">
        <v>3055</v>
      </c>
      <c r="X559" s="3" t="s">
        <v>3549</v>
      </c>
      <c r="Y559" s="3">
        <f t="shared" si="62"/>
        <v>44382</v>
      </c>
      <c r="Z559">
        <v>0.15859999999999999</v>
      </c>
    </row>
    <row r="560" spans="1:26" x14ac:dyDescent="0.35">
      <c r="A560" t="s">
        <v>572</v>
      </c>
      <c r="B560" t="str">
        <f t="shared" si="56"/>
        <v>OK</v>
      </c>
      <c r="C560" t="s">
        <v>2063</v>
      </c>
      <c r="D560" s="2">
        <v>34</v>
      </c>
      <c r="E560">
        <f>IF(OR(D560&lt;18, D560&gt;100),AD559,D560)</f>
        <v>34</v>
      </c>
      <c r="F560" t="s">
        <v>2992</v>
      </c>
      <c r="G560" t="str">
        <f t="shared" si="57"/>
        <v>Female</v>
      </c>
      <c r="H560" t="s">
        <v>3002</v>
      </c>
      <c r="I560" t="s">
        <v>3018</v>
      </c>
      <c r="K560" t="str">
        <f t="shared" si="58"/>
        <v>Business Owner</v>
      </c>
      <c r="L560">
        <v>22</v>
      </c>
      <c r="M560">
        <v>243646</v>
      </c>
      <c r="N560">
        <f t="shared" si="59"/>
        <v>243646</v>
      </c>
      <c r="O560">
        <v>86668</v>
      </c>
      <c r="P560">
        <v>13.41</v>
      </c>
      <c r="Q560">
        <v>24</v>
      </c>
      <c r="R560" t="s">
        <v>3048</v>
      </c>
      <c r="S560" t="str">
        <f t="shared" si="60"/>
        <v>Home Improvement</v>
      </c>
      <c r="T560">
        <v>620</v>
      </c>
      <c r="U560">
        <f t="shared" si="61"/>
        <v>620</v>
      </c>
      <c r="V560">
        <v>0</v>
      </c>
      <c r="W560" t="s">
        <v>3057</v>
      </c>
      <c r="X560" s="3" t="s">
        <v>3550</v>
      </c>
      <c r="Y560" s="3">
        <f t="shared" si="62"/>
        <v>45246</v>
      </c>
      <c r="Z560">
        <v>0.35570000000000002</v>
      </c>
    </row>
    <row r="561" spans="1:26" x14ac:dyDescent="0.35">
      <c r="A561" t="s">
        <v>573</v>
      </c>
      <c r="B561" t="str">
        <f t="shared" si="56"/>
        <v>OK</v>
      </c>
      <c r="C561" t="s">
        <v>2064</v>
      </c>
      <c r="D561" s="2">
        <v>25</v>
      </c>
      <c r="E561">
        <f>IF(OR(D561&lt;18, D561&gt;100),AD560,D561)</f>
        <v>25</v>
      </c>
      <c r="F561" t="s">
        <v>2990</v>
      </c>
      <c r="G561" t="str">
        <f t="shared" si="57"/>
        <v>Male</v>
      </c>
      <c r="H561" t="s">
        <v>2998</v>
      </c>
      <c r="I561" t="s">
        <v>3020</v>
      </c>
      <c r="K561" t="str">
        <f t="shared" si="58"/>
        <v>Self-Employed</v>
      </c>
      <c r="L561">
        <v>24</v>
      </c>
      <c r="M561">
        <v>1010051</v>
      </c>
      <c r="N561">
        <f t="shared" si="59"/>
        <v>1010051</v>
      </c>
      <c r="O561">
        <v>351607</v>
      </c>
      <c r="P561">
        <v>13.71</v>
      </c>
      <c r="Q561">
        <v>48</v>
      </c>
      <c r="R561" t="s">
        <v>3048</v>
      </c>
      <c r="S561" t="str">
        <f t="shared" si="60"/>
        <v>Home Improvement</v>
      </c>
      <c r="T561">
        <v>631</v>
      </c>
      <c r="U561">
        <f t="shared" si="61"/>
        <v>631</v>
      </c>
      <c r="V561">
        <v>0</v>
      </c>
      <c r="W561" t="s">
        <v>3057</v>
      </c>
      <c r="X561" s="3" t="s">
        <v>3551</v>
      </c>
      <c r="Y561" s="3">
        <f t="shared" si="62"/>
        <v>44090</v>
      </c>
      <c r="Z561">
        <v>0.34810000000000002</v>
      </c>
    </row>
    <row r="562" spans="1:26" x14ac:dyDescent="0.35">
      <c r="A562" t="s">
        <v>574</v>
      </c>
      <c r="B562" t="str">
        <f t="shared" si="56"/>
        <v>OK</v>
      </c>
      <c r="C562" t="s">
        <v>2065</v>
      </c>
      <c r="D562" s="2">
        <v>29</v>
      </c>
      <c r="E562">
        <f>IF(OR(D562&lt;18, D562&gt;100),AD561,D562)</f>
        <v>29</v>
      </c>
      <c r="F562" t="s">
        <v>2992</v>
      </c>
      <c r="G562" t="str">
        <f t="shared" si="57"/>
        <v>Female</v>
      </c>
      <c r="H562" t="s">
        <v>3007</v>
      </c>
      <c r="I562" t="s">
        <v>3020</v>
      </c>
      <c r="K562" t="str">
        <f t="shared" si="58"/>
        <v>Self-Employed</v>
      </c>
      <c r="L562">
        <v>23</v>
      </c>
      <c r="M562">
        <v>2212714</v>
      </c>
      <c r="N562">
        <f t="shared" si="59"/>
        <v>2212714</v>
      </c>
      <c r="O562">
        <v>610270</v>
      </c>
      <c r="P562">
        <v>17.7</v>
      </c>
      <c r="Q562">
        <v>36</v>
      </c>
      <c r="R562" t="s">
        <v>3050</v>
      </c>
      <c r="S562" t="str">
        <f t="shared" si="60"/>
        <v>Agriculture</v>
      </c>
      <c r="T562">
        <v>726</v>
      </c>
      <c r="U562">
        <f t="shared" si="61"/>
        <v>726</v>
      </c>
      <c r="V562">
        <v>4</v>
      </c>
      <c r="W562" t="s">
        <v>3056</v>
      </c>
      <c r="X562" s="3" t="s">
        <v>3551</v>
      </c>
      <c r="Y562" s="3">
        <f t="shared" si="62"/>
        <v>44090</v>
      </c>
      <c r="Z562">
        <v>0.27579999999999999</v>
      </c>
    </row>
    <row r="563" spans="1:26" x14ac:dyDescent="0.35">
      <c r="A563" t="s">
        <v>575</v>
      </c>
      <c r="B563" t="str">
        <f t="shared" si="56"/>
        <v>OK</v>
      </c>
      <c r="C563" t="s">
        <v>2066</v>
      </c>
      <c r="D563" s="2">
        <v>63</v>
      </c>
      <c r="E563">
        <f>IF(OR(D563&lt;18, D563&gt;100),AD562,D563)</f>
        <v>63</v>
      </c>
      <c r="F563" t="s">
        <v>2990</v>
      </c>
      <c r="G563" t="str">
        <f t="shared" si="57"/>
        <v>Male</v>
      </c>
      <c r="H563" t="s">
        <v>3006</v>
      </c>
      <c r="I563" t="s">
        <v>3018</v>
      </c>
      <c r="K563" t="str">
        <f t="shared" si="58"/>
        <v>Business Owner</v>
      </c>
      <c r="L563">
        <v>2</v>
      </c>
      <c r="M563">
        <v>1215354</v>
      </c>
      <c r="N563">
        <f t="shared" si="59"/>
        <v>1215354</v>
      </c>
      <c r="O563">
        <v>510399</v>
      </c>
      <c r="P563">
        <v>19.47</v>
      </c>
      <c r="Q563">
        <v>60</v>
      </c>
      <c r="R563" t="s">
        <v>3050</v>
      </c>
      <c r="S563" t="str">
        <f t="shared" si="60"/>
        <v>Agriculture</v>
      </c>
      <c r="T563">
        <v>638</v>
      </c>
      <c r="U563">
        <f t="shared" si="61"/>
        <v>638</v>
      </c>
      <c r="V563">
        <v>7</v>
      </c>
      <c r="W563" t="s">
        <v>3056</v>
      </c>
      <c r="X563" s="3" t="s">
        <v>3552</v>
      </c>
      <c r="Y563" s="3">
        <f t="shared" si="62"/>
        <v>44311</v>
      </c>
      <c r="Z563">
        <v>0.42</v>
      </c>
    </row>
    <row r="564" spans="1:26" x14ac:dyDescent="0.35">
      <c r="A564" t="s">
        <v>576</v>
      </c>
      <c r="B564" t="str">
        <f t="shared" si="56"/>
        <v>OK</v>
      </c>
      <c r="C564" t="s">
        <v>1538</v>
      </c>
      <c r="D564" s="2">
        <v>47</v>
      </c>
      <c r="E564">
        <f>IF(OR(D564&lt;18, D564&gt;100),AD563,D564)</f>
        <v>47</v>
      </c>
      <c r="F564" t="s">
        <v>2990</v>
      </c>
      <c r="G564" t="str">
        <f t="shared" si="57"/>
        <v>Male</v>
      </c>
      <c r="H564" t="s">
        <v>3003</v>
      </c>
      <c r="I564" t="s">
        <v>3020</v>
      </c>
      <c r="K564" t="str">
        <f t="shared" si="58"/>
        <v>Self-Employed</v>
      </c>
      <c r="L564">
        <v>6</v>
      </c>
      <c r="M564">
        <v>2090947</v>
      </c>
      <c r="N564">
        <f t="shared" si="59"/>
        <v>2090947</v>
      </c>
      <c r="O564">
        <v>737104</v>
      </c>
      <c r="P564">
        <v>15.53</v>
      </c>
      <c r="Q564">
        <v>24</v>
      </c>
      <c r="R564" t="s">
        <v>3047</v>
      </c>
      <c r="S564" t="str">
        <f t="shared" si="60"/>
        <v>Personal</v>
      </c>
      <c r="T564">
        <v>543</v>
      </c>
      <c r="U564">
        <f t="shared" si="61"/>
        <v>543</v>
      </c>
      <c r="V564">
        <v>7</v>
      </c>
      <c r="W564" t="s">
        <v>3053</v>
      </c>
      <c r="X564" s="3" t="s">
        <v>3553</v>
      </c>
      <c r="Y564" s="3">
        <f t="shared" si="62"/>
        <v>44996</v>
      </c>
      <c r="Z564">
        <v>0.35249999999999998</v>
      </c>
    </row>
    <row r="565" spans="1:26" x14ac:dyDescent="0.35">
      <c r="A565" t="s">
        <v>577</v>
      </c>
      <c r="B565" t="str">
        <f t="shared" si="56"/>
        <v>OK</v>
      </c>
      <c r="C565" t="s">
        <v>2067</v>
      </c>
      <c r="D565" s="2">
        <v>49</v>
      </c>
      <c r="E565">
        <f>IF(OR(D565&lt;18, D565&gt;100),AD564,D565)</f>
        <v>49</v>
      </c>
      <c r="F565" t="s">
        <v>2990</v>
      </c>
      <c r="G565" t="str">
        <f t="shared" si="57"/>
        <v>Male</v>
      </c>
      <c r="H565" t="s">
        <v>3006</v>
      </c>
      <c r="I565" t="s">
        <v>3021</v>
      </c>
      <c r="K565" t="str">
        <f t="shared" si="58"/>
        <v>Unemployed</v>
      </c>
      <c r="L565">
        <v>16</v>
      </c>
      <c r="M565">
        <v>1731330</v>
      </c>
      <c r="N565">
        <f t="shared" si="59"/>
        <v>1731330</v>
      </c>
      <c r="O565">
        <v>359933</v>
      </c>
      <c r="P565">
        <v>15.75</v>
      </c>
      <c r="Q565">
        <v>36</v>
      </c>
      <c r="R565" t="s">
        <v>3051</v>
      </c>
      <c r="S565" t="str">
        <f t="shared" si="60"/>
        <v>Education</v>
      </c>
      <c r="T565">
        <v>427</v>
      </c>
      <c r="U565">
        <f t="shared" si="61"/>
        <v>427</v>
      </c>
      <c r="V565">
        <v>4</v>
      </c>
      <c r="W565" t="s">
        <v>3056</v>
      </c>
      <c r="X565" s="3" t="s">
        <v>3554</v>
      </c>
      <c r="Y565" s="3">
        <f t="shared" si="62"/>
        <v>44665</v>
      </c>
      <c r="Z565">
        <v>0.2079</v>
      </c>
    </row>
    <row r="566" spans="1:26" x14ac:dyDescent="0.35">
      <c r="A566" t="s">
        <v>578</v>
      </c>
      <c r="B566" t="str">
        <f t="shared" si="56"/>
        <v>OK</v>
      </c>
      <c r="C566" t="s">
        <v>2068</v>
      </c>
      <c r="D566" s="2">
        <v>50</v>
      </c>
      <c r="E566">
        <f>IF(OR(D566&lt;18, D566&gt;100),AD565,D566)</f>
        <v>50</v>
      </c>
      <c r="F566" t="s">
        <v>2990</v>
      </c>
      <c r="G566" t="str">
        <f t="shared" si="57"/>
        <v>Male</v>
      </c>
      <c r="H566" t="s">
        <v>3000</v>
      </c>
      <c r="I566" t="s">
        <v>3020</v>
      </c>
      <c r="K566" t="str">
        <f t="shared" si="58"/>
        <v>Self-Employed</v>
      </c>
      <c r="L566">
        <v>29</v>
      </c>
      <c r="M566">
        <v>1364141</v>
      </c>
      <c r="N566">
        <f t="shared" si="59"/>
        <v>1364141</v>
      </c>
      <c r="O566">
        <v>475738</v>
      </c>
      <c r="P566">
        <v>20.43</v>
      </c>
      <c r="Q566">
        <v>12</v>
      </c>
      <c r="R566" t="s">
        <v>3051</v>
      </c>
      <c r="S566" t="str">
        <f t="shared" si="60"/>
        <v>Education</v>
      </c>
      <c r="T566">
        <v>416</v>
      </c>
      <c r="U566">
        <f t="shared" si="61"/>
        <v>416</v>
      </c>
      <c r="V566">
        <v>6</v>
      </c>
      <c r="W566" t="s">
        <v>3052</v>
      </c>
      <c r="X566" s="3" t="s">
        <v>3151</v>
      </c>
      <c r="Y566" s="3">
        <f t="shared" si="62"/>
        <v>44527</v>
      </c>
      <c r="Z566">
        <v>0.34870000000000001</v>
      </c>
    </row>
    <row r="567" spans="1:26" x14ac:dyDescent="0.35">
      <c r="A567" t="s">
        <v>579</v>
      </c>
      <c r="B567" t="str">
        <f t="shared" si="56"/>
        <v>OK</v>
      </c>
      <c r="C567" t="s">
        <v>2069</v>
      </c>
      <c r="D567" s="2">
        <v>36</v>
      </c>
      <c r="E567">
        <f>IF(OR(D567&lt;18, D567&gt;100),AD566,D567)</f>
        <v>36</v>
      </c>
      <c r="F567" t="s">
        <v>2990</v>
      </c>
      <c r="G567" t="str">
        <f t="shared" si="57"/>
        <v>Male</v>
      </c>
      <c r="H567" t="s">
        <v>2998</v>
      </c>
      <c r="I567" t="s">
        <v>3019</v>
      </c>
      <c r="K567" t="str">
        <f t="shared" si="58"/>
        <v>Employed</v>
      </c>
      <c r="L567">
        <v>19</v>
      </c>
      <c r="M567">
        <v>1008791</v>
      </c>
      <c r="N567">
        <f t="shared" si="59"/>
        <v>1008791</v>
      </c>
      <c r="O567">
        <v>696479</v>
      </c>
      <c r="P567">
        <v>19.38</v>
      </c>
      <c r="Q567">
        <v>48</v>
      </c>
      <c r="R567" t="s">
        <v>3050</v>
      </c>
      <c r="S567" t="str">
        <f t="shared" si="60"/>
        <v>Agriculture</v>
      </c>
      <c r="T567">
        <v>828</v>
      </c>
      <c r="U567">
        <f t="shared" si="61"/>
        <v>828</v>
      </c>
      <c r="V567">
        <v>7</v>
      </c>
      <c r="W567" t="s">
        <v>3056</v>
      </c>
      <c r="X567" s="3" t="s">
        <v>3555</v>
      </c>
      <c r="Y567" s="3">
        <f t="shared" si="62"/>
        <v>44817</v>
      </c>
      <c r="Z567">
        <v>0.69040000000000001</v>
      </c>
    </row>
    <row r="568" spans="1:26" x14ac:dyDescent="0.35">
      <c r="A568" t="s">
        <v>580</v>
      </c>
      <c r="B568" t="str">
        <f t="shared" si="56"/>
        <v>OK</v>
      </c>
      <c r="C568" t="s">
        <v>2070</v>
      </c>
      <c r="D568" s="2">
        <v>22</v>
      </c>
      <c r="E568">
        <f>IF(OR(D568&lt;18, D568&gt;100),AD567,D568)</f>
        <v>22</v>
      </c>
      <c r="F568" t="s">
        <v>2990</v>
      </c>
      <c r="G568" t="str">
        <f t="shared" si="57"/>
        <v>Male</v>
      </c>
      <c r="H568" t="s">
        <v>3002</v>
      </c>
      <c r="I568" t="s">
        <v>3021</v>
      </c>
      <c r="K568" t="str">
        <f t="shared" si="58"/>
        <v>Unemployed</v>
      </c>
      <c r="L568">
        <v>4</v>
      </c>
      <c r="M568">
        <v>253869</v>
      </c>
      <c r="N568">
        <f t="shared" si="59"/>
        <v>253869</v>
      </c>
      <c r="O568">
        <v>608574</v>
      </c>
      <c r="P568">
        <v>8.26</v>
      </c>
      <c r="Q568">
        <v>48</v>
      </c>
      <c r="R568" t="s">
        <v>3049</v>
      </c>
      <c r="S568" t="str">
        <f t="shared" si="60"/>
        <v>Business</v>
      </c>
      <c r="T568">
        <v>559</v>
      </c>
      <c r="U568">
        <f t="shared" si="61"/>
        <v>559</v>
      </c>
      <c r="V568">
        <v>5</v>
      </c>
      <c r="W568" t="s">
        <v>3052</v>
      </c>
      <c r="X568" s="3" t="s">
        <v>3552</v>
      </c>
      <c r="Y568" s="3">
        <f t="shared" si="62"/>
        <v>44311</v>
      </c>
      <c r="Z568">
        <v>2.3972000000000002</v>
      </c>
    </row>
    <row r="569" spans="1:26" x14ac:dyDescent="0.35">
      <c r="A569" t="s">
        <v>581</v>
      </c>
      <c r="B569" t="str">
        <f t="shared" si="56"/>
        <v>OK</v>
      </c>
      <c r="C569" t="s">
        <v>2071</v>
      </c>
      <c r="D569" s="2">
        <v>59</v>
      </c>
      <c r="E569">
        <f>IF(OR(D569&lt;18, D569&gt;100),AD568,D569)</f>
        <v>59</v>
      </c>
      <c r="F569" t="s">
        <v>2992</v>
      </c>
      <c r="G569" t="str">
        <f t="shared" si="57"/>
        <v>Female</v>
      </c>
      <c r="H569" t="s">
        <v>3001</v>
      </c>
      <c r="I569" t="s">
        <v>3021</v>
      </c>
      <c r="K569" t="str">
        <f t="shared" si="58"/>
        <v>Unemployed</v>
      </c>
      <c r="L569">
        <v>14</v>
      </c>
      <c r="M569">
        <v>1044645</v>
      </c>
      <c r="N569">
        <f t="shared" si="59"/>
        <v>1044645</v>
      </c>
      <c r="O569">
        <v>675348</v>
      </c>
      <c r="P569">
        <v>18.829999999999998</v>
      </c>
      <c r="Q569">
        <v>36</v>
      </c>
      <c r="R569" t="s">
        <v>3049</v>
      </c>
      <c r="S569" t="str">
        <f t="shared" si="60"/>
        <v>Business</v>
      </c>
      <c r="T569">
        <v>625</v>
      </c>
      <c r="U569">
        <f t="shared" si="61"/>
        <v>625</v>
      </c>
      <c r="V569">
        <v>1</v>
      </c>
      <c r="W569" t="s">
        <v>3052</v>
      </c>
      <c r="X569" s="3" t="s">
        <v>3343</v>
      </c>
      <c r="Y569" s="3">
        <f t="shared" si="62"/>
        <v>44049</v>
      </c>
      <c r="Z569">
        <v>0.64649999999999996</v>
      </c>
    </row>
    <row r="570" spans="1:26" x14ac:dyDescent="0.35">
      <c r="A570" t="s">
        <v>582</v>
      </c>
      <c r="B570" t="str">
        <f t="shared" si="56"/>
        <v>OK</v>
      </c>
      <c r="C570" t="s">
        <v>2072</v>
      </c>
      <c r="D570" s="2">
        <v>39</v>
      </c>
      <c r="E570">
        <f>IF(OR(D570&lt;18, D570&gt;100),AD569,D570)</f>
        <v>39</v>
      </c>
      <c r="F570" t="s">
        <v>2992</v>
      </c>
      <c r="G570" t="str">
        <f t="shared" si="57"/>
        <v>Female</v>
      </c>
      <c r="H570" t="s">
        <v>3007</v>
      </c>
      <c r="I570" t="s">
        <v>3020</v>
      </c>
      <c r="K570" t="str">
        <f t="shared" si="58"/>
        <v>Self-Employed</v>
      </c>
      <c r="L570">
        <v>17</v>
      </c>
      <c r="M570">
        <v>1916263</v>
      </c>
      <c r="N570">
        <f t="shared" si="59"/>
        <v>1916263</v>
      </c>
      <c r="O570">
        <v>622566</v>
      </c>
      <c r="P570">
        <v>26.19</v>
      </c>
      <c r="Q570">
        <v>36</v>
      </c>
      <c r="R570" t="s">
        <v>3051</v>
      </c>
      <c r="S570" t="str">
        <f t="shared" si="60"/>
        <v>Education</v>
      </c>
      <c r="T570">
        <v>351</v>
      </c>
      <c r="U570">
        <f t="shared" si="61"/>
        <v>351</v>
      </c>
      <c r="V570">
        <v>7</v>
      </c>
      <c r="W570" t="s">
        <v>3053</v>
      </c>
      <c r="X570" s="3" t="s">
        <v>3556</v>
      </c>
      <c r="Y570" s="3">
        <f t="shared" si="62"/>
        <v>45212</v>
      </c>
      <c r="Z570">
        <v>0.32490000000000002</v>
      </c>
    </row>
    <row r="571" spans="1:26" x14ac:dyDescent="0.35">
      <c r="A571" t="s">
        <v>583</v>
      </c>
      <c r="B571" t="str">
        <f t="shared" si="56"/>
        <v>OK</v>
      </c>
      <c r="C571" t="s">
        <v>1896</v>
      </c>
      <c r="D571" s="2">
        <v>31</v>
      </c>
      <c r="E571">
        <f>IF(OR(D571&lt;18, D571&gt;100),AD570,D571)</f>
        <v>31</v>
      </c>
      <c r="F571" t="s">
        <v>2990</v>
      </c>
      <c r="G571" t="str">
        <f t="shared" si="57"/>
        <v>Male</v>
      </c>
      <c r="H571" t="s">
        <v>3003</v>
      </c>
      <c r="I571" t="s">
        <v>3020</v>
      </c>
      <c r="K571" t="str">
        <f t="shared" si="58"/>
        <v>Self-Employed</v>
      </c>
      <c r="L571">
        <v>4</v>
      </c>
      <c r="M571">
        <v>2344563</v>
      </c>
      <c r="N571">
        <f t="shared" si="59"/>
        <v>2344563</v>
      </c>
      <c r="O571">
        <v>116393</v>
      </c>
      <c r="P571">
        <v>27.63</v>
      </c>
      <c r="Q571">
        <v>24</v>
      </c>
      <c r="R571" t="s">
        <v>3047</v>
      </c>
      <c r="S571" t="str">
        <f t="shared" si="60"/>
        <v>Personal</v>
      </c>
      <c r="T571">
        <v>801</v>
      </c>
      <c r="U571">
        <f t="shared" si="61"/>
        <v>801</v>
      </c>
      <c r="V571">
        <v>0</v>
      </c>
      <c r="W571" t="s">
        <v>3053</v>
      </c>
      <c r="X571" s="3" t="s">
        <v>3557</v>
      </c>
      <c r="Y571" s="3">
        <f t="shared" si="62"/>
        <v>44850</v>
      </c>
      <c r="Z571">
        <v>4.9599999999999998E-2</v>
      </c>
    </row>
    <row r="572" spans="1:26" x14ac:dyDescent="0.35">
      <c r="A572" t="s">
        <v>584</v>
      </c>
      <c r="B572" t="str">
        <f t="shared" si="56"/>
        <v>OK</v>
      </c>
      <c r="C572" t="s">
        <v>2073</v>
      </c>
      <c r="D572" s="2">
        <v>35</v>
      </c>
      <c r="E572">
        <f>IF(OR(D572&lt;18, D572&gt;100),AD571,D572)</f>
        <v>35</v>
      </c>
      <c r="F572" t="s">
        <v>2992</v>
      </c>
      <c r="G572" t="str">
        <f t="shared" si="57"/>
        <v>Female</v>
      </c>
      <c r="H572" t="s">
        <v>2998</v>
      </c>
      <c r="I572" t="s">
        <v>3020</v>
      </c>
      <c r="K572" t="str">
        <f t="shared" si="58"/>
        <v>Self-Employed</v>
      </c>
      <c r="L572">
        <v>16</v>
      </c>
      <c r="N572">
        <f t="shared" si="59"/>
        <v>1333224</v>
      </c>
      <c r="O572">
        <v>364866</v>
      </c>
      <c r="P572">
        <v>20.2</v>
      </c>
      <c r="Q572">
        <v>24</v>
      </c>
      <c r="R572" t="s">
        <v>3047</v>
      </c>
      <c r="S572" t="str">
        <f t="shared" si="60"/>
        <v>Personal</v>
      </c>
      <c r="T572">
        <v>795</v>
      </c>
      <c r="U572">
        <f t="shared" si="61"/>
        <v>795</v>
      </c>
      <c r="V572">
        <v>1</v>
      </c>
      <c r="W572" t="s">
        <v>3055</v>
      </c>
      <c r="X572" s="3" t="s">
        <v>3558</v>
      </c>
      <c r="Y572" s="3">
        <v>44036</v>
      </c>
      <c r="Z572">
        <v>0.47560000000000002</v>
      </c>
    </row>
    <row r="573" spans="1:26" x14ac:dyDescent="0.35">
      <c r="A573" t="s">
        <v>585</v>
      </c>
      <c r="B573" t="str">
        <f t="shared" si="56"/>
        <v>OK</v>
      </c>
      <c r="C573" t="s">
        <v>2074</v>
      </c>
      <c r="D573" s="2">
        <v>61</v>
      </c>
      <c r="E573">
        <f>IF(OR(D573&lt;18, D573&gt;100),AD572,D573)</f>
        <v>61</v>
      </c>
      <c r="F573" t="s">
        <v>2992</v>
      </c>
      <c r="G573" t="str">
        <f t="shared" si="57"/>
        <v>Female</v>
      </c>
      <c r="H573" t="s">
        <v>2998</v>
      </c>
      <c r="I573" t="s">
        <v>3019</v>
      </c>
      <c r="K573" t="str">
        <f t="shared" si="58"/>
        <v>Employed</v>
      </c>
      <c r="L573">
        <v>3</v>
      </c>
      <c r="M573">
        <v>1024092</v>
      </c>
      <c r="N573">
        <f t="shared" si="59"/>
        <v>1024092</v>
      </c>
      <c r="O573">
        <v>259719</v>
      </c>
      <c r="P573">
        <v>10.09</v>
      </c>
      <c r="Q573">
        <v>12</v>
      </c>
      <c r="R573" t="s">
        <v>3050</v>
      </c>
      <c r="S573" t="str">
        <f t="shared" si="60"/>
        <v>Agriculture</v>
      </c>
      <c r="T573">
        <v>633</v>
      </c>
      <c r="U573">
        <f t="shared" si="61"/>
        <v>633</v>
      </c>
      <c r="V573">
        <v>7</v>
      </c>
      <c r="W573" t="s">
        <v>3053</v>
      </c>
      <c r="X573" s="3" t="s">
        <v>3559</v>
      </c>
      <c r="Y573" s="3">
        <f t="shared" si="62"/>
        <v>43949</v>
      </c>
      <c r="Z573">
        <v>0.25359999999999999</v>
      </c>
    </row>
    <row r="574" spans="1:26" x14ac:dyDescent="0.35">
      <c r="A574" t="s">
        <v>586</v>
      </c>
      <c r="B574" t="str">
        <f t="shared" si="56"/>
        <v>OK</v>
      </c>
      <c r="C574" t="s">
        <v>2075</v>
      </c>
      <c r="D574" s="2">
        <v>38</v>
      </c>
      <c r="E574">
        <f>IF(OR(D574&lt;18, D574&gt;100),AD573,D574)</f>
        <v>38</v>
      </c>
      <c r="F574" t="s">
        <v>2992</v>
      </c>
      <c r="G574" t="str">
        <f t="shared" si="57"/>
        <v>Female</v>
      </c>
      <c r="H574" t="s">
        <v>3002</v>
      </c>
      <c r="I574" t="s">
        <v>3018</v>
      </c>
      <c r="K574" t="str">
        <f t="shared" si="58"/>
        <v>Business Owner</v>
      </c>
      <c r="L574">
        <v>18</v>
      </c>
      <c r="M574">
        <v>770381</v>
      </c>
      <c r="N574">
        <f t="shared" si="59"/>
        <v>770381</v>
      </c>
      <c r="O574">
        <v>372365</v>
      </c>
      <c r="P574">
        <v>14.8</v>
      </c>
      <c r="Q574">
        <v>24</v>
      </c>
      <c r="R574" t="s">
        <v>3051</v>
      </c>
      <c r="S574" t="str">
        <f t="shared" si="60"/>
        <v>Education</v>
      </c>
      <c r="T574">
        <v>530</v>
      </c>
      <c r="U574">
        <f t="shared" si="61"/>
        <v>530</v>
      </c>
      <c r="V574">
        <v>3</v>
      </c>
      <c r="W574" t="s">
        <v>3055</v>
      </c>
      <c r="X574" s="3" t="s">
        <v>3560</v>
      </c>
      <c r="Y574" s="3">
        <f t="shared" si="62"/>
        <v>44680</v>
      </c>
      <c r="Z574">
        <v>0.4834</v>
      </c>
    </row>
    <row r="575" spans="1:26" x14ac:dyDescent="0.35">
      <c r="A575" t="s">
        <v>587</v>
      </c>
      <c r="B575" t="str">
        <f t="shared" ref="B575:B638" si="63">IF(A575="", "MISSING", "OK")</f>
        <v>OK</v>
      </c>
      <c r="C575" t="s">
        <v>2076</v>
      </c>
      <c r="D575" s="2">
        <v>51</v>
      </c>
      <c r="E575">
        <f>IF(OR(D575&lt;18, D575&gt;100),AD574,D575)</f>
        <v>51</v>
      </c>
      <c r="F575" t="s">
        <v>2992</v>
      </c>
      <c r="G575" t="str">
        <f t="shared" si="57"/>
        <v>Female</v>
      </c>
      <c r="H575" t="s">
        <v>3006</v>
      </c>
      <c r="I575" t="s">
        <v>3018</v>
      </c>
      <c r="K575" t="str">
        <f t="shared" si="58"/>
        <v>Business Owner</v>
      </c>
      <c r="L575">
        <v>22</v>
      </c>
      <c r="M575">
        <v>684409</v>
      </c>
      <c r="N575">
        <f t="shared" si="59"/>
        <v>684409</v>
      </c>
      <c r="O575">
        <v>307644</v>
      </c>
      <c r="P575">
        <v>19.41</v>
      </c>
      <c r="Q575">
        <v>24</v>
      </c>
      <c r="R575" t="s">
        <v>3046</v>
      </c>
      <c r="S575" t="str">
        <f t="shared" si="60"/>
        <v>Medical</v>
      </c>
      <c r="T575">
        <v>503</v>
      </c>
      <c r="U575">
        <f t="shared" si="61"/>
        <v>503</v>
      </c>
      <c r="V575">
        <v>4</v>
      </c>
      <c r="W575" t="s">
        <v>3052</v>
      </c>
      <c r="X575" s="3" t="s">
        <v>3561</v>
      </c>
      <c r="Y575" s="3">
        <f t="shared" si="62"/>
        <v>44075</v>
      </c>
      <c r="Z575">
        <v>0.44950000000000001</v>
      </c>
    </row>
    <row r="576" spans="1:26" x14ac:dyDescent="0.35">
      <c r="A576" t="s">
        <v>588</v>
      </c>
      <c r="B576" t="str">
        <f t="shared" si="63"/>
        <v>OK</v>
      </c>
      <c r="C576" t="s">
        <v>2077</v>
      </c>
      <c r="D576" s="2">
        <v>28</v>
      </c>
      <c r="E576">
        <f>IF(OR(D576&lt;18, D576&gt;100),AD575,D576)</f>
        <v>28</v>
      </c>
      <c r="F576" t="s">
        <v>2992</v>
      </c>
      <c r="G576" t="str">
        <f t="shared" si="57"/>
        <v>Female</v>
      </c>
      <c r="H576" t="s">
        <v>3001</v>
      </c>
      <c r="I576" t="s">
        <v>3018</v>
      </c>
      <c r="K576" t="str">
        <f t="shared" si="58"/>
        <v>Business Owner</v>
      </c>
      <c r="L576">
        <v>3</v>
      </c>
      <c r="M576">
        <v>1670687</v>
      </c>
      <c r="N576">
        <f t="shared" si="59"/>
        <v>1670687</v>
      </c>
      <c r="O576">
        <v>728672</v>
      </c>
      <c r="P576">
        <v>21.64</v>
      </c>
      <c r="Q576">
        <v>24</v>
      </c>
      <c r="R576" t="s">
        <v>3049</v>
      </c>
      <c r="S576" t="str">
        <f t="shared" si="60"/>
        <v>Business</v>
      </c>
      <c r="T576">
        <v>843</v>
      </c>
      <c r="U576">
        <f t="shared" si="61"/>
        <v>843</v>
      </c>
      <c r="V576">
        <v>2</v>
      </c>
      <c r="W576" t="s">
        <v>3054</v>
      </c>
      <c r="X576" s="3" t="s">
        <v>3562</v>
      </c>
      <c r="Y576" s="3">
        <f t="shared" si="62"/>
        <v>45208</v>
      </c>
      <c r="Z576">
        <v>0.43619999999999998</v>
      </c>
    </row>
    <row r="577" spans="1:26" x14ac:dyDescent="0.35">
      <c r="A577" t="s">
        <v>589</v>
      </c>
      <c r="B577" t="str">
        <f t="shared" si="63"/>
        <v>OK</v>
      </c>
      <c r="C577" t="s">
        <v>2078</v>
      </c>
      <c r="D577" s="2">
        <v>44</v>
      </c>
      <c r="E577">
        <f>IF(OR(D577&lt;18, D577&gt;100),AD576,D577)</f>
        <v>44</v>
      </c>
      <c r="F577" t="s">
        <v>2992</v>
      </c>
      <c r="G577" t="str">
        <f t="shared" si="57"/>
        <v>Female</v>
      </c>
      <c r="H577" t="s">
        <v>3004</v>
      </c>
      <c r="I577" t="s">
        <v>3021</v>
      </c>
      <c r="K577" t="str">
        <f t="shared" si="58"/>
        <v>Unemployed</v>
      </c>
      <c r="L577">
        <v>18</v>
      </c>
      <c r="M577">
        <v>2067895</v>
      </c>
      <c r="N577">
        <f t="shared" si="59"/>
        <v>2067895</v>
      </c>
      <c r="O577">
        <v>423561</v>
      </c>
      <c r="P577">
        <v>20.47</v>
      </c>
      <c r="Q577">
        <v>48</v>
      </c>
      <c r="R577" t="s">
        <v>3049</v>
      </c>
      <c r="S577" t="str">
        <f t="shared" si="60"/>
        <v>Business</v>
      </c>
      <c r="T577">
        <v>641</v>
      </c>
      <c r="U577">
        <f t="shared" si="61"/>
        <v>641</v>
      </c>
      <c r="V577">
        <v>2</v>
      </c>
      <c r="W577" t="s">
        <v>3057</v>
      </c>
      <c r="X577" s="3" t="s">
        <v>3486</v>
      </c>
      <c r="Y577" s="3">
        <f t="shared" si="62"/>
        <v>44966</v>
      </c>
      <c r="Z577">
        <v>0.20480000000000001</v>
      </c>
    </row>
    <row r="578" spans="1:26" x14ac:dyDescent="0.35">
      <c r="A578" t="s">
        <v>590</v>
      </c>
      <c r="B578" t="str">
        <f t="shared" si="63"/>
        <v>OK</v>
      </c>
      <c r="C578" t="s">
        <v>2079</v>
      </c>
      <c r="D578" s="2">
        <v>44</v>
      </c>
      <c r="E578">
        <f>IF(OR(D578&lt;18, D578&gt;100),AD577,D578)</f>
        <v>44</v>
      </c>
      <c r="F578" t="s">
        <v>2992</v>
      </c>
      <c r="G578" t="str">
        <f t="shared" si="57"/>
        <v>Female</v>
      </c>
      <c r="H578" t="s">
        <v>2999</v>
      </c>
      <c r="I578" t="s">
        <v>3019</v>
      </c>
      <c r="K578" t="str">
        <f t="shared" si="58"/>
        <v>Employed</v>
      </c>
      <c r="L578">
        <v>28</v>
      </c>
      <c r="M578">
        <v>1375225</v>
      </c>
      <c r="N578">
        <f t="shared" si="59"/>
        <v>1375225</v>
      </c>
      <c r="O578">
        <v>131086</v>
      </c>
      <c r="P578">
        <v>23.15</v>
      </c>
      <c r="Q578">
        <v>60</v>
      </c>
      <c r="R578" t="s">
        <v>3049</v>
      </c>
      <c r="S578" t="str">
        <f t="shared" si="60"/>
        <v>Business</v>
      </c>
      <c r="T578">
        <v>311</v>
      </c>
      <c r="U578">
        <f t="shared" si="61"/>
        <v>311</v>
      </c>
      <c r="V578">
        <v>1</v>
      </c>
      <c r="W578" t="s">
        <v>3052</v>
      </c>
      <c r="X578" s="3" t="s">
        <v>3097</v>
      </c>
      <c r="Y578" s="3">
        <f t="shared" si="62"/>
        <v>43912</v>
      </c>
      <c r="Z578">
        <v>9.5299999999999996E-2</v>
      </c>
    </row>
    <row r="579" spans="1:26" x14ac:dyDescent="0.35">
      <c r="A579" t="s">
        <v>591</v>
      </c>
      <c r="B579" t="str">
        <f t="shared" si="63"/>
        <v>OK</v>
      </c>
      <c r="C579" t="s">
        <v>2080</v>
      </c>
      <c r="D579" s="2">
        <v>54</v>
      </c>
      <c r="E579">
        <f>IF(OR(D579&lt;18, D579&gt;100),AD578,D579)</f>
        <v>54</v>
      </c>
      <c r="F579" t="s">
        <v>2992</v>
      </c>
      <c r="G579" t="str">
        <f t="shared" ref="G579:G642" si="64">IF(F579="", "Unknown", IF(OR(F579="F", F579="FEMALE", F579="Female"), "Female", IF(OR(F579="M", F579="MALE", F579="Male"), "Male", "Other")))</f>
        <v>Female</v>
      </c>
      <c r="H579" t="s">
        <v>3004</v>
      </c>
      <c r="I579" t="s">
        <v>3020</v>
      </c>
      <c r="K579" t="str">
        <f t="shared" ref="K579:K642" si="65">IF(I579="", "Unknown", I579)</f>
        <v>Self-Employed</v>
      </c>
      <c r="L579">
        <v>20</v>
      </c>
      <c r="M579">
        <v>1048374</v>
      </c>
      <c r="N579">
        <f t="shared" ref="N579:N642" si="66">IF(OR(M579="",M579&lt;0),$AD$3,M579)</f>
        <v>1048374</v>
      </c>
      <c r="O579">
        <v>336462</v>
      </c>
      <c r="P579">
        <v>18.37</v>
      </c>
      <c r="Q579">
        <v>48</v>
      </c>
      <c r="R579" t="s">
        <v>3050</v>
      </c>
      <c r="S579" t="str">
        <f t="shared" ref="S579:S642" si="67">IF(R579="", "Unknown", R579)</f>
        <v>Agriculture</v>
      </c>
      <c r="T579">
        <v>655</v>
      </c>
      <c r="U579">
        <f t="shared" ref="U579:U642" si="68">IF(OR(T579="",T579&gt;999),$AD$2,T579)</f>
        <v>655</v>
      </c>
      <c r="V579">
        <v>5</v>
      </c>
      <c r="W579" t="s">
        <v>3053</v>
      </c>
      <c r="X579" s="3" t="s">
        <v>3563</v>
      </c>
      <c r="Y579" s="3">
        <f t="shared" ref="Y579:Y642" si="69">IF(ISNUMBER(X579), X579, DATEVALUE(X579))</f>
        <v>44144</v>
      </c>
      <c r="Z579">
        <v>0.32090000000000002</v>
      </c>
    </row>
    <row r="580" spans="1:26" x14ac:dyDescent="0.35">
      <c r="A580" t="s">
        <v>592</v>
      </c>
      <c r="B580" t="str">
        <f t="shared" si="63"/>
        <v>OK</v>
      </c>
      <c r="C580" t="s">
        <v>2081</v>
      </c>
      <c r="D580" s="2">
        <v>39</v>
      </c>
      <c r="E580">
        <f>IF(OR(D580&lt;18, D580&gt;100),AD579,D580)</f>
        <v>39</v>
      </c>
      <c r="F580" t="s">
        <v>2990</v>
      </c>
      <c r="G580" t="str">
        <f t="shared" si="64"/>
        <v>Male</v>
      </c>
      <c r="H580" t="s">
        <v>3001</v>
      </c>
      <c r="I580" t="s">
        <v>3020</v>
      </c>
      <c r="K580" t="str">
        <f t="shared" si="65"/>
        <v>Self-Employed</v>
      </c>
      <c r="L580">
        <v>9</v>
      </c>
      <c r="M580">
        <v>1905690</v>
      </c>
      <c r="N580">
        <f t="shared" si="66"/>
        <v>1905690</v>
      </c>
      <c r="O580">
        <v>526581</v>
      </c>
      <c r="P580">
        <v>12.37</v>
      </c>
      <c r="Q580">
        <v>24</v>
      </c>
      <c r="S580" t="str">
        <f t="shared" si="67"/>
        <v>Unknown</v>
      </c>
      <c r="T580">
        <v>535</v>
      </c>
      <c r="U580">
        <f t="shared" si="68"/>
        <v>535</v>
      </c>
      <c r="V580">
        <v>2</v>
      </c>
      <c r="W580" t="s">
        <v>3054</v>
      </c>
      <c r="X580" s="3" t="s">
        <v>3323</v>
      </c>
      <c r="Y580" s="3">
        <f t="shared" si="69"/>
        <v>44040</v>
      </c>
      <c r="Z580">
        <v>0.27629999999999999</v>
      </c>
    </row>
    <row r="581" spans="1:26" x14ac:dyDescent="0.35">
      <c r="A581" t="s">
        <v>593</v>
      </c>
      <c r="B581" t="str">
        <f t="shared" si="63"/>
        <v>OK</v>
      </c>
      <c r="C581" t="s">
        <v>2082</v>
      </c>
      <c r="D581" s="2">
        <v>57</v>
      </c>
      <c r="E581">
        <f>IF(OR(D581&lt;18, D581&gt;100),AD580,D581)</f>
        <v>57</v>
      </c>
      <c r="F581" t="s">
        <v>2992</v>
      </c>
      <c r="G581" t="str">
        <f t="shared" si="64"/>
        <v>Female</v>
      </c>
      <c r="H581" t="s">
        <v>3007</v>
      </c>
      <c r="I581" t="s">
        <v>3020</v>
      </c>
      <c r="K581" t="str">
        <f t="shared" si="65"/>
        <v>Self-Employed</v>
      </c>
      <c r="L581">
        <v>7</v>
      </c>
      <c r="M581">
        <v>1996030</v>
      </c>
      <c r="N581">
        <f t="shared" si="66"/>
        <v>1996030</v>
      </c>
      <c r="O581">
        <v>438596</v>
      </c>
      <c r="P581">
        <v>8.99</v>
      </c>
      <c r="Q581">
        <v>24</v>
      </c>
      <c r="R581" t="s">
        <v>3050</v>
      </c>
      <c r="S581" t="str">
        <f t="shared" si="67"/>
        <v>Agriculture</v>
      </c>
      <c r="T581">
        <v>384</v>
      </c>
      <c r="U581">
        <f t="shared" si="68"/>
        <v>384</v>
      </c>
      <c r="V581">
        <v>0</v>
      </c>
      <c r="W581" t="s">
        <v>3056</v>
      </c>
      <c r="X581" s="3" t="s">
        <v>3564</v>
      </c>
      <c r="Y581" s="3">
        <f t="shared" si="69"/>
        <v>44435</v>
      </c>
      <c r="Z581">
        <v>0.21970000000000001</v>
      </c>
    </row>
    <row r="582" spans="1:26" x14ac:dyDescent="0.35">
      <c r="A582" t="s">
        <v>594</v>
      </c>
      <c r="B582" t="str">
        <f t="shared" si="63"/>
        <v>OK</v>
      </c>
      <c r="C582" t="s">
        <v>2083</v>
      </c>
      <c r="D582" s="2">
        <v>28</v>
      </c>
      <c r="E582">
        <f>IF(OR(D582&lt;18, D582&gt;100),AD581,D582)</f>
        <v>28</v>
      </c>
      <c r="F582" t="s">
        <v>2990</v>
      </c>
      <c r="G582" t="str">
        <f t="shared" si="64"/>
        <v>Male</v>
      </c>
      <c r="H582" t="s">
        <v>3001</v>
      </c>
      <c r="I582" t="s">
        <v>3020</v>
      </c>
      <c r="K582" t="str">
        <f t="shared" si="65"/>
        <v>Self-Employed</v>
      </c>
      <c r="L582">
        <v>18</v>
      </c>
      <c r="M582">
        <v>453349</v>
      </c>
      <c r="N582">
        <f t="shared" si="66"/>
        <v>453349</v>
      </c>
      <c r="O582">
        <v>793952</v>
      </c>
      <c r="P582">
        <v>14.24</v>
      </c>
      <c r="Q582">
        <v>36</v>
      </c>
      <c r="R582" t="s">
        <v>3050</v>
      </c>
      <c r="S582" t="str">
        <f t="shared" si="67"/>
        <v>Agriculture</v>
      </c>
      <c r="T582">
        <v>835</v>
      </c>
      <c r="U582">
        <f t="shared" si="68"/>
        <v>835</v>
      </c>
      <c r="V582">
        <v>6</v>
      </c>
      <c r="W582" t="s">
        <v>3054</v>
      </c>
      <c r="X582" s="3" t="s">
        <v>3565</v>
      </c>
      <c r="Y582" s="3">
        <f t="shared" si="69"/>
        <v>44018</v>
      </c>
      <c r="Z582">
        <v>1.7513000000000001</v>
      </c>
    </row>
    <row r="583" spans="1:26" x14ac:dyDescent="0.35">
      <c r="A583" t="s">
        <v>595</v>
      </c>
      <c r="B583" t="str">
        <f t="shared" si="63"/>
        <v>OK</v>
      </c>
      <c r="C583" t="s">
        <v>2084</v>
      </c>
      <c r="D583" s="2">
        <v>25</v>
      </c>
      <c r="E583">
        <f>IF(OR(D583&lt;18, D583&gt;100),AD582,D583)</f>
        <v>25</v>
      </c>
      <c r="F583" t="s">
        <v>2990</v>
      </c>
      <c r="G583" t="str">
        <f t="shared" si="64"/>
        <v>Male</v>
      </c>
      <c r="H583" t="s">
        <v>2998</v>
      </c>
      <c r="I583" t="s">
        <v>3020</v>
      </c>
      <c r="K583" t="str">
        <f t="shared" si="65"/>
        <v>Self-Employed</v>
      </c>
      <c r="L583">
        <v>28</v>
      </c>
      <c r="M583">
        <v>1747628</v>
      </c>
      <c r="N583">
        <f t="shared" si="66"/>
        <v>1747628</v>
      </c>
      <c r="O583">
        <v>696296</v>
      </c>
      <c r="P583">
        <v>12.53</v>
      </c>
      <c r="Q583">
        <v>36</v>
      </c>
      <c r="R583" t="s">
        <v>3051</v>
      </c>
      <c r="S583" t="str">
        <f t="shared" si="67"/>
        <v>Education</v>
      </c>
      <c r="T583">
        <v>476</v>
      </c>
      <c r="U583">
        <f t="shared" si="68"/>
        <v>476</v>
      </c>
      <c r="V583">
        <v>0</v>
      </c>
      <c r="W583" t="s">
        <v>3054</v>
      </c>
      <c r="X583" s="3" t="s">
        <v>3566</v>
      </c>
      <c r="Y583" s="3">
        <f t="shared" si="69"/>
        <v>44595</v>
      </c>
      <c r="Z583">
        <v>0.39839999999999998</v>
      </c>
    </row>
    <row r="584" spans="1:26" x14ac:dyDescent="0.35">
      <c r="A584" t="s">
        <v>596</v>
      </c>
      <c r="B584" t="str">
        <f t="shared" si="63"/>
        <v>OK</v>
      </c>
      <c r="C584" t="s">
        <v>2085</v>
      </c>
      <c r="D584" s="2">
        <v>32</v>
      </c>
      <c r="E584">
        <f>IF(OR(D584&lt;18, D584&gt;100),AD583,D584)</f>
        <v>32</v>
      </c>
      <c r="G584" t="str">
        <f t="shared" si="64"/>
        <v>Unknown</v>
      </c>
      <c r="H584" t="s">
        <v>3006</v>
      </c>
      <c r="I584" t="s">
        <v>3018</v>
      </c>
      <c r="K584" t="str">
        <f t="shared" si="65"/>
        <v>Business Owner</v>
      </c>
      <c r="L584">
        <v>23</v>
      </c>
      <c r="M584">
        <v>842784</v>
      </c>
      <c r="N584">
        <f t="shared" si="66"/>
        <v>842784</v>
      </c>
      <c r="O584">
        <v>793422</v>
      </c>
      <c r="P584">
        <v>22.78</v>
      </c>
      <c r="Q584">
        <v>48</v>
      </c>
      <c r="R584" t="s">
        <v>3046</v>
      </c>
      <c r="S584" t="str">
        <f t="shared" si="67"/>
        <v>Medical</v>
      </c>
      <c r="T584">
        <v>439</v>
      </c>
      <c r="U584">
        <f t="shared" si="68"/>
        <v>439</v>
      </c>
      <c r="V584">
        <v>1</v>
      </c>
      <c r="W584" t="s">
        <v>3055</v>
      </c>
      <c r="X584" s="3" t="s">
        <v>3567</v>
      </c>
      <c r="Y584" s="3">
        <f t="shared" si="69"/>
        <v>44475</v>
      </c>
      <c r="Z584">
        <v>0.94140000000000001</v>
      </c>
    </row>
    <row r="585" spans="1:26" x14ac:dyDescent="0.35">
      <c r="A585" t="s">
        <v>597</v>
      </c>
      <c r="B585" t="str">
        <f t="shared" si="63"/>
        <v>OK</v>
      </c>
      <c r="C585" t="s">
        <v>2086</v>
      </c>
      <c r="D585" s="2">
        <v>31</v>
      </c>
      <c r="E585">
        <f>IF(OR(D585&lt;18, D585&gt;100),AD584,D585)</f>
        <v>31</v>
      </c>
      <c r="F585" t="s">
        <v>2992</v>
      </c>
      <c r="G585" t="str">
        <f t="shared" si="64"/>
        <v>Female</v>
      </c>
      <c r="H585" t="s">
        <v>3002</v>
      </c>
      <c r="I585" t="s">
        <v>3021</v>
      </c>
      <c r="K585" t="str">
        <f t="shared" si="65"/>
        <v>Unemployed</v>
      </c>
      <c r="L585">
        <v>16</v>
      </c>
      <c r="M585">
        <v>2138637</v>
      </c>
      <c r="N585">
        <f t="shared" si="66"/>
        <v>2138637</v>
      </c>
      <c r="O585">
        <v>461048</v>
      </c>
      <c r="P585">
        <v>15.18</v>
      </c>
      <c r="Q585">
        <v>48</v>
      </c>
      <c r="R585" t="s">
        <v>3047</v>
      </c>
      <c r="S585" t="str">
        <f t="shared" si="67"/>
        <v>Personal</v>
      </c>
      <c r="T585">
        <v>788</v>
      </c>
      <c r="U585">
        <f t="shared" si="68"/>
        <v>788</v>
      </c>
      <c r="V585">
        <v>0</v>
      </c>
      <c r="W585" t="s">
        <v>3052</v>
      </c>
      <c r="X585" s="3" t="s">
        <v>3187</v>
      </c>
      <c r="Y585" s="3">
        <f t="shared" si="69"/>
        <v>44078</v>
      </c>
      <c r="Z585">
        <v>0.21560000000000001</v>
      </c>
    </row>
    <row r="586" spans="1:26" x14ac:dyDescent="0.35">
      <c r="A586" t="s">
        <v>598</v>
      </c>
      <c r="B586" t="str">
        <f t="shared" si="63"/>
        <v>OK</v>
      </c>
      <c r="C586" t="s">
        <v>2087</v>
      </c>
      <c r="D586" s="2">
        <v>37</v>
      </c>
      <c r="E586">
        <f>IF(OR(D586&lt;18, D586&gt;100),AD585,D586)</f>
        <v>37</v>
      </c>
      <c r="F586" t="s">
        <v>2992</v>
      </c>
      <c r="G586" t="str">
        <f t="shared" si="64"/>
        <v>Female</v>
      </c>
      <c r="H586" t="s">
        <v>3000</v>
      </c>
      <c r="I586" t="s">
        <v>3021</v>
      </c>
      <c r="K586" t="str">
        <f t="shared" si="65"/>
        <v>Unemployed</v>
      </c>
      <c r="L586">
        <v>12</v>
      </c>
      <c r="M586">
        <v>1162599</v>
      </c>
      <c r="N586">
        <f t="shared" si="66"/>
        <v>1162599</v>
      </c>
      <c r="O586">
        <v>309730</v>
      </c>
      <c r="P586">
        <v>9.5399999999999991</v>
      </c>
      <c r="Q586">
        <v>24</v>
      </c>
      <c r="R586" t="s">
        <v>3048</v>
      </c>
      <c r="S586" t="str">
        <f t="shared" si="67"/>
        <v>Home Improvement</v>
      </c>
      <c r="T586">
        <v>704</v>
      </c>
      <c r="U586">
        <f t="shared" si="68"/>
        <v>704</v>
      </c>
      <c r="V586">
        <v>1</v>
      </c>
      <c r="W586" t="s">
        <v>3053</v>
      </c>
      <c r="X586" s="3" t="s">
        <v>3568</v>
      </c>
      <c r="Y586" s="3">
        <f t="shared" si="69"/>
        <v>44783</v>
      </c>
      <c r="Z586">
        <v>0.26640000000000003</v>
      </c>
    </row>
    <row r="587" spans="1:26" x14ac:dyDescent="0.35">
      <c r="A587" t="s">
        <v>599</v>
      </c>
      <c r="B587" t="str">
        <f t="shared" si="63"/>
        <v>OK</v>
      </c>
      <c r="C587" t="s">
        <v>2088</v>
      </c>
      <c r="D587" s="2">
        <v>28</v>
      </c>
      <c r="E587">
        <f>IF(OR(D587&lt;18, D587&gt;100),AD586,D587)</f>
        <v>28</v>
      </c>
      <c r="F587" t="s">
        <v>2990</v>
      </c>
      <c r="G587" t="str">
        <f t="shared" si="64"/>
        <v>Male</v>
      </c>
      <c r="H587" t="s">
        <v>3002</v>
      </c>
      <c r="I587" t="s">
        <v>3021</v>
      </c>
      <c r="K587" t="str">
        <f t="shared" si="65"/>
        <v>Unemployed</v>
      </c>
      <c r="L587">
        <v>19</v>
      </c>
      <c r="M587">
        <v>774305</v>
      </c>
      <c r="N587">
        <f t="shared" si="66"/>
        <v>774305</v>
      </c>
      <c r="O587">
        <v>167595</v>
      </c>
      <c r="P587">
        <v>13.02</v>
      </c>
      <c r="Q587">
        <v>12</v>
      </c>
      <c r="R587" t="s">
        <v>3047</v>
      </c>
      <c r="S587" t="str">
        <f t="shared" si="67"/>
        <v>Personal</v>
      </c>
      <c r="T587">
        <v>569</v>
      </c>
      <c r="U587">
        <f t="shared" si="68"/>
        <v>569</v>
      </c>
      <c r="V587">
        <v>7</v>
      </c>
      <c r="W587" t="s">
        <v>3063</v>
      </c>
      <c r="X587" s="3" t="s">
        <v>3569</v>
      </c>
      <c r="Y587" s="3">
        <f t="shared" si="69"/>
        <v>44416</v>
      </c>
      <c r="Z587">
        <v>0.21640000000000001</v>
      </c>
    </row>
    <row r="588" spans="1:26" x14ac:dyDescent="0.35">
      <c r="A588" t="s">
        <v>600</v>
      </c>
      <c r="B588" t="str">
        <f t="shared" si="63"/>
        <v>OK</v>
      </c>
      <c r="C588" t="s">
        <v>2089</v>
      </c>
      <c r="D588" s="2">
        <v>48</v>
      </c>
      <c r="E588">
        <f>IF(OR(D588&lt;18, D588&gt;100),AD587,D588)</f>
        <v>48</v>
      </c>
      <c r="F588" t="s">
        <v>2992</v>
      </c>
      <c r="G588" t="str">
        <f t="shared" si="64"/>
        <v>Female</v>
      </c>
      <c r="H588" t="s">
        <v>2998</v>
      </c>
      <c r="I588" t="s">
        <v>3020</v>
      </c>
      <c r="K588" t="str">
        <f t="shared" si="65"/>
        <v>Self-Employed</v>
      </c>
      <c r="L588">
        <v>21</v>
      </c>
      <c r="M588">
        <v>643001</v>
      </c>
      <c r="N588">
        <f t="shared" si="66"/>
        <v>643001</v>
      </c>
      <c r="O588">
        <v>143099</v>
      </c>
      <c r="P588">
        <v>9.09</v>
      </c>
      <c r="Q588">
        <v>48</v>
      </c>
      <c r="R588" t="s">
        <v>3048</v>
      </c>
      <c r="S588" t="str">
        <f t="shared" si="67"/>
        <v>Home Improvement</v>
      </c>
      <c r="T588">
        <v>311</v>
      </c>
      <c r="U588">
        <f t="shared" si="68"/>
        <v>311</v>
      </c>
      <c r="V588">
        <v>1</v>
      </c>
      <c r="W588" t="s">
        <v>3053</v>
      </c>
      <c r="X588" s="3" t="s">
        <v>3570</v>
      </c>
      <c r="Y588" s="3">
        <f t="shared" si="69"/>
        <v>44873</v>
      </c>
      <c r="Z588">
        <v>0.2225</v>
      </c>
    </row>
    <row r="589" spans="1:26" x14ac:dyDescent="0.35">
      <c r="A589" t="s">
        <v>601</v>
      </c>
      <c r="B589" t="str">
        <f t="shared" si="63"/>
        <v>OK</v>
      </c>
      <c r="C589" t="s">
        <v>2090</v>
      </c>
      <c r="D589" s="2">
        <v>64</v>
      </c>
      <c r="E589">
        <f>IF(OR(D589&lt;18, D589&gt;100),AD588,D589)</f>
        <v>64</v>
      </c>
      <c r="F589" t="s">
        <v>2990</v>
      </c>
      <c r="G589" t="str">
        <f t="shared" si="64"/>
        <v>Male</v>
      </c>
      <c r="H589" t="s">
        <v>3002</v>
      </c>
      <c r="I589" t="s">
        <v>3018</v>
      </c>
      <c r="K589" t="str">
        <f t="shared" si="65"/>
        <v>Business Owner</v>
      </c>
      <c r="L589">
        <v>8</v>
      </c>
      <c r="M589">
        <v>1248199</v>
      </c>
      <c r="N589">
        <f t="shared" si="66"/>
        <v>1248199</v>
      </c>
      <c r="O589">
        <v>665822</v>
      </c>
      <c r="P589">
        <v>12.99</v>
      </c>
      <c r="Q589">
        <v>24</v>
      </c>
      <c r="R589" t="s">
        <v>3047</v>
      </c>
      <c r="S589" t="str">
        <f t="shared" si="67"/>
        <v>Personal</v>
      </c>
      <c r="T589">
        <v>622</v>
      </c>
      <c r="U589">
        <f t="shared" si="68"/>
        <v>622</v>
      </c>
      <c r="V589">
        <v>7</v>
      </c>
      <c r="W589" t="s">
        <v>3056</v>
      </c>
      <c r="X589" s="3" t="s">
        <v>3571</v>
      </c>
      <c r="Y589" s="3">
        <f t="shared" si="69"/>
        <v>44282</v>
      </c>
      <c r="Z589">
        <v>0.53339999999999999</v>
      </c>
    </row>
    <row r="590" spans="1:26" x14ac:dyDescent="0.35">
      <c r="A590" t="s">
        <v>602</v>
      </c>
      <c r="B590" t="str">
        <f t="shared" si="63"/>
        <v>OK</v>
      </c>
      <c r="C590" t="s">
        <v>2091</v>
      </c>
      <c r="D590" s="2">
        <v>46</v>
      </c>
      <c r="E590">
        <f>IF(OR(D590&lt;18, D590&gt;100),AD589,D590)</f>
        <v>46</v>
      </c>
      <c r="F590" t="s">
        <v>2990</v>
      </c>
      <c r="G590" t="str">
        <f t="shared" si="64"/>
        <v>Male</v>
      </c>
      <c r="H590" t="s">
        <v>3003</v>
      </c>
      <c r="I590" t="s">
        <v>3019</v>
      </c>
      <c r="K590" t="str">
        <f t="shared" si="65"/>
        <v>Employed</v>
      </c>
      <c r="L590">
        <v>22</v>
      </c>
      <c r="M590">
        <v>969352</v>
      </c>
      <c r="N590">
        <f t="shared" si="66"/>
        <v>969352</v>
      </c>
      <c r="O590">
        <v>72428</v>
      </c>
      <c r="P590">
        <v>17.64</v>
      </c>
      <c r="Q590">
        <v>24</v>
      </c>
      <c r="R590" t="s">
        <v>3047</v>
      </c>
      <c r="S590" t="str">
        <f t="shared" si="67"/>
        <v>Personal</v>
      </c>
      <c r="T590">
        <v>561</v>
      </c>
      <c r="U590">
        <f t="shared" si="68"/>
        <v>561</v>
      </c>
      <c r="V590">
        <v>4</v>
      </c>
      <c r="W590" t="s">
        <v>3055</v>
      </c>
      <c r="X590" s="3" t="s">
        <v>3572</v>
      </c>
      <c r="Y590" s="3">
        <f t="shared" si="69"/>
        <v>43845</v>
      </c>
      <c r="Z590">
        <v>7.4700000000000003E-2</v>
      </c>
    </row>
    <row r="591" spans="1:26" x14ac:dyDescent="0.35">
      <c r="A591" t="s">
        <v>305</v>
      </c>
      <c r="B591" t="str">
        <f t="shared" si="63"/>
        <v>OK</v>
      </c>
      <c r="C591" t="s">
        <v>1795</v>
      </c>
      <c r="D591" s="2">
        <v>41</v>
      </c>
      <c r="E591">
        <f>IF(OR(D591&lt;18, D591&gt;100),AD590,D591)</f>
        <v>41</v>
      </c>
      <c r="G591" t="str">
        <f t="shared" si="64"/>
        <v>Unknown</v>
      </c>
      <c r="H591" t="s">
        <v>3005</v>
      </c>
      <c r="I591" t="s">
        <v>3019</v>
      </c>
      <c r="K591" t="str">
        <f t="shared" si="65"/>
        <v>Employed</v>
      </c>
      <c r="L591">
        <v>11</v>
      </c>
      <c r="M591">
        <v>557539</v>
      </c>
      <c r="N591">
        <f t="shared" si="66"/>
        <v>557539</v>
      </c>
      <c r="O591">
        <v>65475</v>
      </c>
      <c r="P591">
        <v>11.49</v>
      </c>
      <c r="Q591">
        <v>60</v>
      </c>
      <c r="R591" t="s">
        <v>3050</v>
      </c>
      <c r="S591" t="str">
        <f t="shared" si="67"/>
        <v>Agriculture</v>
      </c>
      <c r="T591">
        <v>805</v>
      </c>
      <c r="U591">
        <f t="shared" si="68"/>
        <v>805</v>
      </c>
      <c r="V591">
        <v>0</v>
      </c>
      <c r="W591" t="s">
        <v>3055</v>
      </c>
      <c r="X591" s="3" t="s">
        <v>3507</v>
      </c>
      <c r="Y591" s="3">
        <f t="shared" si="69"/>
        <v>45052</v>
      </c>
      <c r="Z591">
        <v>0.1174</v>
      </c>
    </row>
    <row r="592" spans="1:26" x14ac:dyDescent="0.35">
      <c r="A592" t="s">
        <v>603</v>
      </c>
      <c r="B592" t="str">
        <f t="shared" si="63"/>
        <v>OK</v>
      </c>
      <c r="C592" t="s">
        <v>2092</v>
      </c>
      <c r="D592" s="2">
        <v>21</v>
      </c>
      <c r="E592">
        <f>IF(OR(D592&lt;18, D592&gt;100),AD591,D592)</f>
        <v>21</v>
      </c>
      <c r="F592" t="s">
        <v>2994</v>
      </c>
      <c r="G592" t="str">
        <f t="shared" si="64"/>
        <v>Female</v>
      </c>
      <c r="H592" t="s">
        <v>3006</v>
      </c>
      <c r="I592" t="s">
        <v>3021</v>
      </c>
      <c r="K592" t="str">
        <f t="shared" si="65"/>
        <v>Unemployed</v>
      </c>
      <c r="L592">
        <v>15</v>
      </c>
      <c r="M592">
        <v>1003346</v>
      </c>
      <c r="N592">
        <f t="shared" si="66"/>
        <v>1003346</v>
      </c>
      <c r="O592">
        <v>787876</v>
      </c>
      <c r="P592">
        <v>21.94</v>
      </c>
      <c r="Q592">
        <v>24</v>
      </c>
      <c r="R592" t="s">
        <v>3049</v>
      </c>
      <c r="S592" t="str">
        <f t="shared" si="67"/>
        <v>Business</v>
      </c>
      <c r="T592">
        <v>0</v>
      </c>
      <c r="U592">
        <f t="shared" si="68"/>
        <v>0</v>
      </c>
      <c r="V592">
        <v>3</v>
      </c>
      <c r="W592" t="s">
        <v>3052</v>
      </c>
      <c r="X592" s="3" t="s">
        <v>3573</v>
      </c>
      <c r="Y592" s="3">
        <f t="shared" si="69"/>
        <v>44020</v>
      </c>
      <c r="Z592">
        <v>0.78520000000000001</v>
      </c>
    </row>
    <row r="593" spans="1:26" x14ac:dyDescent="0.35">
      <c r="A593" t="s">
        <v>604</v>
      </c>
      <c r="B593" t="str">
        <f t="shared" si="63"/>
        <v>OK</v>
      </c>
      <c r="C593" t="s">
        <v>2093</v>
      </c>
      <c r="D593" s="2">
        <v>28</v>
      </c>
      <c r="E593">
        <f>IF(OR(D593&lt;18, D593&gt;100),AD592,D593)</f>
        <v>28</v>
      </c>
      <c r="F593" t="s">
        <v>2992</v>
      </c>
      <c r="G593" t="str">
        <f t="shared" si="64"/>
        <v>Female</v>
      </c>
      <c r="H593" t="s">
        <v>2998</v>
      </c>
      <c r="I593" t="s">
        <v>3021</v>
      </c>
      <c r="K593" t="str">
        <f t="shared" si="65"/>
        <v>Unemployed</v>
      </c>
      <c r="L593">
        <v>14</v>
      </c>
      <c r="M593">
        <v>668972</v>
      </c>
      <c r="N593">
        <f t="shared" si="66"/>
        <v>668972</v>
      </c>
      <c r="O593">
        <v>697800</v>
      </c>
      <c r="P593">
        <v>27.99</v>
      </c>
      <c r="Q593">
        <v>48</v>
      </c>
      <c r="R593" t="s">
        <v>3047</v>
      </c>
      <c r="S593" t="str">
        <f t="shared" si="67"/>
        <v>Personal</v>
      </c>
      <c r="T593">
        <v>420</v>
      </c>
      <c r="U593">
        <f t="shared" si="68"/>
        <v>420</v>
      </c>
      <c r="V593">
        <v>2</v>
      </c>
      <c r="W593" t="s">
        <v>3052</v>
      </c>
      <c r="X593" s="3" t="s">
        <v>3574</v>
      </c>
      <c r="Y593" s="3">
        <f t="shared" si="69"/>
        <v>44606</v>
      </c>
      <c r="Z593">
        <v>1.0430999999999999</v>
      </c>
    </row>
    <row r="594" spans="1:26" x14ac:dyDescent="0.35">
      <c r="A594" t="s">
        <v>605</v>
      </c>
      <c r="B594" t="str">
        <f t="shared" si="63"/>
        <v>OK</v>
      </c>
      <c r="C594" t="s">
        <v>2094</v>
      </c>
      <c r="D594" s="2">
        <v>31</v>
      </c>
      <c r="E594">
        <f>IF(OR(D594&lt;18, D594&gt;100),AD593,D594)</f>
        <v>31</v>
      </c>
      <c r="F594" t="s">
        <v>2992</v>
      </c>
      <c r="G594" t="str">
        <f t="shared" si="64"/>
        <v>Female</v>
      </c>
      <c r="H594" t="s">
        <v>3003</v>
      </c>
      <c r="I594" t="s">
        <v>3018</v>
      </c>
      <c r="K594" t="str">
        <f t="shared" si="65"/>
        <v>Business Owner</v>
      </c>
      <c r="L594">
        <v>25</v>
      </c>
      <c r="M594">
        <v>187461</v>
      </c>
      <c r="N594">
        <f t="shared" si="66"/>
        <v>187461</v>
      </c>
      <c r="O594">
        <v>511006</v>
      </c>
      <c r="P594">
        <v>8.51</v>
      </c>
      <c r="Q594">
        <v>24</v>
      </c>
      <c r="R594" t="s">
        <v>3046</v>
      </c>
      <c r="S594" t="str">
        <f t="shared" si="67"/>
        <v>Medical</v>
      </c>
      <c r="T594">
        <v>420</v>
      </c>
      <c r="U594">
        <f t="shared" si="68"/>
        <v>420</v>
      </c>
      <c r="V594">
        <v>3</v>
      </c>
      <c r="W594" t="s">
        <v>3056</v>
      </c>
      <c r="X594" s="3" t="s">
        <v>3564</v>
      </c>
      <c r="Y594" s="3">
        <f t="shared" si="69"/>
        <v>44435</v>
      </c>
      <c r="Z594">
        <v>2.7259000000000002</v>
      </c>
    </row>
    <row r="595" spans="1:26" x14ac:dyDescent="0.35">
      <c r="A595" t="s">
        <v>606</v>
      </c>
      <c r="B595" t="str">
        <f t="shared" si="63"/>
        <v>OK</v>
      </c>
      <c r="C595" t="s">
        <v>2095</v>
      </c>
      <c r="D595" s="2">
        <v>60</v>
      </c>
      <c r="E595">
        <f>IF(OR(D595&lt;18, D595&gt;100),AD594,D595)</f>
        <v>60</v>
      </c>
      <c r="F595" t="s">
        <v>2992</v>
      </c>
      <c r="G595" t="str">
        <f t="shared" si="64"/>
        <v>Female</v>
      </c>
      <c r="H595" t="s">
        <v>2999</v>
      </c>
      <c r="I595" t="s">
        <v>3020</v>
      </c>
      <c r="K595" t="str">
        <f t="shared" si="65"/>
        <v>Self-Employed</v>
      </c>
      <c r="L595">
        <v>14</v>
      </c>
      <c r="M595">
        <v>1284002</v>
      </c>
      <c r="N595">
        <f t="shared" si="66"/>
        <v>1284002</v>
      </c>
      <c r="O595">
        <v>581693</v>
      </c>
      <c r="P595">
        <v>25.46</v>
      </c>
      <c r="Q595">
        <v>24</v>
      </c>
      <c r="R595" t="s">
        <v>3047</v>
      </c>
      <c r="S595" t="str">
        <f t="shared" si="67"/>
        <v>Personal</v>
      </c>
      <c r="T595">
        <v>440</v>
      </c>
      <c r="U595">
        <f t="shared" si="68"/>
        <v>440</v>
      </c>
      <c r="V595">
        <v>1</v>
      </c>
      <c r="W595" t="s">
        <v>3054</v>
      </c>
      <c r="X595" s="3" t="s">
        <v>3575</v>
      </c>
      <c r="Y595" s="3">
        <f t="shared" si="69"/>
        <v>45029</v>
      </c>
      <c r="Z595">
        <v>0.45300000000000001</v>
      </c>
    </row>
    <row r="596" spans="1:26" x14ac:dyDescent="0.35">
      <c r="A596" t="s">
        <v>607</v>
      </c>
      <c r="B596" t="str">
        <f t="shared" si="63"/>
        <v>OK</v>
      </c>
      <c r="C596" t="s">
        <v>2096</v>
      </c>
      <c r="D596" s="2">
        <v>21</v>
      </c>
      <c r="E596">
        <f>IF(OR(D596&lt;18, D596&gt;100),AD595,D596)</f>
        <v>21</v>
      </c>
      <c r="F596" t="s">
        <v>2990</v>
      </c>
      <c r="G596" t="str">
        <f t="shared" si="64"/>
        <v>Male</v>
      </c>
      <c r="H596" t="s">
        <v>3004</v>
      </c>
      <c r="I596" t="s">
        <v>3018</v>
      </c>
      <c r="K596" t="str">
        <f t="shared" si="65"/>
        <v>Business Owner</v>
      </c>
      <c r="L596">
        <v>2</v>
      </c>
      <c r="M596">
        <v>667689</v>
      </c>
      <c r="N596">
        <f t="shared" si="66"/>
        <v>667689</v>
      </c>
      <c r="O596">
        <v>649698</v>
      </c>
      <c r="P596">
        <v>14.3</v>
      </c>
      <c r="Q596">
        <v>36</v>
      </c>
      <c r="R596" t="s">
        <v>3050</v>
      </c>
      <c r="S596" t="str">
        <f t="shared" si="67"/>
        <v>Agriculture</v>
      </c>
      <c r="T596">
        <v>405</v>
      </c>
      <c r="U596">
        <f t="shared" si="68"/>
        <v>405</v>
      </c>
      <c r="V596">
        <v>7</v>
      </c>
      <c r="W596" t="s">
        <v>3052</v>
      </c>
      <c r="X596" s="3" t="s">
        <v>3576</v>
      </c>
      <c r="Y596" s="3">
        <f t="shared" si="69"/>
        <v>44466</v>
      </c>
      <c r="Z596">
        <v>0.97309999999999997</v>
      </c>
    </row>
    <row r="597" spans="1:26" x14ac:dyDescent="0.35">
      <c r="A597" t="s">
        <v>608</v>
      </c>
      <c r="B597" t="str">
        <f t="shared" si="63"/>
        <v>OK</v>
      </c>
      <c r="C597" t="s">
        <v>2097</v>
      </c>
      <c r="D597" s="2">
        <v>25</v>
      </c>
      <c r="E597">
        <f>IF(OR(D597&lt;18, D597&gt;100),AD596,D597)</f>
        <v>25</v>
      </c>
      <c r="F597" t="s">
        <v>2992</v>
      </c>
      <c r="G597" t="str">
        <f t="shared" si="64"/>
        <v>Female</v>
      </c>
      <c r="H597" t="s">
        <v>3003</v>
      </c>
      <c r="I597" t="s">
        <v>3021</v>
      </c>
      <c r="K597" t="str">
        <f t="shared" si="65"/>
        <v>Unemployed</v>
      </c>
      <c r="L597">
        <v>7</v>
      </c>
      <c r="M597">
        <v>2253290</v>
      </c>
      <c r="N597">
        <f t="shared" si="66"/>
        <v>2253290</v>
      </c>
      <c r="O597">
        <v>415204</v>
      </c>
      <c r="P597">
        <v>15.93</v>
      </c>
      <c r="Q597">
        <v>48</v>
      </c>
      <c r="R597" t="s">
        <v>3048</v>
      </c>
      <c r="S597" t="str">
        <f t="shared" si="67"/>
        <v>Home Improvement</v>
      </c>
      <c r="T597">
        <v>709</v>
      </c>
      <c r="U597">
        <f t="shared" si="68"/>
        <v>709</v>
      </c>
      <c r="V597">
        <v>2</v>
      </c>
      <c r="W597" t="s">
        <v>3056</v>
      </c>
      <c r="X597" s="3" t="s">
        <v>3577</v>
      </c>
      <c r="Y597" s="3">
        <f t="shared" si="69"/>
        <v>44519</v>
      </c>
      <c r="Z597">
        <v>0.18429999999999999</v>
      </c>
    </row>
    <row r="598" spans="1:26" x14ac:dyDescent="0.35">
      <c r="A598" t="s">
        <v>609</v>
      </c>
      <c r="B598" t="str">
        <f t="shared" si="63"/>
        <v>OK</v>
      </c>
      <c r="C598" t="s">
        <v>2098</v>
      </c>
      <c r="D598" s="2">
        <v>34</v>
      </c>
      <c r="E598">
        <f>IF(OR(D598&lt;18, D598&gt;100),AD597,D598)</f>
        <v>34</v>
      </c>
      <c r="F598" t="s">
        <v>2992</v>
      </c>
      <c r="G598" t="str">
        <f t="shared" si="64"/>
        <v>Female</v>
      </c>
      <c r="H598" t="s">
        <v>3000</v>
      </c>
      <c r="I598" t="s">
        <v>3021</v>
      </c>
      <c r="K598" t="str">
        <f t="shared" si="65"/>
        <v>Unemployed</v>
      </c>
      <c r="L598">
        <v>9</v>
      </c>
      <c r="M598">
        <v>1926621</v>
      </c>
      <c r="N598">
        <f t="shared" si="66"/>
        <v>1926621</v>
      </c>
      <c r="O598">
        <v>408518</v>
      </c>
      <c r="P598">
        <v>8.26</v>
      </c>
      <c r="Q598">
        <v>24</v>
      </c>
      <c r="R598" t="s">
        <v>3048</v>
      </c>
      <c r="S598" t="str">
        <f t="shared" si="67"/>
        <v>Home Improvement</v>
      </c>
      <c r="T598">
        <v>668</v>
      </c>
      <c r="U598">
        <f t="shared" si="68"/>
        <v>668</v>
      </c>
      <c r="V598">
        <v>1</v>
      </c>
      <c r="W598" t="s">
        <v>3056</v>
      </c>
      <c r="X598" s="3" t="s">
        <v>3578</v>
      </c>
      <c r="Y598" s="3">
        <f t="shared" si="69"/>
        <v>43831</v>
      </c>
      <c r="Z598">
        <v>0.21199999999999999</v>
      </c>
    </row>
    <row r="599" spans="1:26" x14ac:dyDescent="0.35">
      <c r="A599" t="s">
        <v>610</v>
      </c>
      <c r="B599" t="str">
        <f t="shared" si="63"/>
        <v>OK</v>
      </c>
      <c r="C599" t="s">
        <v>2099</v>
      </c>
      <c r="D599" s="2">
        <v>22</v>
      </c>
      <c r="E599">
        <f>IF(OR(D599&lt;18, D599&gt;100),AD598,D599)</f>
        <v>22</v>
      </c>
      <c r="F599" t="s">
        <v>2992</v>
      </c>
      <c r="G599" t="str">
        <f t="shared" si="64"/>
        <v>Female</v>
      </c>
      <c r="H599" t="s">
        <v>3001</v>
      </c>
      <c r="I599" t="s">
        <v>3019</v>
      </c>
      <c r="K599" t="str">
        <f t="shared" si="65"/>
        <v>Employed</v>
      </c>
      <c r="L599">
        <v>4</v>
      </c>
      <c r="N599">
        <f t="shared" si="66"/>
        <v>1333224</v>
      </c>
      <c r="O599">
        <v>268552</v>
      </c>
      <c r="P599">
        <v>22.78</v>
      </c>
      <c r="Q599">
        <v>24</v>
      </c>
      <c r="R599" t="s">
        <v>3049</v>
      </c>
      <c r="S599" t="str">
        <f t="shared" si="67"/>
        <v>Business</v>
      </c>
      <c r="T599">
        <v>333</v>
      </c>
      <c r="U599">
        <f t="shared" si="68"/>
        <v>333</v>
      </c>
      <c r="V599">
        <v>4</v>
      </c>
      <c r="W599" t="s">
        <v>3057</v>
      </c>
      <c r="X599" s="3" t="s">
        <v>3579</v>
      </c>
      <c r="Y599" s="3">
        <f t="shared" si="69"/>
        <v>44088</v>
      </c>
      <c r="Z599">
        <v>0.52969999999999995</v>
      </c>
    </row>
    <row r="600" spans="1:26" x14ac:dyDescent="0.35">
      <c r="A600" t="s">
        <v>611</v>
      </c>
      <c r="B600" t="str">
        <f t="shared" si="63"/>
        <v>OK</v>
      </c>
      <c r="C600" t="s">
        <v>2100</v>
      </c>
      <c r="D600" s="2">
        <v>23</v>
      </c>
      <c r="E600">
        <f>IF(OR(D600&lt;18, D600&gt;100),AD599,D600)</f>
        <v>23</v>
      </c>
      <c r="F600" t="s">
        <v>2992</v>
      </c>
      <c r="G600" t="str">
        <f t="shared" si="64"/>
        <v>Female</v>
      </c>
      <c r="H600" t="s">
        <v>3004</v>
      </c>
      <c r="I600" t="s">
        <v>3018</v>
      </c>
      <c r="K600" t="str">
        <f t="shared" si="65"/>
        <v>Business Owner</v>
      </c>
      <c r="L600">
        <v>22</v>
      </c>
      <c r="N600">
        <f t="shared" si="66"/>
        <v>1333224</v>
      </c>
      <c r="O600">
        <v>351356</v>
      </c>
      <c r="P600">
        <v>19.32</v>
      </c>
      <c r="Q600">
        <v>60</v>
      </c>
      <c r="R600" t="s">
        <v>3050</v>
      </c>
      <c r="S600" t="str">
        <f t="shared" si="67"/>
        <v>Agriculture</v>
      </c>
      <c r="T600">
        <v>322</v>
      </c>
      <c r="U600">
        <f t="shared" si="68"/>
        <v>322</v>
      </c>
      <c r="V600">
        <v>3</v>
      </c>
      <c r="W600" t="s">
        <v>3052</v>
      </c>
      <c r="X600" s="3" t="s">
        <v>3580</v>
      </c>
      <c r="Y600" s="3">
        <f t="shared" si="69"/>
        <v>44542</v>
      </c>
      <c r="Z600">
        <v>0.27310000000000001</v>
      </c>
    </row>
    <row r="601" spans="1:26" x14ac:dyDescent="0.35">
      <c r="A601" t="s">
        <v>612</v>
      </c>
      <c r="B601" t="str">
        <f t="shared" si="63"/>
        <v>OK</v>
      </c>
      <c r="C601" t="s">
        <v>2101</v>
      </c>
      <c r="D601" s="2">
        <v>63</v>
      </c>
      <c r="E601">
        <f>IF(OR(D601&lt;18, D601&gt;100),AD600,D601)</f>
        <v>63</v>
      </c>
      <c r="F601" t="s">
        <v>2990</v>
      </c>
      <c r="G601" t="str">
        <f t="shared" si="64"/>
        <v>Male</v>
      </c>
      <c r="H601" t="s">
        <v>3004</v>
      </c>
      <c r="I601" t="s">
        <v>3019</v>
      </c>
      <c r="K601" t="str">
        <f t="shared" si="65"/>
        <v>Employed</v>
      </c>
      <c r="L601">
        <v>7</v>
      </c>
      <c r="M601">
        <v>213691</v>
      </c>
      <c r="N601">
        <f t="shared" si="66"/>
        <v>213691</v>
      </c>
      <c r="O601">
        <v>417650</v>
      </c>
      <c r="P601">
        <v>25.17</v>
      </c>
      <c r="Q601">
        <v>48</v>
      </c>
      <c r="R601" t="s">
        <v>3049</v>
      </c>
      <c r="S601" t="str">
        <f t="shared" si="67"/>
        <v>Business</v>
      </c>
      <c r="T601">
        <v>694</v>
      </c>
      <c r="U601">
        <f t="shared" si="68"/>
        <v>694</v>
      </c>
      <c r="V601">
        <v>4</v>
      </c>
      <c r="W601" t="s">
        <v>3057</v>
      </c>
      <c r="X601" s="3" t="s">
        <v>3581</v>
      </c>
      <c r="Y601" s="3">
        <f t="shared" si="69"/>
        <v>44794</v>
      </c>
      <c r="Z601">
        <v>1.9544999999999999</v>
      </c>
    </row>
    <row r="602" spans="1:26" x14ac:dyDescent="0.35">
      <c r="A602" t="s">
        <v>613</v>
      </c>
      <c r="B602" t="str">
        <f t="shared" si="63"/>
        <v>OK</v>
      </c>
      <c r="C602" t="s">
        <v>2102</v>
      </c>
      <c r="D602" s="2">
        <v>58</v>
      </c>
      <c r="E602">
        <f>IF(OR(D602&lt;18, D602&gt;100),AD601,D602)</f>
        <v>58</v>
      </c>
      <c r="F602" t="s">
        <v>2992</v>
      </c>
      <c r="G602" t="str">
        <f t="shared" si="64"/>
        <v>Female</v>
      </c>
      <c r="H602" t="s">
        <v>3001</v>
      </c>
      <c r="I602" t="s">
        <v>3018</v>
      </c>
      <c r="K602" t="str">
        <f t="shared" si="65"/>
        <v>Business Owner</v>
      </c>
      <c r="L602">
        <v>20</v>
      </c>
      <c r="M602">
        <v>768158</v>
      </c>
      <c r="N602">
        <f t="shared" si="66"/>
        <v>768158</v>
      </c>
      <c r="O602">
        <v>251324</v>
      </c>
      <c r="P602">
        <v>27.31</v>
      </c>
      <c r="Q602">
        <v>48</v>
      </c>
      <c r="R602" t="s">
        <v>3050</v>
      </c>
      <c r="S602" t="str">
        <f t="shared" si="67"/>
        <v>Agriculture</v>
      </c>
      <c r="T602">
        <v>539</v>
      </c>
      <c r="U602">
        <f t="shared" si="68"/>
        <v>539</v>
      </c>
      <c r="V602">
        <v>7</v>
      </c>
      <c r="W602" t="s">
        <v>3056</v>
      </c>
      <c r="X602" s="3" t="s">
        <v>3439</v>
      </c>
      <c r="Y602" s="3">
        <f t="shared" si="69"/>
        <v>44410</v>
      </c>
      <c r="Z602">
        <v>0.32719999999999999</v>
      </c>
    </row>
    <row r="603" spans="1:26" x14ac:dyDescent="0.35">
      <c r="A603" t="s">
        <v>614</v>
      </c>
      <c r="B603" t="str">
        <f t="shared" si="63"/>
        <v>OK</v>
      </c>
      <c r="C603" t="s">
        <v>2103</v>
      </c>
      <c r="D603" s="2">
        <v>38</v>
      </c>
      <c r="E603">
        <f>IF(OR(D603&lt;18, D603&gt;100),AD602,D603)</f>
        <v>38</v>
      </c>
      <c r="F603" t="s">
        <v>2992</v>
      </c>
      <c r="G603" t="str">
        <f t="shared" si="64"/>
        <v>Female</v>
      </c>
      <c r="H603" t="s">
        <v>2998</v>
      </c>
      <c r="I603" t="s">
        <v>3021</v>
      </c>
      <c r="K603" t="str">
        <f t="shared" si="65"/>
        <v>Unemployed</v>
      </c>
      <c r="L603">
        <v>7</v>
      </c>
      <c r="M603">
        <v>503390</v>
      </c>
      <c r="N603">
        <f t="shared" si="66"/>
        <v>503390</v>
      </c>
      <c r="O603">
        <v>516043</v>
      </c>
      <c r="P603">
        <v>18.03</v>
      </c>
      <c r="Q603">
        <v>12</v>
      </c>
      <c r="R603" t="s">
        <v>3049</v>
      </c>
      <c r="S603" t="str">
        <f t="shared" si="67"/>
        <v>Business</v>
      </c>
      <c r="T603">
        <v>516</v>
      </c>
      <c r="U603">
        <f t="shared" si="68"/>
        <v>516</v>
      </c>
      <c r="V603">
        <v>7</v>
      </c>
      <c r="W603" t="s">
        <v>3055</v>
      </c>
      <c r="X603" s="3" t="s">
        <v>3408</v>
      </c>
      <c r="Y603" s="3">
        <f t="shared" si="69"/>
        <v>45185</v>
      </c>
      <c r="Z603">
        <v>1.0250999999999999</v>
      </c>
    </row>
    <row r="604" spans="1:26" x14ac:dyDescent="0.35">
      <c r="A604" t="s">
        <v>615</v>
      </c>
      <c r="B604" t="str">
        <f t="shared" si="63"/>
        <v>OK</v>
      </c>
      <c r="C604" t="s">
        <v>2104</v>
      </c>
      <c r="D604" s="2">
        <v>53</v>
      </c>
      <c r="E604">
        <f>IF(OR(D604&lt;18, D604&gt;100),AD603,D604)</f>
        <v>53</v>
      </c>
      <c r="F604" t="s">
        <v>2990</v>
      </c>
      <c r="G604" t="str">
        <f t="shared" si="64"/>
        <v>Male</v>
      </c>
      <c r="H604" t="s">
        <v>2999</v>
      </c>
      <c r="I604" t="s">
        <v>3018</v>
      </c>
      <c r="K604" t="str">
        <f t="shared" si="65"/>
        <v>Business Owner</v>
      </c>
      <c r="L604">
        <v>8</v>
      </c>
      <c r="M604">
        <v>1796596</v>
      </c>
      <c r="N604">
        <f t="shared" si="66"/>
        <v>1796596</v>
      </c>
      <c r="O604">
        <v>714119</v>
      </c>
      <c r="P604">
        <v>20.09</v>
      </c>
      <c r="Q604">
        <v>60</v>
      </c>
      <c r="R604" t="s">
        <v>3049</v>
      </c>
      <c r="S604" t="str">
        <f t="shared" si="67"/>
        <v>Business</v>
      </c>
      <c r="T604">
        <v>363</v>
      </c>
      <c r="U604">
        <f t="shared" si="68"/>
        <v>363</v>
      </c>
      <c r="V604">
        <v>6</v>
      </c>
      <c r="W604" t="s">
        <v>3057</v>
      </c>
      <c r="X604" s="3" t="s">
        <v>3582</v>
      </c>
      <c r="Y604" s="3">
        <f t="shared" si="69"/>
        <v>44506</v>
      </c>
      <c r="Z604">
        <v>0.39750000000000002</v>
      </c>
    </row>
    <row r="605" spans="1:26" x14ac:dyDescent="0.35">
      <c r="A605" t="s">
        <v>616</v>
      </c>
      <c r="B605" t="str">
        <f t="shared" si="63"/>
        <v>OK</v>
      </c>
      <c r="C605" t="s">
        <v>2105</v>
      </c>
      <c r="D605" s="2">
        <v>56</v>
      </c>
      <c r="E605">
        <f>IF(OR(D605&lt;18, D605&gt;100),AD604,D605)</f>
        <v>56</v>
      </c>
      <c r="F605" t="s">
        <v>2992</v>
      </c>
      <c r="G605" t="str">
        <f t="shared" si="64"/>
        <v>Female</v>
      </c>
      <c r="H605" t="s">
        <v>3000</v>
      </c>
      <c r="I605" t="s">
        <v>3019</v>
      </c>
      <c r="K605" t="str">
        <f t="shared" si="65"/>
        <v>Employed</v>
      </c>
      <c r="L605">
        <v>21</v>
      </c>
      <c r="M605">
        <v>318563</v>
      </c>
      <c r="N605">
        <f t="shared" si="66"/>
        <v>318563</v>
      </c>
      <c r="O605">
        <v>111218</v>
      </c>
      <c r="P605">
        <v>24.78</v>
      </c>
      <c r="Q605">
        <v>24</v>
      </c>
      <c r="R605" t="s">
        <v>3048</v>
      </c>
      <c r="S605" t="str">
        <f t="shared" si="67"/>
        <v>Home Improvement</v>
      </c>
      <c r="T605">
        <v>517</v>
      </c>
      <c r="U605">
        <f t="shared" si="68"/>
        <v>517</v>
      </c>
      <c r="V605">
        <v>1</v>
      </c>
      <c r="W605" t="s">
        <v>3053</v>
      </c>
      <c r="X605" s="3" t="s">
        <v>3583</v>
      </c>
      <c r="Y605" s="3">
        <f t="shared" si="69"/>
        <v>44037</v>
      </c>
      <c r="Z605">
        <v>0.34910000000000002</v>
      </c>
    </row>
    <row r="606" spans="1:26" x14ac:dyDescent="0.35">
      <c r="A606" t="s">
        <v>617</v>
      </c>
      <c r="B606" t="str">
        <f t="shared" si="63"/>
        <v>OK</v>
      </c>
      <c r="C606" t="s">
        <v>2106</v>
      </c>
      <c r="D606" s="2">
        <v>50</v>
      </c>
      <c r="E606">
        <f>IF(OR(D606&lt;18, D606&gt;100),AD605,D606)</f>
        <v>50</v>
      </c>
      <c r="F606" t="s">
        <v>2992</v>
      </c>
      <c r="G606" t="str">
        <f t="shared" si="64"/>
        <v>Female</v>
      </c>
      <c r="H606" t="s">
        <v>3010</v>
      </c>
      <c r="I606" t="s">
        <v>3019</v>
      </c>
      <c r="K606" t="str">
        <f t="shared" si="65"/>
        <v>Employed</v>
      </c>
      <c r="L606">
        <v>16</v>
      </c>
      <c r="M606">
        <v>1798702</v>
      </c>
      <c r="N606">
        <f t="shared" si="66"/>
        <v>1798702</v>
      </c>
      <c r="O606">
        <v>416210</v>
      </c>
      <c r="P606">
        <v>19.97</v>
      </c>
      <c r="Q606">
        <v>24</v>
      </c>
      <c r="R606" t="s">
        <v>3047</v>
      </c>
      <c r="S606" t="str">
        <f t="shared" si="67"/>
        <v>Personal</v>
      </c>
      <c r="T606">
        <v>360</v>
      </c>
      <c r="U606">
        <f t="shared" si="68"/>
        <v>360</v>
      </c>
      <c r="V606">
        <v>0</v>
      </c>
      <c r="W606" t="s">
        <v>3054</v>
      </c>
      <c r="X606" s="3" t="s">
        <v>3568</v>
      </c>
      <c r="Y606" s="3">
        <f t="shared" si="69"/>
        <v>44783</v>
      </c>
      <c r="Z606">
        <v>0.23139999999999999</v>
      </c>
    </row>
    <row r="607" spans="1:26" x14ac:dyDescent="0.35">
      <c r="A607" t="s">
        <v>618</v>
      </c>
      <c r="B607" t="str">
        <f t="shared" si="63"/>
        <v>OK</v>
      </c>
      <c r="C607" t="s">
        <v>2107</v>
      </c>
      <c r="D607" s="2">
        <v>40</v>
      </c>
      <c r="E607">
        <f>IF(OR(D607&lt;18, D607&gt;100),AD606,D607)</f>
        <v>40</v>
      </c>
      <c r="F607" t="s">
        <v>2992</v>
      </c>
      <c r="G607" t="str">
        <f t="shared" si="64"/>
        <v>Female</v>
      </c>
      <c r="H607" t="s">
        <v>3006</v>
      </c>
      <c r="I607" t="s">
        <v>3020</v>
      </c>
      <c r="K607" t="str">
        <f t="shared" si="65"/>
        <v>Self-Employed</v>
      </c>
      <c r="L607">
        <v>13</v>
      </c>
      <c r="M607">
        <v>1559390</v>
      </c>
      <c r="N607">
        <f t="shared" si="66"/>
        <v>1559390</v>
      </c>
      <c r="O607">
        <v>149744</v>
      </c>
      <c r="P607">
        <v>17.68</v>
      </c>
      <c r="Q607">
        <v>24</v>
      </c>
      <c r="R607" t="s">
        <v>3050</v>
      </c>
      <c r="S607" t="str">
        <f t="shared" si="67"/>
        <v>Agriculture</v>
      </c>
      <c r="T607">
        <v>517</v>
      </c>
      <c r="U607">
        <f t="shared" si="68"/>
        <v>517</v>
      </c>
      <c r="V607">
        <v>2</v>
      </c>
      <c r="W607" t="s">
        <v>3055</v>
      </c>
      <c r="X607" s="3" t="s">
        <v>3584</v>
      </c>
      <c r="Y607" s="3">
        <f t="shared" si="69"/>
        <v>45074</v>
      </c>
      <c r="Z607">
        <v>9.6000000000000002E-2</v>
      </c>
    </row>
    <row r="608" spans="1:26" x14ac:dyDescent="0.35">
      <c r="A608" t="s">
        <v>619</v>
      </c>
      <c r="B608" t="str">
        <f t="shared" si="63"/>
        <v>OK</v>
      </c>
      <c r="C608" t="s">
        <v>2108</v>
      </c>
      <c r="D608" s="2">
        <v>26</v>
      </c>
      <c r="E608">
        <f>IF(OR(D608&lt;18, D608&gt;100),AD607,D608)</f>
        <v>26</v>
      </c>
      <c r="F608" t="s">
        <v>2990</v>
      </c>
      <c r="G608" t="str">
        <f t="shared" si="64"/>
        <v>Male</v>
      </c>
      <c r="H608" t="s">
        <v>3007</v>
      </c>
      <c r="I608" t="s">
        <v>3018</v>
      </c>
      <c r="K608" t="str">
        <f t="shared" si="65"/>
        <v>Business Owner</v>
      </c>
      <c r="L608">
        <v>28</v>
      </c>
      <c r="M608">
        <v>468963</v>
      </c>
      <c r="N608">
        <f t="shared" si="66"/>
        <v>468963</v>
      </c>
      <c r="O608">
        <v>324359</v>
      </c>
      <c r="P608">
        <v>9.07</v>
      </c>
      <c r="Q608">
        <v>36</v>
      </c>
      <c r="R608" t="s">
        <v>3049</v>
      </c>
      <c r="S608" t="str">
        <f t="shared" si="67"/>
        <v>Business</v>
      </c>
      <c r="T608">
        <v>438</v>
      </c>
      <c r="U608">
        <f t="shared" si="68"/>
        <v>438</v>
      </c>
      <c r="V608">
        <v>2</v>
      </c>
      <c r="W608" t="s">
        <v>3053</v>
      </c>
      <c r="X608" s="3" t="s">
        <v>3075</v>
      </c>
      <c r="Y608" s="3">
        <f t="shared" si="69"/>
        <v>45131</v>
      </c>
      <c r="Z608">
        <v>0.69169999999999998</v>
      </c>
    </row>
    <row r="609" spans="1:26" x14ac:dyDescent="0.35">
      <c r="A609" t="s">
        <v>620</v>
      </c>
      <c r="B609" t="str">
        <f t="shared" si="63"/>
        <v>OK</v>
      </c>
      <c r="C609" t="s">
        <v>2109</v>
      </c>
      <c r="D609" s="2">
        <v>43</v>
      </c>
      <c r="E609">
        <f>IF(OR(D609&lt;18, D609&gt;100),AD608,D609)</f>
        <v>43</v>
      </c>
      <c r="F609" t="s">
        <v>2990</v>
      </c>
      <c r="G609" t="str">
        <f t="shared" si="64"/>
        <v>Male</v>
      </c>
      <c r="H609" t="s">
        <v>3003</v>
      </c>
      <c r="I609" t="s">
        <v>3021</v>
      </c>
      <c r="K609" t="str">
        <f t="shared" si="65"/>
        <v>Unemployed</v>
      </c>
      <c r="L609">
        <v>14</v>
      </c>
      <c r="M609">
        <v>1208400</v>
      </c>
      <c r="N609">
        <f t="shared" si="66"/>
        <v>1208400</v>
      </c>
      <c r="O609">
        <v>432918</v>
      </c>
      <c r="P609">
        <v>15.49</v>
      </c>
      <c r="Q609">
        <v>36</v>
      </c>
      <c r="R609" t="s">
        <v>3051</v>
      </c>
      <c r="S609" t="str">
        <f t="shared" si="67"/>
        <v>Education</v>
      </c>
      <c r="T609">
        <v>469</v>
      </c>
      <c r="U609">
        <f t="shared" si="68"/>
        <v>469</v>
      </c>
      <c r="V609">
        <v>5</v>
      </c>
      <c r="W609" t="s">
        <v>3055</v>
      </c>
      <c r="X609" s="3" t="s">
        <v>3585</v>
      </c>
      <c r="Y609" s="3">
        <f t="shared" si="69"/>
        <v>44331</v>
      </c>
      <c r="Z609">
        <v>0.35830000000000001</v>
      </c>
    </row>
    <row r="610" spans="1:26" x14ac:dyDescent="0.35">
      <c r="A610" t="s">
        <v>621</v>
      </c>
      <c r="B610" t="str">
        <f t="shared" si="63"/>
        <v>OK</v>
      </c>
      <c r="C610" t="s">
        <v>2110</v>
      </c>
      <c r="D610" s="2">
        <v>44</v>
      </c>
      <c r="E610">
        <f>IF(OR(D610&lt;18, D610&gt;100),AD609,D610)</f>
        <v>44</v>
      </c>
      <c r="G610" t="str">
        <f t="shared" si="64"/>
        <v>Unknown</v>
      </c>
      <c r="H610" t="s">
        <v>2999</v>
      </c>
      <c r="I610" t="s">
        <v>3019</v>
      </c>
      <c r="K610" t="str">
        <f t="shared" si="65"/>
        <v>Employed</v>
      </c>
      <c r="L610">
        <v>8</v>
      </c>
      <c r="M610">
        <v>1525766</v>
      </c>
      <c r="N610">
        <f t="shared" si="66"/>
        <v>1525766</v>
      </c>
      <c r="O610">
        <v>576718</v>
      </c>
      <c r="P610">
        <v>10.119999999999999</v>
      </c>
      <c r="Q610">
        <v>12</v>
      </c>
      <c r="R610" t="s">
        <v>3048</v>
      </c>
      <c r="S610" t="str">
        <f t="shared" si="67"/>
        <v>Home Improvement</v>
      </c>
      <c r="T610">
        <v>826</v>
      </c>
      <c r="U610">
        <f t="shared" si="68"/>
        <v>826</v>
      </c>
      <c r="V610">
        <v>5</v>
      </c>
      <c r="W610" t="s">
        <v>3052</v>
      </c>
      <c r="X610" s="3" t="s">
        <v>3586</v>
      </c>
      <c r="Y610" s="3">
        <f t="shared" si="69"/>
        <v>44032</v>
      </c>
      <c r="Z610">
        <v>0.378</v>
      </c>
    </row>
    <row r="611" spans="1:26" x14ac:dyDescent="0.35">
      <c r="A611" t="s">
        <v>622</v>
      </c>
      <c r="B611" t="str">
        <f t="shared" si="63"/>
        <v>OK</v>
      </c>
      <c r="C611" t="s">
        <v>2111</v>
      </c>
      <c r="D611" s="2">
        <v>23</v>
      </c>
      <c r="E611">
        <f>IF(OR(D611&lt;18, D611&gt;100),AD610,D611)</f>
        <v>23</v>
      </c>
      <c r="F611" t="s">
        <v>2992</v>
      </c>
      <c r="G611" t="str">
        <f t="shared" si="64"/>
        <v>Female</v>
      </c>
      <c r="H611" t="s">
        <v>3001</v>
      </c>
      <c r="I611" t="s">
        <v>3020</v>
      </c>
      <c r="K611" t="str">
        <f t="shared" si="65"/>
        <v>Self-Employed</v>
      </c>
      <c r="L611">
        <v>12</v>
      </c>
      <c r="M611">
        <v>1084850</v>
      </c>
      <c r="N611">
        <f t="shared" si="66"/>
        <v>1084850</v>
      </c>
      <c r="O611">
        <v>22775</v>
      </c>
      <c r="P611">
        <v>23.39</v>
      </c>
      <c r="Q611">
        <v>24</v>
      </c>
      <c r="R611" t="s">
        <v>3050</v>
      </c>
      <c r="S611" t="str">
        <f t="shared" si="67"/>
        <v>Agriculture</v>
      </c>
      <c r="T611">
        <v>816</v>
      </c>
      <c r="U611">
        <f t="shared" si="68"/>
        <v>816</v>
      </c>
      <c r="V611">
        <v>3</v>
      </c>
      <c r="W611" t="s">
        <v>3055</v>
      </c>
      <c r="X611" s="3" t="s">
        <v>3587</v>
      </c>
      <c r="Y611" s="3">
        <f t="shared" si="69"/>
        <v>44068</v>
      </c>
      <c r="Z611">
        <v>2.1000000000000001E-2</v>
      </c>
    </row>
    <row r="612" spans="1:26" x14ac:dyDescent="0.35">
      <c r="A612" t="s">
        <v>623</v>
      </c>
      <c r="B612" t="str">
        <f t="shared" si="63"/>
        <v>OK</v>
      </c>
      <c r="C612" t="s">
        <v>2112</v>
      </c>
      <c r="D612" s="2">
        <v>54</v>
      </c>
      <c r="E612">
        <f>IF(OR(D612&lt;18, D612&gt;100),AD611,D612)</f>
        <v>54</v>
      </c>
      <c r="F612" t="s">
        <v>2990</v>
      </c>
      <c r="G612" t="str">
        <f t="shared" si="64"/>
        <v>Male</v>
      </c>
      <c r="H612" t="s">
        <v>3002</v>
      </c>
      <c r="I612" t="s">
        <v>3021</v>
      </c>
      <c r="K612" t="str">
        <f t="shared" si="65"/>
        <v>Unemployed</v>
      </c>
      <c r="L612">
        <v>13</v>
      </c>
      <c r="M612">
        <v>1424289</v>
      </c>
      <c r="N612">
        <f t="shared" si="66"/>
        <v>1424289</v>
      </c>
      <c r="O612">
        <v>648380</v>
      </c>
      <c r="P612">
        <v>25.44</v>
      </c>
      <c r="Q612">
        <v>36</v>
      </c>
      <c r="R612" t="s">
        <v>3048</v>
      </c>
      <c r="S612" t="str">
        <f t="shared" si="67"/>
        <v>Home Improvement</v>
      </c>
      <c r="T612">
        <v>735</v>
      </c>
      <c r="U612">
        <f t="shared" si="68"/>
        <v>735</v>
      </c>
      <c r="V612">
        <v>4</v>
      </c>
      <c r="W612" t="s">
        <v>3057</v>
      </c>
      <c r="X612" s="3" t="s">
        <v>3571</v>
      </c>
      <c r="Y612" s="3">
        <f t="shared" si="69"/>
        <v>44282</v>
      </c>
      <c r="Z612">
        <v>0.45519999999999999</v>
      </c>
    </row>
    <row r="613" spans="1:26" x14ac:dyDescent="0.35">
      <c r="A613" t="s">
        <v>624</v>
      </c>
      <c r="B613" t="str">
        <f t="shared" si="63"/>
        <v>OK</v>
      </c>
      <c r="C613" t="s">
        <v>2113</v>
      </c>
      <c r="D613" s="2">
        <v>52</v>
      </c>
      <c r="E613">
        <f>IF(OR(D613&lt;18, D613&gt;100),AD612,D613)</f>
        <v>52</v>
      </c>
      <c r="F613" t="s">
        <v>2990</v>
      </c>
      <c r="G613" t="str">
        <f t="shared" si="64"/>
        <v>Male</v>
      </c>
      <c r="H613" t="s">
        <v>3004</v>
      </c>
      <c r="I613" t="s">
        <v>3020</v>
      </c>
      <c r="K613" t="str">
        <f t="shared" si="65"/>
        <v>Self-Employed</v>
      </c>
      <c r="L613">
        <v>10</v>
      </c>
      <c r="M613">
        <v>1276413</v>
      </c>
      <c r="N613">
        <f t="shared" si="66"/>
        <v>1276413</v>
      </c>
      <c r="O613">
        <v>562423</v>
      </c>
      <c r="P613">
        <v>17.420000000000002</v>
      </c>
      <c r="Q613">
        <v>48</v>
      </c>
      <c r="R613" t="s">
        <v>3049</v>
      </c>
      <c r="S613" t="str">
        <f t="shared" si="67"/>
        <v>Business</v>
      </c>
      <c r="U613">
        <f t="shared" si="68"/>
        <v>556</v>
      </c>
      <c r="V613">
        <v>3</v>
      </c>
      <c r="W613" t="s">
        <v>3053</v>
      </c>
      <c r="X613" s="3" t="s">
        <v>3588</v>
      </c>
      <c r="Y613" s="3">
        <f t="shared" si="69"/>
        <v>45224</v>
      </c>
      <c r="Z613">
        <v>0.44059999999999999</v>
      </c>
    </row>
    <row r="614" spans="1:26" x14ac:dyDescent="0.35">
      <c r="A614" t="s">
        <v>625</v>
      </c>
      <c r="B614" t="str">
        <f t="shared" si="63"/>
        <v>OK</v>
      </c>
      <c r="C614" t="s">
        <v>2114</v>
      </c>
      <c r="D614" s="2">
        <v>33</v>
      </c>
      <c r="E614">
        <f>IF(OR(D614&lt;18, D614&gt;100),AD613,D614)</f>
        <v>33</v>
      </c>
      <c r="F614" t="s">
        <v>2992</v>
      </c>
      <c r="G614" t="str">
        <f t="shared" si="64"/>
        <v>Female</v>
      </c>
      <c r="H614" t="s">
        <v>3006</v>
      </c>
      <c r="I614" t="s">
        <v>3020</v>
      </c>
      <c r="K614" t="str">
        <f t="shared" si="65"/>
        <v>Self-Employed</v>
      </c>
      <c r="L614">
        <v>2</v>
      </c>
      <c r="M614">
        <v>371703</v>
      </c>
      <c r="N614">
        <f t="shared" si="66"/>
        <v>371703</v>
      </c>
      <c r="O614">
        <v>712485</v>
      </c>
      <c r="P614">
        <v>27.75</v>
      </c>
      <c r="Q614">
        <v>24</v>
      </c>
      <c r="R614" t="s">
        <v>3047</v>
      </c>
      <c r="S614" t="str">
        <f t="shared" si="67"/>
        <v>Personal</v>
      </c>
      <c r="T614">
        <v>655</v>
      </c>
      <c r="U614">
        <f t="shared" si="68"/>
        <v>655</v>
      </c>
      <c r="V614">
        <v>4</v>
      </c>
      <c r="W614" t="s">
        <v>3057</v>
      </c>
      <c r="X614" s="3" t="s">
        <v>3589</v>
      </c>
      <c r="Y614" s="3">
        <f t="shared" si="69"/>
        <v>44178</v>
      </c>
      <c r="Z614">
        <v>1.9168000000000001</v>
      </c>
    </row>
    <row r="615" spans="1:26" x14ac:dyDescent="0.35">
      <c r="A615" t="s">
        <v>626</v>
      </c>
      <c r="B615" t="str">
        <f t="shared" si="63"/>
        <v>OK</v>
      </c>
      <c r="C615" t="s">
        <v>2115</v>
      </c>
      <c r="D615" s="2">
        <v>42</v>
      </c>
      <c r="E615">
        <f>IF(OR(D615&lt;18, D615&gt;100),AD614,D615)</f>
        <v>42</v>
      </c>
      <c r="F615" t="s">
        <v>2990</v>
      </c>
      <c r="G615" t="str">
        <f t="shared" si="64"/>
        <v>Male</v>
      </c>
      <c r="H615" t="s">
        <v>3006</v>
      </c>
      <c r="I615" t="s">
        <v>3018</v>
      </c>
      <c r="K615" t="str">
        <f t="shared" si="65"/>
        <v>Business Owner</v>
      </c>
      <c r="L615">
        <v>29</v>
      </c>
      <c r="M615">
        <v>1379670</v>
      </c>
      <c r="N615">
        <f t="shared" si="66"/>
        <v>1379670</v>
      </c>
      <c r="O615">
        <v>764199</v>
      </c>
      <c r="P615">
        <v>19.55</v>
      </c>
      <c r="Q615">
        <v>48</v>
      </c>
      <c r="R615" t="s">
        <v>3051</v>
      </c>
      <c r="S615" t="str">
        <f t="shared" si="67"/>
        <v>Education</v>
      </c>
      <c r="T615">
        <v>678</v>
      </c>
      <c r="U615">
        <f t="shared" si="68"/>
        <v>678</v>
      </c>
      <c r="V615">
        <v>5</v>
      </c>
      <c r="W615" t="s">
        <v>3054</v>
      </c>
      <c r="X615" s="3" t="s">
        <v>3590</v>
      </c>
      <c r="Y615" s="3">
        <f t="shared" si="69"/>
        <v>44755</v>
      </c>
      <c r="Z615">
        <v>0.55389999999999995</v>
      </c>
    </row>
    <row r="616" spans="1:26" x14ac:dyDescent="0.35">
      <c r="A616" t="s">
        <v>627</v>
      </c>
      <c r="B616" t="str">
        <f t="shared" si="63"/>
        <v>OK</v>
      </c>
      <c r="C616" t="s">
        <v>2116</v>
      </c>
      <c r="D616" s="2">
        <v>61</v>
      </c>
      <c r="E616">
        <f>IF(OR(D616&lt;18, D616&gt;100),AD615,D616)</f>
        <v>61</v>
      </c>
      <c r="F616" t="s">
        <v>2992</v>
      </c>
      <c r="G616" t="str">
        <f t="shared" si="64"/>
        <v>Female</v>
      </c>
      <c r="H616" t="s">
        <v>3005</v>
      </c>
      <c r="I616" t="s">
        <v>3018</v>
      </c>
      <c r="K616" t="str">
        <f t="shared" si="65"/>
        <v>Business Owner</v>
      </c>
      <c r="L616">
        <v>26</v>
      </c>
      <c r="M616">
        <v>2311018</v>
      </c>
      <c r="N616">
        <f t="shared" si="66"/>
        <v>2311018</v>
      </c>
      <c r="O616">
        <v>623986</v>
      </c>
      <c r="P616">
        <v>21.58</v>
      </c>
      <c r="Q616">
        <v>36</v>
      </c>
      <c r="R616" t="s">
        <v>3047</v>
      </c>
      <c r="S616" t="str">
        <f t="shared" si="67"/>
        <v>Personal</v>
      </c>
      <c r="T616">
        <v>732</v>
      </c>
      <c r="U616">
        <f t="shared" si="68"/>
        <v>732</v>
      </c>
      <c r="V616">
        <v>7</v>
      </c>
      <c r="W616" t="s">
        <v>3055</v>
      </c>
      <c r="X616" s="3" t="s">
        <v>3591</v>
      </c>
      <c r="Y616" s="3">
        <f t="shared" si="69"/>
        <v>43833</v>
      </c>
      <c r="Z616">
        <v>0.27</v>
      </c>
    </row>
    <row r="617" spans="1:26" x14ac:dyDescent="0.35">
      <c r="A617" t="s">
        <v>628</v>
      </c>
      <c r="B617" t="str">
        <f t="shared" si="63"/>
        <v>OK</v>
      </c>
      <c r="C617" t="s">
        <v>2117</v>
      </c>
      <c r="D617" s="2">
        <v>59</v>
      </c>
      <c r="E617">
        <f>IF(OR(D617&lt;18, D617&gt;100),AD616,D617)</f>
        <v>59</v>
      </c>
      <c r="F617" t="s">
        <v>2992</v>
      </c>
      <c r="G617" t="str">
        <f t="shared" si="64"/>
        <v>Female</v>
      </c>
      <c r="H617" t="s">
        <v>3003</v>
      </c>
      <c r="I617" t="s">
        <v>3020</v>
      </c>
      <c r="K617" t="str">
        <f t="shared" si="65"/>
        <v>Self-Employed</v>
      </c>
      <c r="L617">
        <v>27</v>
      </c>
      <c r="M617">
        <v>642785</v>
      </c>
      <c r="N617">
        <f t="shared" si="66"/>
        <v>642785</v>
      </c>
      <c r="O617">
        <v>744479</v>
      </c>
      <c r="P617">
        <v>12.63</v>
      </c>
      <c r="Q617">
        <v>48</v>
      </c>
      <c r="R617" t="s">
        <v>3049</v>
      </c>
      <c r="S617" t="str">
        <f t="shared" si="67"/>
        <v>Business</v>
      </c>
      <c r="T617">
        <v>515</v>
      </c>
      <c r="U617">
        <f t="shared" si="68"/>
        <v>515</v>
      </c>
      <c r="V617">
        <v>0</v>
      </c>
      <c r="W617" t="s">
        <v>3053</v>
      </c>
      <c r="X617" s="3" t="s">
        <v>3165</v>
      </c>
      <c r="Y617" s="3">
        <f t="shared" si="69"/>
        <v>44374</v>
      </c>
      <c r="Z617">
        <v>1.1581999999999999</v>
      </c>
    </row>
    <row r="618" spans="1:26" x14ac:dyDescent="0.35">
      <c r="A618" t="s">
        <v>629</v>
      </c>
      <c r="B618" t="str">
        <f t="shared" si="63"/>
        <v>OK</v>
      </c>
      <c r="C618" t="s">
        <v>2118</v>
      </c>
      <c r="D618" s="2">
        <v>64</v>
      </c>
      <c r="E618">
        <f>IF(OR(D618&lt;18, D618&gt;100),AD617,D618)</f>
        <v>64</v>
      </c>
      <c r="F618" t="s">
        <v>2992</v>
      </c>
      <c r="G618" t="str">
        <f t="shared" si="64"/>
        <v>Female</v>
      </c>
      <c r="H618" t="s">
        <v>2998</v>
      </c>
      <c r="I618" t="s">
        <v>3021</v>
      </c>
      <c r="K618" t="str">
        <f t="shared" si="65"/>
        <v>Unemployed</v>
      </c>
      <c r="L618">
        <v>1</v>
      </c>
      <c r="M618">
        <v>1757222</v>
      </c>
      <c r="N618">
        <f t="shared" si="66"/>
        <v>1757222</v>
      </c>
      <c r="O618">
        <v>457100</v>
      </c>
      <c r="P618">
        <v>21.85</v>
      </c>
      <c r="Q618">
        <v>12</v>
      </c>
      <c r="R618" t="s">
        <v>3050</v>
      </c>
      <c r="S618" t="str">
        <f t="shared" si="67"/>
        <v>Agriculture</v>
      </c>
      <c r="T618">
        <v>491</v>
      </c>
      <c r="U618">
        <f t="shared" si="68"/>
        <v>491</v>
      </c>
      <c r="V618">
        <v>6</v>
      </c>
      <c r="W618" t="s">
        <v>3054</v>
      </c>
      <c r="X618" s="3" t="s">
        <v>3592</v>
      </c>
      <c r="Y618" s="3">
        <f t="shared" si="69"/>
        <v>43879</v>
      </c>
      <c r="Z618">
        <v>0.2601</v>
      </c>
    </row>
    <row r="619" spans="1:26" x14ac:dyDescent="0.35">
      <c r="A619" t="s">
        <v>630</v>
      </c>
      <c r="B619" t="str">
        <f t="shared" si="63"/>
        <v>OK</v>
      </c>
      <c r="C619" t="s">
        <v>2119</v>
      </c>
      <c r="D619" s="2">
        <v>63</v>
      </c>
      <c r="E619">
        <f>IF(OR(D619&lt;18, D619&gt;100),AD618,D619)</f>
        <v>63</v>
      </c>
      <c r="F619" t="s">
        <v>2992</v>
      </c>
      <c r="G619" t="str">
        <f t="shared" si="64"/>
        <v>Female</v>
      </c>
      <c r="H619" t="s">
        <v>2998</v>
      </c>
      <c r="I619" t="s">
        <v>3018</v>
      </c>
      <c r="K619" t="str">
        <f t="shared" si="65"/>
        <v>Business Owner</v>
      </c>
      <c r="L619">
        <v>1</v>
      </c>
      <c r="M619">
        <v>1207557</v>
      </c>
      <c r="N619">
        <f t="shared" si="66"/>
        <v>1207557</v>
      </c>
      <c r="O619">
        <v>464975</v>
      </c>
      <c r="P619">
        <v>15.67</v>
      </c>
      <c r="Q619">
        <v>12</v>
      </c>
      <c r="R619" t="s">
        <v>3046</v>
      </c>
      <c r="S619" t="str">
        <f t="shared" si="67"/>
        <v>Medical</v>
      </c>
      <c r="T619">
        <v>497</v>
      </c>
      <c r="U619">
        <f t="shared" si="68"/>
        <v>497</v>
      </c>
      <c r="V619">
        <v>4</v>
      </c>
      <c r="W619" t="s">
        <v>3052</v>
      </c>
      <c r="X619" s="3" t="s">
        <v>3593</v>
      </c>
      <c r="Y619" s="3">
        <f t="shared" si="69"/>
        <v>44543</v>
      </c>
      <c r="Z619">
        <v>0.3851</v>
      </c>
    </row>
    <row r="620" spans="1:26" x14ac:dyDescent="0.35">
      <c r="A620" t="s">
        <v>631</v>
      </c>
      <c r="B620" t="str">
        <f t="shared" si="63"/>
        <v>OK</v>
      </c>
      <c r="C620" t="s">
        <v>2120</v>
      </c>
      <c r="D620" s="2">
        <v>27</v>
      </c>
      <c r="E620">
        <f>IF(OR(D620&lt;18, D620&gt;100),AD619,D620)</f>
        <v>27</v>
      </c>
      <c r="F620" t="s">
        <v>2992</v>
      </c>
      <c r="G620" t="str">
        <f t="shared" si="64"/>
        <v>Female</v>
      </c>
      <c r="H620" t="s">
        <v>3004</v>
      </c>
      <c r="I620" t="s">
        <v>3018</v>
      </c>
      <c r="K620" t="str">
        <f t="shared" si="65"/>
        <v>Business Owner</v>
      </c>
      <c r="L620">
        <v>8</v>
      </c>
      <c r="M620">
        <v>1808094</v>
      </c>
      <c r="N620">
        <f t="shared" si="66"/>
        <v>1808094</v>
      </c>
      <c r="O620">
        <v>782371</v>
      </c>
      <c r="P620">
        <v>24.47</v>
      </c>
      <c r="Q620">
        <v>12</v>
      </c>
      <c r="S620" t="str">
        <f t="shared" si="67"/>
        <v>Unknown</v>
      </c>
      <c r="T620">
        <v>695</v>
      </c>
      <c r="U620">
        <f t="shared" si="68"/>
        <v>695</v>
      </c>
      <c r="V620">
        <v>1</v>
      </c>
      <c r="W620" t="s">
        <v>3057</v>
      </c>
      <c r="X620" s="3" t="s">
        <v>3239</v>
      </c>
      <c r="Y620" s="3">
        <f t="shared" si="69"/>
        <v>44299</v>
      </c>
      <c r="Z620">
        <v>0.43269999999999997</v>
      </c>
    </row>
    <row r="621" spans="1:26" x14ac:dyDescent="0.35">
      <c r="A621" t="s">
        <v>632</v>
      </c>
      <c r="B621" t="str">
        <f t="shared" si="63"/>
        <v>OK</v>
      </c>
      <c r="C621" t="s">
        <v>2121</v>
      </c>
      <c r="D621" s="2">
        <v>23</v>
      </c>
      <c r="E621">
        <f>IF(OR(D621&lt;18, D621&gt;100),AD620,D621)</f>
        <v>23</v>
      </c>
      <c r="F621" t="s">
        <v>2990</v>
      </c>
      <c r="G621" t="str">
        <f t="shared" si="64"/>
        <v>Male</v>
      </c>
      <c r="H621" t="s">
        <v>3002</v>
      </c>
      <c r="I621" t="s">
        <v>3020</v>
      </c>
      <c r="K621" t="str">
        <f t="shared" si="65"/>
        <v>Self-Employed</v>
      </c>
      <c r="L621">
        <v>12</v>
      </c>
      <c r="M621">
        <v>1235675</v>
      </c>
      <c r="N621">
        <f t="shared" si="66"/>
        <v>1235675</v>
      </c>
      <c r="O621">
        <v>427472</v>
      </c>
      <c r="P621">
        <v>16.66</v>
      </c>
      <c r="Q621">
        <v>24</v>
      </c>
      <c r="R621" t="s">
        <v>3049</v>
      </c>
      <c r="S621" t="str">
        <f t="shared" si="67"/>
        <v>Business</v>
      </c>
      <c r="T621">
        <v>387</v>
      </c>
      <c r="U621">
        <f t="shared" si="68"/>
        <v>387</v>
      </c>
      <c r="V621">
        <v>0</v>
      </c>
      <c r="W621" t="s">
        <v>3052</v>
      </c>
      <c r="X621" s="3" t="s">
        <v>3064</v>
      </c>
      <c r="Y621" s="3">
        <f t="shared" si="69"/>
        <v>44169</v>
      </c>
      <c r="Z621">
        <v>0.34589999999999999</v>
      </c>
    </row>
    <row r="622" spans="1:26" x14ac:dyDescent="0.35">
      <c r="A622" t="s">
        <v>633</v>
      </c>
      <c r="B622" t="str">
        <f t="shared" si="63"/>
        <v>OK</v>
      </c>
      <c r="C622" t="s">
        <v>2122</v>
      </c>
      <c r="D622" s="2">
        <v>53</v>
      </c>
      <c r="E622">
        <f>IF(OR(D622&lt;18, D622&gt;100),AD621,D622)</f>
        <v>53</v>
      </c>
      <c r="F622" t="s">
        <v>2992</v>
      </c>
      <c r="G622" t="str">
        <f t="shared" si="64"/>
        <v>Female</v>
      </c>
      <c r="H622" t="s">
        <v>3004</v>
      </c>
      <c r="I622" t="s">
        <v>3021</v>
      </c>
      <c r="K622" t="str">
        <f t="shared" si="65"/>
        <v>Unemployed</v>
      </c>
      <c r="L622">
        <v>24</v>
      </c>
      <c r="M622">
        <v>1748560</v>
      </c>
      <c r="N622">
        <f t="shared" si="66"/>
        <v>1748560</v>
      </c>
      <c r="O622">
        <v>438184</v>
      </c>
      <c r="P622">
        <v>17.18</v>
      </c>
      <c r="Q622">
        <v>60</v>
      </c>
      <c r="R622" t="s">
        <v>3050</v>
      </c>
      <c r="S622" t="str">
        <f t="shared" si="67"/>
        <v>Agriculture</v>
      </c>
      <c r="T622">
        <v>428</v>
      </c>
      <c r="U622">
        <f t="shared" si="68"/>
        <v>428</v>
      </c>
      <c r="V622">
        <v>2</v>
      </c>
      <c r="W622" t="s">
        <v>3052</v>
      </c>
      <c r="X622" s="3" t="s">
        <v>3594</v>
      </c>
      <c r="Y622" s="3">
        <f t="shared" si="69"/>
        <v>43895</v>
      </c>
      <c r="Z622">
        <v>0.25059999999999999</v>
      </c>
    </row>
    <row r="623" spans="1:26" x14ac:dyDescent="0.35">
      <c r="A623" t="s">
        <v>634</v>
      </c>
      <c r="B623" t="str">
        <f t="shared" si="63"/>
        <v>OK</v>
      </c>
      <c r="C623" t="s">
        <v>2123</v>
      </c>
      <c r="D623" s="2">
        <v>35</v>
      </c>
      <c r="E623">
        <f>IF(OR(D623&lt;18, D623&gt;100),AD622,D623)</f>
        <v>35</v>
      </c>
      <c r="F623" t="s">
        <v>2992</v>
      </c>
      <c r="G623" t="str">
        <f t="shared" si="64"/>
        <v>Female</v>
      </c>
      <c r="H623" t="s">
        <v>3000</v>
      </c>
      <c r="I623" t="s">
        <v>3018</v>
      </c>
      <c r="K623" t="str">
        <f t="shared" si="65"/>
        <v>Business Owner</v>
      </c>
      <c r="L623">
        <v>11</v>
      </c>
      <c r="M623">
        <v>1454634</v>
      </c>
      <c r="N623">
        <f t="shared" si="66"/>
        <v>1454634</v>
      </c>
      <c r="O623">
        <v>789305</v>
      </c>
      <c r="P623">
        <v>23.03</v>
      </c>
      <c r="Q623">
        <v>12</v>
      </c>
      <c r="R623" t="s">
        <v>3046</v>
      </c>
      <c r="S623" t="str">
        <f t="shared" si="67"/>
        <v>Medical</v>
      </c>
      <c r="T623">
        <v>595</v>
      </c>
      <c r="U623">
        <f t="shared" si="68"/>
        <v>595</v>
      </c>
      <c r="V623">
        <v>1</v>
      </c>
      <c r="W623" t="s">
        <v>3054</v>
      </c>
      <c r="X623" s="3" t="s">
        <v>3595</v>
      </c>
      <c r="Y623" s="3">
        <f t="shared" si="69"/>
        <v>43977</v>
      </c>
      <c r="Z623">
        <v>0.54259999999999997</v>
      </c>
    </row>
    <row r="624" spans="1:26" x14ac:dyDescent="0.35">
      <c r="A624" t="s">
        <v>635</v>
      </c>
      <c r="B624" t="str">
        <f t="shared" si="63"/>
        <v>OK</v>
      </c>
      <c r="C624" t="s">
        <v>2124</v>
      </c>
      <c r="D624" s="2">
        <v>32</v>
      </c>
      <c r="E624">
        <f>IF(OR(D624&lt;18, D624&gt;100),AD623,D624)</f>
        <v>32</v>
      </c>
      <c r="F624" t="s">
        <v>2992</v>
      </c>
      <c r="G624" t="str">
        <f t="shared" si="64"/>
        <v>Female</v>
      </c>
      <c r="H624" t="s">
        <v>3005</v>
      </c>
      <c r="I624" t="s">
        <v>3021</v>
      </c>
      <c r="K624" t="str">
        <f t="shared" si="65"/>
        <v>Unemployed</v>
      </c>
      <c r="L624">
        <v>20</v>
      </c>
      <c r="M624">
        <v>1939980</v>
      </c>
      <c r="N624">
        <f t="shared" si="66"/>
        <v>1939980</v>
      </c>
      <c r="O624">
        <v>505833</v>
      </c>
      <c r="P624">
        <v>26.7</v>
      </c>
      <c r="Q624">
        <v>48</v>
      </c>
      <c r="R624" t="s">
        <v>3050</v>
      </c>
      <c r="S624" t="str">
        <f t="shared" si="67"/>
        <v>Agriculture</v>
      </c>
      <c r="U624">
        <f t="shared" si="68"/>
        <v>556</v>
      </c>
      <c r="V624">
        <v>0</v>
      </c>
      <c r="W624" t="s">
        <v>3056</v>
      </c>
      <c r="X624" s="3" t="s">
        <v>3596</v>
      </c>
      <c r="Y624" s="3">
        <f t="shared" si="69"/>
        <v>44419</v>
      </c>
      <c r="Z624">
        <v>0.26069999999999999</v>
      </c>
    </row>
    <row r="625" spans="1:26" x14ac:dyDescent="0.35">
      <c r="A625" t="s">
        <v>636</v>
      </c>
      <c r="B625" t="str">
        <f t="shared" si="63"/>
        <v>OK</v>
      </c>
      <c r="C625" t="s">
        <v>2125</v>
      </c>
      <c r="D625" s="2">
        <v>45</v>
      </c>
      <c r="E625">
        <f>IF(OR(D625&lt;18, D625&gt;100),AD624,D625)</f>
        <v>45</v>
      </c>
      <c r="F625" t="s">
        <v>2990</v>
      </c>
      <c r="G625" t="str">
        <f t="shared" si="64"/>
        <v>Male</v>
      </c>
      <c r="H625" t="s">
        <v>2998</v>
      </c>
      <c r="I625" t="s">
        <v>3019</v>
      </c>
      <c r="K625" t="str">
        <f t="shared" si="65"/>
        <v>Employed</v>
      </c>
      <c r="L625">
        <v>9</v>
      </c>
      <c r="M625">
        <v>928736</v>
      </c>
      <c r="N625">
        <f t="shared" si="66"/>
        <v>928736</v>
      </c>
      <c r="O625">
        <v>263877</v>
      </c>
      <c r="P625">
        <v>14.56</v>
      </c>
      <c r="Q625">
        <v>12</v>
      </c>
      <c r="R625" t="s">
        <v>3049</v>
      </c>
      <c r="S625" t="str">
        <f t="shared" si="67"/>
        <v>Business</v>
      </c>
      <c r="T625">
        <v>707</v>
      </c>
      <c r="U625">
        <f t="shared" si="68"/>
        <v>707</v>
      </c>
      <c r="V625">
        <v>4</v>
      </c>
      <c r="W625" t="s">
        <v>3056</v>
      </c>
      <c r="X625" s="3" t="s">
        <v>3597</v>
      </c>
      <c r="Y625" s="3">
        <f t="shared" si="69"/>
        <v>43911</v>
      </c>
      <c r="Z625">
        <v>0.28410000000000002</v>
      </c>
    </row>
    <row r="626" spans="1:26" x14ac:dyDescent="0.35">
      <c r="A626" t="s">
        <v>637</v>
      </c>
      <c r="B626" t="str">
        <f t="shared" si="63"/>
        <v>OK</v>
      </c>
      <c r="C626" t="s">
        <v>2126</v>
      </c>
      <c r="D626" s="2">
        <v>60</v>
      </c>
      <c r="E626">
        <f>IF(OR(D626&lt;18, D626&gt;100),AD625,D626)</f>
        <v>60</v>
      </c>
      <c r="F626" t="s">
        <v>2990</v>
      </c>
      <c r="G626" t="str">
        <f t="shared" si="64"/>
        <v>Male</v>
      </c>
      <c r="H626" t="s">
        <v>3004</v>
      </c>
      <c r="I626" t="s">
        <v>3019</v>
      </c>
      <c r="K626" t="str">
        <f t="shared" si="65"/>
        <v>Employed</v>
      </c>
      <c r="L626">
        <v>26</v>
      </c>
      <c r="M626">
        <v>1965559</v>
      </c>
      <c r="N626">
        <f t="shared" si="66"/>
        <v>1965559</v>
      </c>
      <c r="O626">
        <v>227139</v>
      </c>
      <c r="P626">
        <v>17.22</v>
      </c>
      <c r="Q626">
        <v>36</v>
      </c>
      <c r="R626" t="s">
        <v>3048</v>
      </c>
      <c r="S626" t="str">
        <f t="shared" si="67"/>
        <v>Home Improvement</v>
      </c>
      <c r="T626">
        <v>797</v>
      </c>
      <c r="U626">
        <f t="shared" si="68"/>
        <v>797</v>
      </c>
      <c r="V626">
        <v>4</v>
      </c>
      <c r="W626" t="s">
        <v>3052</v>
      </c>
      <c r="X626" s="3" t="s">
        <v>3598</v>
      </c>
      <c r="Y626" s="3">
        <f t="shared" si="69"/>
        <v>44674</v>
      </c>
      <c r="Z626">
        <v>0.11559999999999999</v>
      </c>
    </row>
    <row r="627" spans="1:26" x14ac:dyDescent="0.35">
      <c r="A627" t="s">
        <v>638</v>
      </c>
      <c r="B627" t="str">
        <f t="shared" si="63"/>
        <v>OK</v>
      </c>
      <c r="C627" t="s">
        <v>2127</v>
      </c>
      <c r="D627" s="2">
        <v>62</v>
      </c>
      <c r="E627">
        <f>IF(OR(D627&lt;18, D627&gt;100),AD626,D627)</f>
        <v>62</v>
      </c>
      <c r="F627" t="s">
        <v>2990</v>
      </c>
      <c r="G627" t="str">
        <f t="shared" si="64"/>
        <v>Male</v>
      </c>
      <c r="H627" t="s">
        <v>3004</v>
      </c>
      <c r="I627" t="s">
        <v>3021</v>
      </c>
      <c r="K627" t="str">
        <f t="shared" si="65"/>
        <v>Unemployed</v>
      </c>
      <c r="L627">
        <v>17</v>
      </c>
      <c r="M627">
        <v>425404</v>
      </c>
      <c r="N627">
        <f t="shared" si="66"/>
        <v>425404</v>
      </c>
      <c r="O627">
        <v>732793</v>
      </c>
      <c r="P627">
        <v>14.78</v>
      </c>
      <c r="Q627">
        <v>48</v>
      </c>
      <c r="R627" t="s">
        <v>3049</v>
      </c>
      <c r="S627" t="str">
        <f t="shared" si="67"/>
        <v>Business</v>
      </c>
      <c r="T627">
        <v>502</v>
      </c>
      <c r="U627">
        <f t="shared" si="68"/>
        <v>502</v>
      </c>
      <c r="V627">
        <v>2</v>
      </c>
      <c r="W627" t="s">
        <v>3057</v>
      </c>
      <c r="X627" s="3" t="s">
        <v>3599</v>
      </c>
      <c r="Y627" s="3">
        <f t="shared" si="69"/>
        <v>43899</v>
      </c>
      <c r="Z627">
        <v>1.7225999999999999</v>
      </c>
    </row>
    <row r="628" spans="1:26" x14ac:dyDescent="0.35">
      <c r="A628" t="s">
        <v>639</v>
      </c>
      <c r="B628" t="str">
        <f t="shared" si="63"/>
        <v>OK</v>
      </c>
      <c r="C628" t="s">
        <v>2128</v>
      </c>
      <c r="D628" s="2">
        <v>53</v>
      </c>
      <c r="E628">
        <f>IF(OR(D628&lt;18, D628&gt;100),AD627,D628)</f>
        <v>53</v>
      </c>
      <c r="F628" t="s">
        <v>2992</v>
      </c>
      <c r="G628" t="str">
        <f t="shared" si="64"/>
        <v>Female</v>
      </c>
      <c r="H628" t="s">
        <v>3007</v>
      </c>
      <c r="I628" t="s">
        <v>3020</v>
      </c>
      <c r="K628" t="str">
        <f t="shared" si="65"/>
        <v>Self-Employed</v>
      </c>
      <c r="L628">
        <v>7</v>
      </c>
      <c r="M628">
        <v>1100597</v>
      </c>
      <c r="N628">
        <f t="shared" si="66"/>
        <v>1100597</v>
      </c>
      <c r="O628">
        <v>407881</v>
      </c>
      <c r="P628">
        <v>21.36</v>
      </c>
      <c r="Q628">
        <v>48</v>
      </c>
      <c r="R628" t="s">
        <v>3048</v>
      </c>
      <c r="S628" t="str">
        <f t="shared" si="67"/>
        <v>Home Improvement</v>
      </c>
      <c r="T628">
        <v>429</v>
      </c>
      <c r="U628">
        <f t="shared" si="68"/>
        <v>429</v>
      </c>
      <c r="V628">
        <v>7</v>
      </c>
      <c r="W628" t="s">
        <v>3056</v>
      </c>
      <c r="X628" s="3" t="s">
        <v>3600</v>
      </c>
      <c r="Y628" s="3">
        <f t="shared" si="69"/>
        <v>43945</v>
      </c>
      <c r="Z628">
        <v>0.37059999999999998</v>
      </c>
    </row>
    <row r="629" spans="1:26" x14ac:dyDescent="0.35">
      <c r="A629" t="s">
        <v>640</v>
      </c>
      <c r="B629" t="str">
        <f t="shared" si="63"/>
        <v>OK</v>
      </c>
      <c r="C629" t="s">
        <v>2129</v>
      </c>
      <c r="D629" s="2">
        <v>45</v>
      </c>
      <c r="E629">
        <f>IF(OR(D629&lt;18, D629&gt;100),AD628,D629)</f>
        <v>45</v>
      </c>
      <c r="F629" t="s">
        <v>2990</v>
      </c>
      <c r="G629" t="str">
        <f t="shared" si="64"/>
        <v>Male</v>
      </c>
      <c r="H629" t="s">
        <v>3002</v>
      </c>
      <c r="I629" t="s">
        <v>3021</v>
      </c>
      <c r="K629" t="str">
        <f t="shared" si="65"/>
        <v>Unemployed</v>
      </c>
      <c r="L629">
        <v>14</v>
      </c>
      <c r="M629">
        <v>1171469</v>
      </c>
      <c r="N629">
        <f t="shared" si="66"/>
        <v>1171469</v>
      </c>
      <c r="O629">
        <v>149887</v>
      </c>
      <c r="P629">
        <v>19.57</v>
      </c>
      <c r="Q629">
        <v>24</v>
      </c>
      <c r="R629" t="s">
        <v>3047</v>
      </c>
      <c r="S629" t="str">
        <f t="shared" si="67"/>
        <v>Personal</v>
      </c>
      <c r="T629">
        <v>826</v>
      </c>
      <c r="U629">
        <f t="shared" si="68"/>
        <v>826</v>
      </c>
      <c r="V629">
        <v>1</v>
      </c>
      <c r="W629" t="s">
        <v>3054</v>
      </c>
      <c r="X629" s="3" t="s">
        <v>3355</v>
      </c>
      <c r="Y629" s="3">
        <f t="shared" si="69"/>
        <v>43881</v>
      </c>
      <c r="Z629">
        <v>0.12790000000000001</v>
      </c>
    </row>
    <row r="630" spans="1:26" x14ac:dyDescent="0.35">
      <c r="A630" t="s">
        <v>641</v>
      </c>
      <c r="B630" t="str">
        <f t="shared" si="63"/>
        <v>OK</v>
      </c>
      <c r="C630" t="s">
        <v>2130</v>
      </c>
      <c r="D630" s="2">
        <v>41</v>
      </c>
      <c r="E630">
        <f>IF(OR(D630&lt;18, D630&gt;100),AD629,D630)</f>
        <v>41</v>
      </c>
      <c r="F630" t="s">
        <v>2990</v>
      </c>
      <c r="G630" t="str">
        <f t="shared" si="64"/>
        <v>Male</v>
      </c>
      <c r="H630" t="s">
        <v>3003</v>
      </c>
      <c r="K630" t="str">
        <f t="shared" si="65"/>
        <v>Unknown</v>
      </c>
      <c r="L630">
        <v>29</v>
      </c>
      <c r="M630">
        <v>827296</v>
      </c>
      <c r="N630">
        <f t="shared" si="66"/>
        <v>827296</v>
      </c>
      <c r="O630">
        <v>280220</v>
      </c>
      <c r="P630">
        <v>10.41</v>
      </c>
      <c r="Q630">
        <v>48</v>
      </c>
      <c r="R630" t="s">
        <v>3046</v>
      </c>
      <c r="S630" t="str">
        <f t="shared" si="67"/>
        <v>Medical</v>
      </c>
      <c r="T630">
        <v>412</v>
      </c>
      <c r="U630">
        <f t="shared" si="68"/>
        <v>412</v>
      </c>
      <c r="V630">
        <v>7</v>
      </c>
      <c r="W630" t="s">
        <v>3057</v>
      </c>
      <c r="X630" s="3" t="s">
        <v>3088</v>
      </c>
      <c r="Y630" s="3">
        <f t="shared" si="69"/>
        <v>43971</v>
      </c>
      <c r="Z630">
        <v>0.3387</v>
      </c>
    </row>
    <row r="631" spans="1:26" x14ac:dyDescent="0.35">
      <c r="A631" t="s">
        <v>642</v>
      </c>
      <c r="B631" t="str">
        <f t="shared" si="63"/>
        <v>OK</v>
      </c>
      <c r="C631" t="s">
        <v>2131</v>
      </c>
      <c r="D631" s="2">
        <v>49</v>
      </c>
      <c r="E631">
        <f>IF(OR(D631&lt;18, D631&gt;100),AD630,D631)</f>
        <v>49</v>
      </c>
      <c r="F631" t="s">
        <v>2992</v>
      </c>
      <c r="G631" t="str">
        <f t="shared" si="64"/>
        <v>Female</v>
      </c>
      <c r="H631" t="s">
        <v>2999</v>
      </c>
      <c r="I631" t="s">
        <v>3018</v>
      </c>
      <c r="K631" t="str">
        <f t="shared" si="65"/>
        <v>Business Owner</v>
      </c>
      <c r="L631">
        <v>3</v>
      </c>
      <c r="M631">
        <v>1038379</v>
      </c>
      <c r="N631">
        <f t="shared" si="66"/>
        <v>1038379</v>
      </c>
      <c r="O631">
        <v>353840</v>
      </c>
      <c r="P631">
        <v>25.94</v>
      </c>
      <c r="Q631">
        <v>36</v>
      </c>
      <c r="R631" t="s">
        <v>3050</v>
      </c>
      <c r="S631" t="str">
        <f t="shared" si="67"/>
        <v>Agriculture</v>
      </c>
      <c r="T631">
        <v>305</v>
      </c>
      <c r="U631">
        <f t="shared" si="68"/>
        <v>305</v>
      </c>
      <c r="V631">
        <v>0</v>
      </c>
      <c r="W631" t="s">
        <v>3054</v>
      </c>
      <c r="X631" s="3" t="s">
        <v>3601</v>
      </c>
      <c r="Y631" s="3">
        <f t="shared" si="69"/>
        <v>43953</v>
      </c>
      <c r="Z631">
        <v>0.34079999999999999</v>
      </c>
    </row>
    <row r="632" spans="1:26" x14ac:dyDescent="0.35">
      <c r="A632" t="s">
        <v>643</v>
      </c>
      <c r="B632" t="str">
        <f t="shared" si="63"/>
        <v>OK</v>
      </c>
      <c r="C632" t="s">
        <v>2132</v>
      </c>
      <c r="D632" s="2">
        <v>40</v>
      </c>
      <c r="E632">
        <f>IF(OR(D632&lt;18, D632&gt;100),AD631,D632)</f>
        <v>40</v>
      </c>
      <c r="F632" t="s">
        <v>2992</v>
      </c>
      <c r="G632" t="str">
        <f t="shared" si="64"/>
        <v>Female</v>
      </c>
      <c r="H632" t="s">
        <v>3005</v>
      </c>
      <c r="I632" t="s">
        <v>3018</v>
      </c>
      <c r="K632" t="str">
        <f t="shared" si="65"/>
        <v>Business Owner</v>
      </c>
      <c r="L632">
        <v>24</v>
      </c>
      <c r="M632">
        <v>732467</v>
      </c>
      <c r="N632">
        <f t="shared" si="66"/>
        <v>732467</v>
      </c>
      <c r="O632">
        <v>614821</v>
      </c>
      <c r="P632">
        <v>27.27</v>
      </c>
      <c r="Q632">
        <v>36</v>
      </c>
      <c r="R632" t="s">
        <v>3048</v>
      </c>
      <c r="S632" t="str">
        <f t="shared" si="67"/>
        <v>Home Improvement</v>
      </c>
      <c r="T632">
        <v>414</v>
      </c>
      <c r="U632">
        <f t="shared" si="68"/>
        <v>414</v>
      </c>
      <c r="V632">
        <v>1</v>
      </c>
      <c r="W632" t="s">
        <v>3056</v>
      </c>
      <c r="X632" s="3" t="s">
        <v>3602</v>
      </c>
      <c r="Y632" s="3">
        <f t="shared" si="69"/>
        <v>44133</v>
      </c>
      <c r="Z632">
        <v>0.83940000000000003</v>
      </c>
    </row>
    <row r="633" spans="1:26" x14ac:dyDescent="0.35">
      <c r="A633" t="s">
        <v>644</v>
      </c>
      <c r="B633" t="str">
        <f t="shared" si="63"/>
        <v>OK</v>
      </c>
      <c r="C633" t="s">
        <v>2133</v>
      </c>
      <c r="D633" s="2">
        <v>45</v>
      </c>
      <c r="E633">
        <f>IF(OR(D633&lt;18, D633&gt;100),AD632,D633)</f>
        <v>45</v>
      </c>
      <c r="F633" t="s">
        <v>2990</v>
      </c>
      <c r="G633" t="str">
        <f t="shared" si="64"/>
        <v>Male</v>
      </c>
      <c r="H633" t="s">
        <v>3004</v>
      </c>
      <c r="I633" t="s">
        <v>3020</v>
      </c>
      <c r="K633" t="str">
        <f t="shared" si="65"/>
        <v>Self-Employed</v>
      </c>
      <c r="L633">
        <v>14</v>
      </c>
      <c r="M633">
        <v>1297862</v>
      </c>
      <c r="N633">
        <f t="shared" si="66"/>
        <v>1297862</v>
      </c>
      <c r="O633">
        <v>599223</v>
      </c>
      <c r="P633">
        <v>14.25</v>
      </c>
      <c r="Q633">
        <v>60</v>
      </c>
      <c r="R633" t="s">
        <v>3047</v>
      </c>
      <c r="S633" t="str">
        <f t="shared" si="67"/>
        <v>Personal</v>
      </c>
      <c r="T633">
        <v>708</v>
      </c>
      <c r="U633">
        <f t="shared" si="68"/>
        <v>708</v>
      </c>
      <c r="V633">
        <v>0</v>
      </c>
      <c r="W633" t="s">
        <v>3055</v>
      </c>
      <c r="X633" s="3" t="s">
        <v>3603</v>
      </c>
      <c r="Y633" s="3">
        <f t="shared" si="69"/>
        <v>44667</v>
      </c>
      <c r="Z633">
        <v>0.4617</v>
      </c>
    </row>
    <row r="634" spans="1:26" x14ac:dyDescent="0.35">
      <c r="A634" t="s">
        <v>645</v>
      </c>
      <c r="B634" t="str">
        <f t="shared" si="63"/>
        <v>OK</v>
      </c>
      <c r="C634" t="s">
        <v>2134</v>
      </c>
      <c r="D634" s="2">
        <v>41</v>
      </c>
      <c r="E634">
        <f>IF(OR(D634&lt;18, D634&gt;100),AD633,D634)</f>
        <v>41</v>
      </c>
      <c r="F634" t="s">
        <v>2992</v>
      </c>
      <c r="G634" t="str">
        <f t="shared" si="64"/>
        <v>Female</v>
      </c>
      <c r="H634" t="s">
        <v>2998</v>
      </c>
      <c r="I634" t="s">
        <v>3019</v>
      </c>
      <c r="K634" t="str">
        <f t="shared" si="65"/>
        <v>Employed</v>
      </c>
      <c r="L634">
        <v>23</v>
      </c>
      <c r="M634">
        <v>1718510</v>
      </c>
      <c r="N634">
        <f t="shared" si="66"/>
        <v>1718510</v>
      </c>
      <c r="O634">
        <v>23849</v>
      </c>
      <c r="P634">
        <v>20.88</v>
      </c>
      <c r="Q634">
        <v>48</v>
      </c>
      <c r="R634" t="s">
        <v>3047</v>
      </c>
      <c r="S634" t="str">
        <f t="shared" si="67"/>
        <v>Personal</v>
      </c>
      <c r="T634">
        <v>809</v>
      </c>
      <c r="U634">
        <f t="shared" si="68"/>
        <v>809</v>
      </c>
      <c r="V634">
        <v>0</v>
      </c>
      <c r="W634" t="s">
        <v>3054</v>
      </c>
      <c r="X634" s="3" t="s">
        <v>3604</v>
      </c>
      <c r="Y634" s="3">
        <f t="shared" si="69"/>
        <v>44290</v>
      </c>
      <c r="Z634">
        <v>1.3899999999999999E-2</v>
      </c>
    </row>
    <row r="635" spans="1:26" x14ac:dyDescent="0.35">
      <c r="A635" t="s">
        <v>646</v>
      </c>
      <c r="B635" t="str">
        <f t="shared" si="63"/>
        <v>OK</v>
      </c>
      <c r="C635" t="s">
        <v>2135</v>
      </c>
      <c r="D635" s="2">
        <v>59</v>
      </c>
      <c r="E635">
        <f>IF(OR(D635&lt;18, D635&gt;100),AD634,D635)</f>
        <v>59</v>
      </c>
      <c r="F635" t="s">
        <v>2990</v>
      </c>
      <c r="G635" t="str">
        <f t="shared" si="64"/>
        <v>Male</v>
      </c>
      <c r="H635" t="s">
        <v>3005</v>
      </c>
      <c r="I635" t="s">
        <v>3020</v>
      </c>
      <c r="K635" t="str">
        <f t="shared" si="65"/>
        <v>Self-Employed</v>
      </c>
      <c r="L635">
        <v>29</v>
      </c>
      <c r="M635">
        <v>1947858</v>
      </c>
      <c r="N635">
        <f t="shared" si="66"/>
        <v>1947858</v>
      </c>
      <c r="O635">
        <v>635324</v>
      </c>
      <c r="P635">
        <v>12.12</v>
      </c>
      <c r="Q635">
        <v>24</v>
      </c>
      <c r="R635" t="s">
        <v>3050</v>
      </c>
      <c r="S635" t="str">
        <f t="shared" si="67"/>
        <v>Agriculture</v>
      </c>
      <c r="T635">
        <v>577</v>
      </c>
      <c r="U635">
        <f t="shared" si="68"/>
        <v>577</v>
      </c>
      <c r="V635">
        <v>1</v>
      </c>
      <c r="W635" t="s">
        <v>3053</v>
      </c>
      <c r="X635" s="3" t="s">
        <v>3172</v>
      </c>
      <c r="Y635" s="3">
        <f t="shared" si="69"/>
        <v>45132</v>
      </c>
      <c r="Z635">
        <v>0.32619999999999999</v>
      </c>
    </row>
    <row r="636" spans="1:26" x14ac:dyDescent="0.35">
      <c r="A636" t="s">
        <v>647</v>
      </c>
      <c r="B636" t="str">
        <f t="shared" si="63"/>
        <v>OK</v>
      </c>
      <c r="C636" t="s">
        <v>2136</v>
      </c>
      <c r="D636" s="2">
        <v>57</v>
      </c>
      <c r="E636">
        <f>IF(OR(D636&lt;18, D636&gt;100),AD635,D636)</f>
        <v>57</v>
      </c>
      <c r="G636" t="str">
        <f t="shared" si="64"/>
        <v>Unknown</v>
      </c>
      <c r="H636" t="s">
        <v>3005</v>
      </c>
      <c r="I636" t="s">
        <v>3019</v>
      </c>
      <c r="K636" t="str">
        <f t="shared" si="65"/>
        <v>Employed</v>
      </c>
      <c r="L636">
        <v>2</v>
      </c>
      <c r="M636">
        <v>199975</v>
      </c>
      <c r="N636">
        <f t="shared" si="66"/>
        <v>199975</v>
      </c>
      <c r="O636">
        <v>764748</v>
      </c>
      <c r="P636">
        <v>9.5399999999999991</v>
      </c>
      <c r="Q636">
        <v>36</v>
      </c>
      <c r="R636" t="s">
        <v>3046</v>
      </c>
      <c r="S636" t="str">
        <f t="shared" si="67"/>
        <v>Medical</v>
      </c>
      <c r="U636">
        <f t="shared" si="68"/>
        <v>556</v>
      </c>
      <c r="V636">
        <v>2</v>
      </c>
      <c r="W636" t="s">
        <v>3057</v>
      </c>
      <c r="X636" s="3" t="s">
        <v>3605</v>
      </c>
      <c r="Y636" s="3">
        <f t="shared" si="69"/>
        <v>44713</v>
      </c>
      <c r="Z636">
        <v>3.8241999999999998</v>
      </c>
    </row>
    <row r="637" spans="1:26" x14ac:dyDescent="0.35">
      <c r="A637" t="s">
        <v>648</v>
      </c>
      <c r="B637" t="str">
        <f t="shared" si="63"/>
        <v>OK</v>
      </c>
      <c r="C637" t="s">
        <v>2137</v>
      </c>
      <c r="D637" s="2">
        <v>26</v>
      </c>
      <c r="E637">
        <f>IF(OR(D637&lt;18, D637&gt;100),AD636,D637)</f>
        <v>26</v>
      </c>
      <c r="F637" t="s">
        <v>2990</v>
      </c>
      <c r="G637" t="str">
        <f t="shared" si="64"/>
        <v>Male</v>
      </c>
      <c r="H637" t="s">
        <v>3003</v>
      </c>
      <c r="I637" t="s">
        <v>3020</v>
      </c>
      <c r="K637" t="str">
        <f t="shared" si="65"/>
        <v>Self-Employed</v>
      </c>
      <c r="L637">
        <v>9</v>
      </c>
      <c r="M637">
        <v>1065421</v>
      </c>
      <c r="N637">
        <f t="shared" si="66"/>
        <v>1065421</v>
      </c>
      <c r="O637">
        <v>490435</v>
      </c>
      <c r="P637">
        <v>21.33</v>
      </c>
      <c r="Q637">
        <v>12</v>
      </c>
      <c r="R637" t="s">
        <v>3047</v>
      </c>
      <c r="S637" t="str">
        <f t="shared" si="67"/>
        <v>Personal</v>
      </c>
      <c r="T637">
        <v>348</v>
      </c>
      <c r="U637">
        <f t="shared" si="68"/>
        <v>348</v>
      </c>
      <c r="V637">
        <v>6</v>
      </c>
      <c r="W637" t="s">
        <v>3052</v>
      </c>
      <c r="X637" s="3" t="s">
        <v>3332</v>
      </c>
      <c r="Y637" s="3">
        <f t="shared" si="69"/>
        <v>45010</v>
      </c>
      <c r="Z637">
        <v>0.46029999999999999</v>
      </c>
    </row>
    <row r="638" spans="1:26" x14ac:dyDescent="0.35">
      <c r="A638" t="s">
        <v>649</v>
      </c>
      <c r="B638" t="str">
        <f t="shared" si="63"/>
        <v>OK</v>
      </c>
      <c r="C638" t="s">
        <v>2138</v>
      </c>
      <c r="D638" s="2">
        <v>63</v>
      </c>
      <c r="E638">
        <f>IF(OR(D638&lt;18, D638&gt;100),AD637,D638)</f>
        <v>63</v>
      </c>
      <c r="F638" t="s">
        <v>2991</v>
      </c>
      <c r="G638" t="str">
        <f t="shared" si="64"/>
        <v>Female</v>
      </c>
      <c r="H638" t="s">
        <v>3001</v>
      </c>
      <c r="I638" t="s">
        <v>3021</v>
      </c>
      <c r="K638" t="str">
        <f t="shared" si="65"/>
        <v>Unemployed</v>
      </c>
      <c r="L638">
        <v>21</v>
      </c>
      <c r="M638">
        <v>2079054</v>
      </c>
      <c r="N638">
        <f t="shared" si="66"/>
        <v>2079054</v>
      </c>
      <c r="O638">
        <v>171956</v>
      </c>
      <c r="P638">
        <v>26.11</v>
      </c>
      <c r="Q638">
        <v>48</v>
      </c>
      <c r="R638" t="s">
        <v>3048</v>
      </c>
      <c r="S638" t="str">
        <f t="shared" si="67"/>
        <v>Home Improvement</v>
      </c>
      <c r="T638">
        <v>763</v>
      </c>
      <c r="U638">
        <f t="shared" si="68"/>
        <v>763</v>
      </c>
      <c r="V638">
        <v>2</v>
      </c>
      <c r="W638" t="s">
        <v>3053</v>
      </c>
      <c r="X638" s="3" t="s">
        <v>3606</v>
      </c>
      <c r="Y638" s="3">
        <f t="shared" si="69"/>
        <v>43862</v>
      </c>
      <c r="Z638">
        <v>8.2699999999999996E-2</v>
      </c>
    </row>
    <row r="639" spans="1:26" x14ac:dyDescent="0.35">
      <c r="A639" t="s">
        <v>650</v>
      </c>
      <c r="B639" t="str">
        <f t="shared" ref="B639:B702" si="70">IF(A639="", "MISSING", "OK")</f>
        <v>OK</v>
      </c>
      <c r="C639" t="s">
        <v>2139</v>
      </c>
      <c r="D639" s="2">
        <v>60</v>
      </c>
      <c r="E639">
        <f>IF(OR(D639&lt;18, D639&gt;100),AD638,D639)</f>
        <v>60</v>
      </c>
      <c r="F639" t="s">
        <v>2992</v>
      </c>
      <c r="G639" t="str">
        <f t="shared" si="64"/>
        <v>Female</v>
      </c>
      <c r="H639" t="s">
        <v>3002</v>
      </c>
      <c r="I639" t="s">
        <v>3018</v>
      </c>
      <c r="K639" t="str">
        <f t="shared" si="65"/>
        <v>Business Owner</v>
      </c>
      <c r="L639">
        <v>7</v>
      </c>
      <c r="M639">
        <v>696595</v>
      </c>
      <c r="N639">
        <f t="shared" si="66"/>
        <v>696595</v>
      </c>
      <c r="O639">
        <v>790692</v>
      </c>
      <c r="P639">
        <v>12.2</v>
      </c>
      <c r="Q639">
        <v>48</v>
      </c>
      <c r="R639" t="s">
        <v>3050</v>
      </c>
      <c r="S639" t="str">
        <f t="shared" si="67"/>
        <v>Agriculture</v>
      </c>
      <c r="T639">
        <v>352</v>
      </c>
      <c r="U639">
        <f t="shared" si="68"/>
        <v>352</v>
      </c>
      <c r="V639">
        <v>3</v>
      </c>
      <c r="W639" t="s">
        <v>3052</v>
      </c>
      <c r="X639" s="3" t="s">
        <v>3607</v>
      </c>
      <c r="Y639" s="3">
        <f t="shared" si="69"/>
        <v>44928</v>
      </c>
      <c r="Z639">
        <v>1.1351</v>
      </c>
    </row>
    <row r="640" spans="1:26" x14ac:dyDescent="0.35">
      <c r="A640" t="s">
        <v>651</v>
      </c>
      <c r="B640" t="str">
        <f t="shared" si="70"/>
        <v>OK</v>
      </c>
      <c r="C640" t="s">
        <v>2140</v>
      </c>
      <c r="D640" s="2">
        <v>64</v>
      </c>
      <c r="E640">
        <f>IF(OR(D640&lt;18, D640&gt;100),AD639,D640)</f>
        <v>64</v>
      </c>
      <c r="F640" t="s">
        <v>2992</v>
      </c>
      <c r="G640" t="str">
        <f t="shared" si="64"/>
        <v>Female</v>
      </c>
      <c r="H640" t="s">
        <v>3003</v>
      </c>
      <c r="I640" t="s">
        <v>3020</v>
      </c>
      <c r="K640" t="str">
        <f t="shared" si="65"/>
        <v>Self-Employed</v>
      </c>
      <c r="L640">
        <v>12</v>
      </c>
      <c r="M640">
        <v>218635</v>
      </c>
      <c r="N640">
        <f t="shared" si="66"/>
        <v>218635</v>
      </c>
      <c r="O640">
        <v>193115</v>
      </c>
      <c r="P640">
        <v>24.95</v>
      </c>
      <c r="Q640">
        <v>36</v>
      </c>
      <c r="R640" t="s">
        <v>3048</v>
      </c>
      <c r="S640" t="str">
        <f t="shared" si="67"/>
        <v>Home Improvement</v>
      </c>
      <c r="T640">
        <v>736</v>
      </c>
      <c r="U640">
        <f t="shared" si="68"/>
        <v>736</v>
      </c>
      <c r="V640">
        <v>2</v>
      </c>
      <c r="W640" t="s">
        <v>3054</v>
      </c>
      <c r="X640" s="3" t="s">
        <v>3608</v>
      </c>
      <c r="Y640" s="3">
        <f t="shared" si="69"/>
        <v>45091</v>
      </c>
      <c r="Z640">
        <v>0.88329999999999997</v>
      </c>
    </row>
    <row r="641" spans="1:26" x14ac:dyDescent="0.35">
      <c r="A641" t="s">
        <v>652</v>
      </c>
      <c r="B641" t="str">
        <f t="shared" si="70"/>
        <v>OK</v>
      </c>
      <c r="C641" t="s">
        <v>2141</v>
      </c>
      <c r="D641" s="2">
        <v>26</v>
      </c>
      <c r="E641">
        <f>IF(OR(D641&lt;18, D641&gt;100),AD640,D641)</f>
        <v>26</v>
      </c>
      <c r="F641" t="s">
        <v>2992</v>
      </c>
      <c r="G641" t="str">
        <f t="shared" si="64"/>
        <v>Female</v>
      </c>
      <c r="H641" t="s">
        <v>2999</v>
      </c>
      <c r="I641" t="s">
        <v>3018</v>
      </c>
      <c r="K641" t="str">
        <f t="shared" si="65"/>
        <v>Business Owner</v>
      </c>
      <c r="L641">
        <v>13</v>
      </c>
      <c r="N641">
        <f t="shared" si="66"/>
        <v>1333224</v>
      </c>
      <c r="O641">
        <v>158368</v>
      </c>
      <c r="P641">
        <v>15.11</v>
      </c>
      <c r="Q641">
        <v>12</v>
      </c>
      <c r="R641" t="s">
        <v>3047</v>
      </c>
      <c r="S641" t="str">
        <f t="shared" si="67"/>
        <v>Personal</v>
      </c>
      <c r="T641">
        <v>351</v>
      </c>
      <c r="U641">
        <f t="shared" si="68"/>
        <v>351</v>
      </c>
      <c r="V641">
        <v>4</v>
      </c>
      <c r="W641" t="s">
        <v>3052</v>
      </c>
      <c r="X641" s="3" t="s">
        <v>3609</v>
      </c>
      <c r="Y641" s="3">
        <f t="shared" si="69"/>
        <v>44551</v>
      </c>
      <c r="Z641">
        <v>0.14219999999999999</v>
      </c>
    </row>
    <row r="642" spans="1:26" x14ac:dyDescent="0.35">
      <c r="A642" t="s">
        <v>653</v>
      </c>
      <c r="B642" t="str">
        <f t="shared" si="70"/>
        <v>OK</v>
      </c>
      <c r="C642" t="s">
        <v>2142</v>
      </c>
      <c r="D642" s="2">
        <v>50</v>
      </c>
      <c r="E642">
        <f>IF(OR(D642&lt;18, D642&gt;100),AD641,D642)</f>
        <v>50</v>
      </c>
      <c r="F642" t="s">
        <v>2992</v>
      </c>
      <c r="G642" t="str">
        <f t="shared" si="64"/>
        <v>Female</v>
      </c>
      <c r="H642" t="s">
        <v>3007</v>
      </c>
      <c r="I642" t="s">
        <v>3018</v>
      </c>
      <c r="K642" t="str">
        <f t="shared" si="65"/>
        <v>Business Owner</v>
      </c>
      <c r="L642">
        <v>13</v>
      </c>
      <c r="M642">
        <v>2033751</v>
      </c>
      <c r="N642">
        <f t="shared" si="66"/>
        <v>2033751</v>
      </c>
      <c r="O642">
        <v>240462</v>
      </c>
      <c r="P642">
        <v>11.12</v>
      </c>
      <c r="Q642">
        <v>60</v>
      </c>
      <c r="R642" t="s">
        <v>3051</v>
      </c>
      <c r="S642" t="str">
        <f t="shared" si="67"/>
        <v>Education</v>
      </c>
      <c r="T642">
        <v>840</v>
      </c>
      <c r="U642">
        <f t="shared" si="68"/>
        <v>840</v>
      </c>
      <c r="V642">
        <v>3</v>
      </c>
      <c r="W642" t="s">
        <v>3052</v>
      </c>
      <c r="X642" s="3" t="s">
        <v>3610</v>
      </c>
      <c r="Y642" s="3">
        <f t="shared" si="69"/>
        <v>43904</v>
      </c>
      <c r="Z642">
        <v>0.1182</v>
      </c>
    </row>
    <row r="643" spans="1:26" x14ac:dyDescent="0.35">
      <c r="A643" t="s">
        <v>654</v>
      </c>
      <c r="B643" t="str">
        <f t="shared" si="70"/>
        <v>OK</v>
      </c>
      <c r="C643" t="s">
        <v>2143</v>
      </c>
      <c r="D643" s="2">
        <v>56</v>
      </c>
      <c r="E643">
        <f>IF(OR(D643&lt;18, D643&gt;100),AD642,D643)</f>
        <v>56</v>
      </c>
      <c r="F643" t="s">
        <v>2990</v>
      </c>
      <c r="G643" t="str">
        <f t="shared" ref="G643:G706" si="71">IF(F643="", "Unknown", IF(OR(F643="F", F643="FEMALE", F643="Female"), "Female", IF(OR(F643="M", F643="MALE", F643="Male"), "Male", "Other")))</f>
        <v>Male</v>
      </c>
      <c r="H643" t="s">
        <v>3005</v>
      </c>
      <c r="I643" t="s">
        <v>3019</v>
      </c>
      <c r="K643" t="str">
        <f t="shared" ref="K643:K706" si="72">IF(I643="", "Unknown", I643)</f>
        <v>Employed</v>
      </c>
      <c r="L643">
        <v>25</v>
      </c>
      <c r="M643">
        <v>1972113</v>
      </c>
      <c r="N643">
        <f t="shared" ref="N643:N706" si="73">IF(OR(M643="",M643&lt;0),$AD$3,M643)</f>
        <v>1972113</v>
      </c>
      <c r="O643">
        <v>53872</v>
      </c>
      <c r="P643">
        <v>23.6</v>
      </c>
      <c r="Q643">
        <v>60</v>
      </c>
      <c r="R643" t="s">
        <v>3050</v>
      </c>
      <c r="S643" t="str">
        <f t="shared" ref="S643:S706" si="74">IF(R643="", "Unknown", R643)</f>
        <v>Agriculture</v>
      </c>
      <c r="T643">
        <v>632</v>
      </c>
      <c r="U643">
        <f t="shared" ref="U643:U706" si="75">IF(OR(T643="",T643&gt;999),$AD$2,T643)</f>
        <v>632</v>
      </c>
      <c r="V643">
        <v>4</v>
      </c>
      <c r="W643" t="s">
        <v>3052</v>
      </c>
      <c r="X643" s="3" t="s">
        <v>3611</v>
      </c>
      <c r="Y643" s="3">
        <f t="shared" ref="Y643:Y706" si="76">IF(ISNUMBER(X643), X643, DATEVALUE(X643))</f>
        <v>44187</v>
      </c>
      <c r="Z643">
        <v>2.7300000000000001E-2</v>
      </c>
    </row>
    <row r="644" spans="1:26" x14ac:dyDescent="0.35">
      <c r="A644" t="s">
        <v>655</v>
      </c>
      <c r="B644" t="str">
        <f t="shared" si="70"/>
        <v>OK</v>
      </c>
      <c r="C644" t="s">
        <v>2144</v>
      </c>
      <c r="D644" s="2">
        <v>32</v>
      </c>
      <c r="E644">
        <f>IF(OR(D644&lt;18, D644&gt;100),AD643,D644)</f>
        <v>32</v>
      </c>
      <c r="F644" t="s">
        <v>2990</v>
      </c>
      <c r="G644" t="str">
        <f t="shared" si="71"/>
        <v>Male</v>
      </c>
      <c r="H644" t="s">
        <v>2999</v>
      </c>
      <c r="I644" t="s">
        <v>3019</v>
      </c>
      <c r="K644" t="str">
        <f t="shared" si="72"/>
        <v>Employed</v>
      </c>
      <c r="L644">
        <v>10</v>
      </c>
      <c r="M644">
        <v>1295488</v>
      </c>
      <c r="N644">
        <f t="shared" si="73"/>
        <v>1295488</v>
      </c>
      <c r="O644">
        <v>143030</v>
      </c>
      <c r="P644">
        <v>10.54</v>
      </c>
      <c r="Q644">
        <v>60</v>
      </c>
      <c r="R644" t="s">
        <v>3046</v>
      </c>
      <c r="S644" t="str">
        <f t="shared" si="74"/>
        <v>Medical</v>
      </c>
      <c r="T644">
        <v>719</v>
      </c>
      <c r="U644">
        <f t="shared" si="75"/>
        <v>719</v>
      </c>
      <c r="V644">
        <v>7</v>
      </c>
      <c r="W644" t="s">
        <v>3055</v>
      </c>
      <c r="X644" s="3" t="s">
        <v>3612</v>
      </c>
      <c r="Y644" s="3">
        <f t="shared" si="76"/>
        <v>44772</v>
      </c>
      <c r="Z644">
        <v>0.1104</v>
      </c>
    </row>
    <row r="645" spans="1:26" x14ac:dyDescent="0.35">
      <c r="A645" t="s">
        <v>656</v>
      </c>
      <c r="B645" t="str">
        <f t="shared" si="70"/>
        <v>OK</v>
      </c>
      <c r="C645" t="s">
        <v>2145</v>
      </c>
      <c r="D645" s="2">
        <v>35</v>
      </c>
      <c r="E645">
        <f>IF(OR(D645&lt;18, D645&gt;100),AD644,D645)</f>
        <v>35</v>
      </c>
      <c r="F645" t="s">
        <v>2992</v>
      </c>
      <c r="G645" t="str">
        <f t="shared" si="71"/>
        <v>Female</v>
      </c>
      <c r="H645" t="s">
        <v>2998</v>
      </c>
      <c r="I645" t="s">
        <v>3018</v>
      </c>
      <c r="K645" t="str">
        <f t="shared" si="72"/>
        <v>Business Owner</v>
      </c>
      <c r="L645">
        <v>20</v>
      </c>
      <c r="M645">
        <v>885552</v>
      </c>
      <c r="N645">
        <f t="shared" si="73"/>
        <v>885552</v>
      </c>
      <c r="O645">
        <v>538767</v>
      </c>
      <c r="P645">
        <v>16.98</v>
      </c>
      <c r="Q645">
        <v>12</v>
      </c>
      <c r="R645" t="s">
        <v>3047</v>
      </c>
      <c r="S645" t="str">
        <f t="shared" si="74"/>
        <v>Personal</v>
      </c>
      <c r="T645">
        <v>355</v>
      </c>
      <c r="U645">
        <f t="shared" si="75"/>
        <v>355</v>
      </c>
      <c r="V645">
        <v>7</v>
      </c>
      <c r="W645" t="s">
        <v>3053</v>
      </c>
      <c r="X645" s="3" t="s">
        <v>3613</v>
      </c>
      <c r="Y645" s="3">
        <f t="shared" si="76"/>
        <v>44759</v>
      </c>
      <c r="Z645">
        <v>0.60840000000000005</v>
      </c>
    </row>
    <row r="646" spans="1:26" x14ac:dyDescent="0.35">
      <c r="A646" t="s">
        <v>657</v>
      </c>
      <c r="B646" t="str">
        <f t="shared" si="70"/>
        <v>OK</v>
      </c>
      <c r="C646" t="s">
        <v>2146</v>
      </c>
      <c r="D646" s="2">
        <v>23</v>
      </c>
      <c r="E646">
        <f>IF(OR(D646&lt;18, D646&gt;100),AD645,D646)</f>
        <v>23</v>
      </c>
      <c r="F646" t="s">
        <v>2990</v>
      </c>
      <c r="G646" t="str">
        <f t="shared" si="71"/>
        <v>Male</v>
      </c>
      <c r="H646" t="s">
        <v>3005</v>
      </c>
      <c r="I646" t="s">
        <v>3021</v>
      </c>
      <c r="K646" t="str">
        <f t="shared" si="72"/>
        <v>Unemployed</v>
      </c>
      <c r="L646">
        <v>13</v>
      </c>
      <c r="M646">
        <v>812543</v>
      </c>
      <c r="N646">
        <f t="shared" si="73"/>
        <v>812543</v>
      </c>
      <c r="O646">
        <v>736046</v>
      </c>
      <c r="P646">
        <v>9.42</v>
      </c>
      <c r="Q646">
        <v>48</v>
      </c>
      <c r="R646" t="s">
        <v>3047</v>
      </c>
      <c r="S646" t="str">
        <f t="shared" si="74"/>
        <v>Personal</v>
      </c>
      <c r="T646">
        <v>340</v>
      </c>
      <c r="U646">
        <f t="shared" si="75"/>
        <v>340</v>
      </c>
      <c r="V646">
        <v>0</v>
      </c>
      <c r="W646" t="s">
        <v>3055</v>
      </c>
      <c r="X646" s="3" t="s">
        <v>3614</v>
      </c>
      <c r="Y646" s="3">
        <f t="shared" si="76"/>
        <v>44990</v>
      </c>
      <c r="Z646">
        <v>0.90590000000000004</v>
      </c>
    </row>
    <row r="647" spans="1:26" x14ac:dyDescent="0.35">
      <c r="A647" t="s">
        <v>658</v>
      </c>
      <c r="B647" t="str">
        <f t="shared" si="70"/>
        <v>OK</v>
      </c>
      <c r="C647" t="s">
        <v>2147</v>
      </c>
      <c r="D647" s="2">
        <v>49</v>
      </c>
      <c r="E647">
        <f>IF(OR(D647&lt;18, D647&gt;100),AD646,D647)</f>
        <v>49</v>
      </c>
      <c r="F647" t="s">
        <v>2992</v>
      </c>
      <c r="G647" t="str">
        <f t="shared" si="71"/>
        <v>Female</v>
      </c>
      <c r="H647" t="s">
        <v>3001</v>
      </c>
      <c r="I647" t="s">
        <v>3019</v>
      </c>
      <c r="K647" t="str">
        <f t="shared" si="72"/>
        <v>Employed</v>
      </c>
      <c r="L647">
        <v>12</v>
      </c>
      <c r="M647">
        <v>922406</v>
      </c>
      <c r="N647">
        <f t="shared" si="73"/>
        <v>922406</v>
      </c>
      <c r="O647">
        <v>367860</v>
      </c>
      <c r="P647">
        <v>10.51</v>
      </c>
      <c r="Q647">
        <v>24</v>
      </c>
      <c r="R647" t="s">
        <v>3046</v>
      </c>
      <c r="S647" t="str">
        <f t="shared" si="74"/>
        <v>Medical</v>
      </c>
      <c r="T647">
        <v>402</v>
      </c>
      <c r="U647">
        <f t="shared" si="75"/>
        <v>402</v>
      </c>
      <c r="V647">
        <v>7</v>
      </c>
      <c r="W647" t="s">
        <v>3063</v>
      </c>
      <c r="X647" s="3" t="s">
        <v>3595</v>
      </c>
      <c r="Y647" s="3">
        <f t="shared" si="76"/>
        <v>43977</v>
      </c>
      <c r="Z647">
        <v>0.39879999999999999</v>
      </c>
    </row>
    <row r="648" spans="1:26" x14ac:dyDescent="0.35">
      <c r="A648" t="s">
        <v>659</v>
      </c>
      <c r="B648" t="str">
        <f t="shared" si="70"/>
        <v>OK</v>
      </c>
      <c r="C648" t="s">
        <v>2148</v>
      </c>
      <c r="D648" s="2">
        <v>51</v>
      </c>
      <c r="E648">
        <f>IF(OR(D648&lt;18, D648&gt;100),AD647,D648)</f>
        <v>51</v>
      </c>
      <c r="F648" t="s">
        <v>2992</v>
      </c>
      <c r="G648" t="str">
        <f t="shared" si="71"/>
        <v>Female</v>
      </c>
      <c r="H648" t="s">
        <v>3001</v>
      </c>
      <c r="I648" t="s">
        <v>3020</v>
      </c>
      <c r="K648" t="str">
        <f t="shared" si="72"/>
        <v>Self-Employed</v>
      </c>
      <c r="L648">
        <v>11</v>
      </c>
      <c r="M648">
        <v>1844742</v>
      </c>
      <c r="N648">
        <f t="shared" si="73"/>
        <v>1844742</v>
      </c>
      <c r="O648">
        <v>612656</v>
      </c>
      <c r="P648">
        <v>10.69</v>
      </c>
      <c r="Q648">
        <v>60</v>
      </c>
      <c r="R648" t="s">
        <v>3047</v>
      </c>
      <c r="S648" t="str">
        <f t="shared" si="74"/>
        <v>Personal</v>
      </c>
      <c r="T648">
        <v>845</v>
      </c>
      <c r="U648">
        <f t="shared" si="75"/>
        <v>845</v>
      </c>
      <c r="V648">
        <v>3</v>
      </c>
      <c r="W648" t="s">
        <v>3056</v>
      </c>
      <c r="X648" s="3" t="s">
        <v>3615</v>
      </c>
      <c r="Y648" s="3">
        <f t="shared" si="76"/>
        <v>44436</v>
      </c>
      <c r="Z648">
        <v>0.33210000000000001</v>
      </c>
    </row>
    <row r="649" spans="1:26" x14ac:dyDescent="0.35">
      <c r="A649" t="s">
        <v>660</v>
      </c>
      <c r="B649" t="str">
        <f t="shared" si="70"/>
        <v>OK</v>
      </c>
      <c r="C649" t="s">
        <v>2149</v>
      </c>
      <c r="D649" s="2">
        <v>43</v>
      </c>
      <c r="E649">
        <f>IF(OR(D649&lt;18, D649&gt;100),AD648,D649)</f>
        <v>43</v>
      </c>
      <c r="F649" t="s">
        <v>2990</v>
      </c>
      <c r="G649" t="str">
        <f t="shared" si="71"/>
        <v>Male</v>
      </c>
      <c r="H649" t="s">
        <v>3001</v>
      </c>
      <c r="I649" t="s">
        <v>3020</v>
      </c>
      <c r="K649" t="str">
        <f t="shared" si="72"/>
        <v>Self-Employed</v>
      </c>
      <c r="L649">
        <v>28</v>
      </c>
      <c r="M649">
        <v>313004</v>
      </c>
      <c r="N649">
        <f t="shared" si="73"/>
        <v>313004</v>
      </c>
      <c r="O649">
        <v>428376</v>
      </c>
      <c r="P649">
        <v>13.84</v>
      </c>
      <c r="Q649">
        <v>48</v>
      </c>
      <c r="R649" t="s">
        <v>3048</v>
      </c>
      <c r="S649" t="str">
        <f t="shared" si="74"/>
        <v>Home Improvement</v>
      </c>
      <c r="T649">
        <v>465</v>
      </c>
      <c r="U649">
        <f t="shared" si="75"/>
        <v>465</v>
      </c>
      <c r="V649">
        <v>0</v>
      </c>
      <c r="W649" t="s">
        <v>3055</v>
      </c>
      <c r="X649" s="3" t="s">
        <v>3296</v>
      </c>
      <c r="Y649" s="3">
        <f t="shared" si="76"/>
        <v>44611</v>
      </c>
      <c r="Z649">
        <v>1.3686</v>
      </c>
    </row>
    <row r="650" spans="1:26" x14ac:dyDescent="0.35">
      <c r="A650" t="s">
        <v>661</v>
      </c>
      <c r="B650" t="str">
        <f t="shared" si="70"/>
        <v>OK</v>
      </c>
      <c r="C650" t="s">
        <v>2150</v>
      </c>
      <c r="D650" s="2">
        <v>33</v>
      </c>
      <c r="E650">
        <f>IF(OR(D650&lt;18, D650&gt;100),AD649,D650)</f>
        <v>33</v>
      </c>
      <c r="F650" t="s">
        <v>2990</v>
      </c>
      <c r="G650" t="str">
        <f t="shared" si="71"/>
        <v>Male</v>
      </c>
      <c r="H650" t="s">
        <v>3003</v>
      </c>
      <c r="I650" t="s">
        <v>3018</v>
      </c>
      <c r="K650" t="str">
        <f t="shared" si="72"/>
        <v>Business Owner</v>
      </c>
      <c r="L650">
        <v>7</v>
      </c>
      <c r="M650">
        <v>1980830</v>
      </c>
      <c r="N650">
        <f t="shared" si="73"/>
        <v>1980830</v>
      </c>
      <c r="O650">
        <v>26968</v>
      </c>
      <c r="P650">
        <v>12.94</v>
      </c>
      <c r="Q650">
        <v>24</v>
      </c>
      <c r="R650" t="s">
        <v>3051</v>
      </c>
      <c r="S650" t="str">
        <f t="shared" si="74"/>
        <v>Education</v>
      </c>
      <c r="T650">
        <v>462</v>
      </c>
      <c r="U650">
        <f t="shared" si="75"/>
        <v>462</v>
      </c>
      <c r="V650">
        <v>5</v>
      </c>
      <c r="W650" t="s">
        <v>3056</v>
      </c>
      <c r="X650" s="3" t="s">
        <v>3616</v>
      </c>
      <c r="Y650" s="3">
        <f t="shared" si="76"/>
        <v>45012</v>
      </c>
      <c r="Z650">
        <v>1.3599999999999999E-2</v>
      </c>
    </row>
    <row r="651" spans="1:26" x14ac:dyDescent="0.35">
      <c r="A651" t="s">
        <v>662</v>
      </c>
      <c r="B651" t="str">
        <f t="shared" si="70"/>
        <v>OK</v>
      </c>
      <c r="C651" t="s">
        <v>2151</v>
      </c>
      <c r="D651" s="2">
        <v>25</v>
      </c>
      <c r="E651">
        <f>IF(OR(D651&lt;18, D651&gt;100),AD650,D651)</f>
        <v>25</v>
      </c>
      <c r="F651" t="s">
        <v>2992</v>
      </c>
      <c r="G651" t="str">
        <f t="shared" si="71"/>
        <v>Female</v>
      </c>
      <c r="H651" t="s">
        <v>3005</v>
      </c>
      <c r="I651" t="s">
        <v>3018</v>
      </c>
      <c r="K651" t="str">
        <f t="shared" si="72"/>
        <v>Business Owner</v>
      </c>
      <c r="L651">
        <v>19</v>
      </c>
      <c r="M651">
        <v>1426713</v>
      </c>
      <c r="N651">
        <f t="shared" si="73"/>
        <v>1426713</v>
      </c>
      <c r="O651">
        <v>138696</v>
      </c>
      <c r="P651">
        <v>22.1</v>
      </c>
      <c r="Q651">
        <v>12</v>
      </c>
      <c r="R651" t="s">
        <v>3047</v>
      </c>
      <c r="S651" t="str">
        <f t="shared" si="74"/>
        <v>Personal</v>
      </c>
      <c r="T651">
        <v>486</v>
      </c>
      <c r="U651">
        <f t="shared" si="75"/>
        <v>486</v>
      </c>
      <c r="V651">
        <v>3</v>
      </c>
      <c r="W651" t="s">
        <v>3054</v>
      </c>
      <c r="X651" s="3" t="s">
        <v>3617</v>
      </c>
      <c r="Y651" s="3">
        <f t="shared" si="76"/>
        <v>45165</v>
      </c>
      <c r="Z651">
        <v>9.7199999999999995E-2</v>
      </c>
    </row>
    <row r="652" spans="1:26" x14ac:dyDescent="0.35">
      <c r="A652" t="s">
        <v>663</v>
      </c>
      <c r="B652" t="str">
        <f t="shared" si="70"/>
        <v>OK</v>
      </c>
      <c r="C652" t="s">
        <v>2152</v>
      </c>
      <c r="D652" s="2">
        <v>35</v>
      </c>
      <c r="E652">
        <f>IF(OR(D652&lt;18, D652&gt;100),AD651,D652)</f>
        <v>35</v>
      </c>
      <c r="F652" t="s">
        <v>2992</v>
      </c>
      <c r="G652" t="str">
        <f t="shared" si="71"/>
        <v>Female</v>
      </c>
      <c r="H652" t="s">
        <v>3006</v>
      </c>
      <c r="I652" t="s">
        <v>3020</v>
      </c>
      <c r="K652" t="str">
        <f t="shared" si="72"/>
        <v>Self-Employed</v>
      </c>
      <c r="L652">
        <v>15</v>
      </c>
      <c r="M652">
        <v>1370631</v>
      </c>
      <c r="N652">
        <f t="shared" si="73"/>
        <v>1370631</v>
      </c>
      <c r="O652">
        <v>418834</v>
      </c>
      <c r="P652">
        <v>21.43</v>
      </c>
      <c r="Q652">
        <v>36</v>
      </c>
      <c r="R652" t="s">
        <v>3050</v>
      </c>
      <c r="S652" t="str">
        <f t="shared" si="74"/>
        <v>Agriculture</v>
      </c>
      <c r="T652">
        <v>819</v>
      </c>
      <c r="U652">
        <f t="shared" si="75"/>
        <v>819</v>
      </c>
      <c r="V652">
        <v>7</v>
      </c>
      <c r="W652" t="s">
        <v>3054</v>
      </c>
      <c r="X652" s="3" t="s">
        <v>3618</v>
      </c>
      <c r="Y652" s="3">
        <f t="shared" si="76"/>
        <v>43976</v>
      </c>
      <c r="Z652">
        <v>0.30559999999999998</v>
      </c>
    </row>
    <row r="653" spans="1:26" x14ac:dyDescent="0.35">
      <c r="A653" t="s">
        <v>664</v>
      </c>
      <c r="B653" t="str">
        <f t="shared" si="70"/>
        <v>OK</v>
      </c>
      <c r="C653" t="s">
        <v>2153</v>
      </c>
      <c r="D653" s="2">
        <v>32</v>
      </c>
      <c r="E653">
        <f>IF(OR(D653&lt;18, D653&gt;100),AD652,D653)</f>
        <v>32</v>
      </c>
      <c r="F653" t="s">
        <v>2992</v>
      </c>
      <c r="G653" t="str">
        <f t="shared" si="71"/>
        <v>Female</v>
      </c>
      <c r="H653" t="s">
        <v>2998</v>
      </c>
      <c r="I653" t="s">
        <v>3019</v>
      </c>
      <c r="K653" t="str">
        <f t="shared" si="72"/>
        <v>Employed</v>
      </c>
      <c r="L653">
        <v>9</v>
      </c>
      <c r="M653">
        <v>1202788</v>
      </c>
      <c r="N653">
        <f t="shared" si="73"/>
        <v>1202788</v>
      </c>
      <c r="O653">
        <v>642288</v>
      </c>
      <c r="P653">
        <v>26.19</v>
      </c>
      <c r="Q653">
        <v>36</v>
      </c>
      <c r="R653" t="s">
        <v>3050</v>
      </c>
      <c r="S653" t="str">
        <f t="shared" si="74"/>
        <v>Agriculture</v>
      </c>
      <c r="T653">
        <v>625</v>
      </c>
      <c r="U653">
        <f t="shared" si="75"/>
        <v>625</v>
      </c>
      <c r="V653">
        <v>0</v>
      </c>
      <c r="W653" t="s">
        <v>3055</v>
      </c>
      <c r="X653" s="3" t="s">
        <v>3619</v>
      </c>
      <c r="Y653" s="3">
        <f t="shared" si="76"/>
        <v>44475</v>
      </c>
      <c r="Z653">
        <v>0.53400000000000003</v>
      </c>
    </row>
    <row r="654" spans="1:26" x14ac:dyDescent="0.35">
      <c r="A654" t="s">
        <v>665</v>
      </c>
      <c r="B654" t="str">
        <f t="shared" si="70"/>
        <v>OK</v>
      </c>
      <c r="C654" t="s">
        <v>2154</v>
      </c>
      <c r="D654" s="2">
        <v>35</v>
      </c>
      <c r="E654">
        <f>IF(OR(D654&lt;18, D654&gt;100),AD653,D654)</f>
        <v>35</v>
      </c>
      <c r="F654" t="s">
        <v>2992</v>
      </c>
      <c r="G654" t="str">
        <f t="shared" si="71"/>
        <v>Female</v>
      </c>
      <c r="H654" t="s">
        <v>3002</v>
      </c>
      <c r="I654" t="s">
        <v>3019</v>
      </c>
      <c r="K654" t="str">
        <f t="shared" si="72"/>
        <v>Employed</v>
      </c>
      <c r="L654">
        <v>0</v>
      </c>
      <c r="M654">
        <v>1954329</v>
      </c>
      <c r="N654">
        <f t="shared" si="73"/>
        <v>1954329</v>
      </c>
      <c r="O654">
        <v>337715</v>
      </c>
      <c r="P654">
        <v>27.14</v>
      </c>
      <c r="Q654">
        <v>48</v>
      </c>
      <c r="R654" t="s">
        <v>3050</v>
      </c>
      <c r="S654" t="str">
        <f t="shared" si="74"/>
        <v>Agriculture</v>
      </c>
      <c r="T654">
        <v>309</v>
      </c>
      <c r="U654">
        <f t="shared" si="75"/>
        <v>309</v>
      </c>
      <c r="V654">
        <v>1</v>
      </c>
      <c r="W654" t="s">
        <v>3054</v>
      </c>
      <c r="X654" s="3" t="s">
        <v>3620</v>
      </c>
      <c r="Y654" s="3">
        <f t="shared" si="76"/>
        <v>44796</v>
      </c>
      <c r="Z654">
        <v>0.17280000000000001</v>
      </c>
    </row>
    <row r="655" spans="1:26" x14ac:dyDescent="0.35">
      <c r="A655" t="s">
        <v>666</v>
      </c>
      <c r="B655" t="str">
        <f t="shared" si="70"/>
        <v>OK</v>
      </c>
      <c r="C655" t="s">
        <v>2155</v>
      </c>
      <c r="D655" s="2">
        <v>21</v>
      </c>
      <c r="E655">
        <f>IF(OR(D655&lt;18, D655&gt;100),AD654,D655)</f>
        <v>21</v>
      </c>
      <c r="F655" t="s">
        <v>2990</v>
      </c>
      <c r="G655" t="str">
        <f t="shared" si="71"/>
        <v>Male</v>
      </c>
      <c r="H655" t="s">
        <v>3006</v>
      </c>
      <c r="I655" t="s">
        <v>3019</v>
      </c>
      <c r="K655" t="str">
        <f t="shared" si="72"/>
        <v>Employed</v>
      </c>
      <c r="L655">
        <v>22</v>
      </c>
      <c r="M655">
        <v>671450</v>
      </c>
      <c r="N655">
        <f t="shared" si="73"/>
        <v>671450</v>
      </c>
      <c r="O655">
        <v>776942</v>
      </c>
      <c r="P655">
        <v>8.7799999999999994</v>
      </c>
      <c r="Q655">
        <v>24</v>
      </c>
      <c r="R655" t="s">
        <v>3050</v>
      </c>
      <c r="S655" t="str">
        <f t="shared" si="74"/>
        <v>Agriculture</v>
      </c>
      <c r="T655">
        <v>380</v>
      </c>
      <c r="U655">
        <f t="shared" si="75"/>
        <v>380</v>
      </c>
      <c r="V655">
        <v>6</v>
      </c>
      <c r="W655" t="s">
        <v>3052</v>
      </c>
      <c r="X655" s="3" t="s">
        <v>3621</v>
      </c>
      <c r="Y655" s="3">
        <f t="shared" si="76"/>
        <v>45182</v>
      </c>
      <c r="Z655">
        <v>1.1571</v>
      </c>
    </row>
    <row r="656" spans="1:26" x14ac:dyDescent="0.35">
      <c r="A656" t="s">
        <v>667</v>
      </c>
      <c r="B656" t="str">
        <f t="shared" si="70"/>
        <v>OK</v>
      </c>
      <c r="C656" t="s">
        <v>2156</v>
      </c>
      <c r="D656" s="2">
        <v>21</v>
      </c>
      <c r="E656">
        <f>IF(OR(D656&lt;18, D656&gt;100),AD655,D656)</f>
        <v>21</v>
      </c>
      <c r="F656" t="s">
        <v>2992</v>
      </c>
      <c r="G656" t="str">
        <f t="shared" si="71"/>
        <v>Female</v>
      </c>
      <c r="H656" t="s">
        <v>3002</v>
      </c>
      <c r="I656" t="s">
        <v>3019</v>
      </c>
      <c r="K656" t="str">
        <f t="shared" si="72"/>
        <v>Employed</v>
      </c>
      <c r="L656">
        <v>5</v>
      </c>
      <c r="M656">
        <v>216321</v>
      </c>
      <c r="N656">
        <f t="shared" si="73"/>
        <v>216321</v>
      </c>
      <c r="O656">
        <v>750031</v>
      </c>
      <c r="P656">
        <v>23.75</v>
      </c>
      <c r="Q656">
        <v>12</v>
      </c>
      <c r="R656" t="s">
        <v>3048</v>
      </c>
      <c r="S656" t="str">
        <f t="shared" si="74"/>
        <v>Home Improvement</v>
      </c>
      <c r="T656">
        <v>378</v>
      </c>
      <c r="U656">
        <f t="shared" si="75"/>
        <v>378</v>
      </c>
      <c r="V656">
        <v>1</v>
      </c>
      <c r="W656" t="s">
        <v>3056</v>
      </c>
      <c r="X656" s="3" t="s">
        <v>3622</v>
      </c>
      <c r="Y656" s="3">
        <f t="shared" si="76"/>
        <v>45103</v>
      </c>
      <c r="Z656">
        <v>3.4672000000000001</v>
      </c>
    </row>
    <row r="657" spans="1:26" x14ac:dyDescent="0.35">
      <c r="A657" t="s">
        <v>668</v>
      </c>
      <c r="B657" t="str">
        <f t="shared" si="70"/>
        <v>OK</v>
      </c>
      <c r="C657" t="s">
        <v>2157</v>
      </c>
      <c r="D657" s="2">
        <v>30</v>
      </c>
      <c r="E657">
        <f>IF(OR(D657&lt;18, D657&gt;100),AD656,D657)</f>
        <v>30</v>
      </c>
      <c r="F657" t="s">
        <v>2990</v>
      </c>
      <c r="G657" t="str">
        <f t="shared" si="71"/>
        <v>Male</v>
      </c>
      <c r="H657" t="s">
        <v>3004</v>
      </c>
      <c r="I657" t="s">
        <v>3021</v>
      </c>
      <c r="K657" t="str">
        <f t="shared" si="72"/>
        <v>Unemployed</v>
      </c>
      <c r="L657">
        <v>9</v>
      </c>
      <c r="M657">
        <v>391830</v>
      </c>
      <c r="N657">
        <f t="shared" si="73"/>
        <v>391830</v>
      </c>
      <c r="O657">
        <v>452680</v>
      </c>
      <c r="P657">
        <v>19.28</v>
      </c>
      <c r="Q657">
        <v>48</v>
      </c>
      <c r="R657" t="s">
        <v>3049</v>
      </c>
      <c r="S657" t="str">
        <f t="shared" si="74"/>
        <v>Business</v>
      </c>
      <c r="T657">
        <v>670</v>
      </c>
      <c r="U657">
        <f t="shared" si="75"/>
        <v>670</v>
      </c>
      <c r="V657">
        <v>7</v>
      </c>
      <c r="W657" t="s">
        <v>3057</v>
      </c>
      <c r="X657" s="3" t="s">
        <v>3263</v>
      </c>
      <c r="Y657" s="3">
        <f t="shared" si="76"/>
        <v>45227</v>
      </c>
      <c r="Z657">
        <v>1.1553</v>
      </c>
    </row>
    <row r="658" spans="1:26" x14ac:dyDescent="0.35">
      <c r="A658" t="s">
        <v>669</v>
      </c>
      <c r="B658" t="str">
        <f t="shared" si="70"/>
        <v>OK</v>
      </c>
      <c r="C658" t="s">
        <v>2158</v>
      </c>
      <c r="D658" s="2">
        <v>45</v>
      </c>
      <c r="E658">
        <f>IF(OR(D658&lt;18, D658&gt;100),AD657,D658)</f>
        <v>45</v>
      </c>
      <c r="F658" t="s">
        <v>2992</v>
      </c>
      <c r="G658" t="str">
        <f t="shared" si="71"/>
        <v>Female</v>
      </c>
      <c r="H658" t="s">
        <v>2998</v>
      </c>
      <c r="I658" t="s">
        <v>3020</v>
      </c>
      <c r="K658" t="str">
        <f t="shared" si="72"/>
        <v>Self-Employed</v>
      </c>
      <c r="L658">
        <v>16</v>
      </c>
      <c r="M658">
        <v>241367</v>
      </c>
      <c r="N658">
        <f t="shared" si="73"/>
        <v>241367</v>
      </c>
      <c r="O658">
        <v>288083</v>
      </c>
      <c r="P658">
        <v>8.84</v>
      </c>
      <c r="Q658">
        <v>48</v>
      </c>
      <c r="R658" t="s">
        <v>3049</v>
      </c>
      <c r="S658" t="str">
        <f t="shared" si="74"/>
        <v>Business</v>
      </c>
      <c r="T658">
        <v>376</v>
      </c>
      <c r="U658">
        <f t="shared" si="75"/>
        <v>376</v>
      </c>
      <c r="V658">
        <v>3</v>
      </c>
      <c r="W658" t="s">
        <v>3055</v>
      </c>
      <c r="X658" s="3" t="s">
        <v>3623</v>
      </c>
      <c r="Y658" s="3">
        <f t="shared" si="76"/>
        <v>44118</v>
      </c>
      <c r="Z658">
        <v>1.1935</v>
      </c>
    </row>
    <row r="659" spans="1:26" x14ac:dyDescent="0.35">
      <c r="A659" t="s">
        <v>670</v>
      </c>
      <c r="B659" t="str">
        <f t="shared" si="70"/>
        <v>OK</v>
      </c>
      <c r="C659" t="s">
        <v>2159</v>
      </c>
      <c r="D659" s="2">
        <v>40</v>
      </c>
      <c r="E659">
        <f>IF(OR(D659&lt;18, D659&gt;100),AD658,D659)</f>
        <v>40</v>
      </c>
      <c r="F659" t="s">
        <v>2992</v>
      </c>
      <c r="G659" t="str">
        <f t="shared" si="71"/>
        <v>Female</v>
      </c>
      <c r="H659" t="s">
        <v>3002</v>
      </c>
      <c r="I659" t="s">
        <v>3019</v>
      </c>
      <c r="K659" t="str">
        <f t="shared" si="72"/>
        <v>Employed</v>
      </c>
      <c r="L659">
        <v>0</v>
      </c>
      <c r="M659">
        <v>695693</v>
      </c>
      <c r="N659">
        <f t="shared" si="73"/>
        <v>695693</v>
      </c>
      <c r="O659">
        <v>751862</v>
      </c>
      <c r="P659">
        <v>8</v>
      </c>
      <c r="Q659">
        <v>12</v>
      </c>
      <c r="R659" t="s">
        <v>3046</v>
      </c>
      <c r="S659" t="str">
        <f t="shared" si="74"/>
        <v>Medical</v>
      </c>
      <c r="T659">
        <v>536</v>
      </c>
      <c r="U659">
        <f t="shared" si="75"/>
        <v>536</v>
      </c>
      <c r="V659">
        <v>0</v>
      </c>
      <c r="W659" t="s">
        <v>3052</v>
      </c>
      <c r="X659" s="3" t="s">
        <v>3624</v>
      </c>
      <c r="Y659" s="3">
        <f t="shared" si="76"/>
        <v>44819</v>
      </c>
      <c r="Z659">
        <v>1.0807</v>
      </c>
    </row>
    <row r="660" spans="1:26" x14ac:dyDescent="0.35">
      <c r="A660" t="s">
        <v>671</v>
      </c>
      <c r="B660" t="str">
        <f t="shared" si="70"/>
        <v>OK</v>
      </c>
      <c r="C660" t="s">
        <v>2160</v>
      </c>
      <c r="D660" s="2">
        <v>26</v>
      </c>
      <c r="E660">
        <f>IF(OR(D660&lt;18, D660&gt;100),AD659,D660)</f>
        <v>26</v>
      </c>
      <c r="F660" t="s">
        <v>2990</v>
      </c>
      <c r="G660" t="str">
        <f t="shared" si="71"/>
        <v>Male</v>
      </c>
      <c r="H660" t="s">
        <v>3002</v>
      </c>
      <c r="I660" t="s">
        <v>3019</v>
      </c>
      <c r="K660" t="str">
        <f t="shared" si="72"/>
        <v>Employed</v>
      </c>
      <c r="L660">
        <v>2</v>
      </c>
      <c r="M660">
        <v>2331341</v>
      </c>
      <c r="N660">
        <f t="shared" si="73"/>
        <v>2331341</v>
      </c>
      <c r="O660">
        <v>256500</v>
      </c>
      <c r="P660">
        <v>26.41</v>
      </c>
      <c r="Q660">
        <v>12</v>
      </c>
      <c r="R660" t="s">
        <v>3047</v>
      </c>
      <c r="S660" t="str">
        <f t="shared" si="74"/>
        <v>Personal</v>
      </c>
      <c r="T660">
        <v>376</v>
      </c>
      <c r="U660">
        <f t="shared" si="75"/>
        <v>376</v>
      </c>
      <c r="V660">
        <v>7</v>
      </c>
      <c r="W660" t="s">
        <v>3055</v>
      </c>
      <c r="X660" s="3" t="s">
        <v>3625</v>
      </c>
      <c r="Y660" s="3">
        <f t="shared" si="76"/>
        <v>43863</v>
      </c>
      <c r="Z660">
        <v>0.11</v>
      </c>
    </row>
    <row r="661" spans="1:26" x14ac:dyDescent="0.35">
      <c r="A661" t="s">
        <v>672</v>
      </c>
      <c r="B661" t="str">
        <f t="shared" si="70"/>
        <v>OK</v>
      </c>
      <c r="C661" t="s">
        <v>2161</v>
      </c>
      <c r="D661" s="2">
        <v>57</v>
      </c>
      <c r="E661">
        <f>IF(OR(D661&lt;18, D661&gt;100),AD660,D661)</f>
        <v>57</v>
      </c>
      <c r="F661" t="s">
        <v>2992</v>
      </c>
      <c r="G661" t="str">
        <f t="shared" si="71"/>
        <v>Female</v>
      </c>
      <c r="H661" t="s">
        <v>3000</v>
      </c>
      <c r="I661" t="s">
        <v>3020</v>
      </c>
      <c r="K661" t="str">
        <f t="shared" si="72"/>
        <v>Self-Employed</v>
      </c>
      <c r="L661">
        <v>15</v>
      </c>
      <c r="M661">
        <v>1145188</v>
      </c>
      <c r="N661">
        <f t="shared" si="73"/>
        <v>1145188</v>
      </c>
      <c r="O661">
        <v>763088</v>
      </c>
      <c r="P661">
        <v>9.61</v>
      </c>
      <c r="Q661">
        <v>12</v>
      </c>
      <c r="R661" t="s">
        <v>3047</v>
      </c>
      <c r="S661" t="str">
        <f t="shared" si="74"/>
        <v>Personal</v>
      </c>
      <c r="T661">
        <v>376</v>
      </c>
      <c r="U661">
        <f t="shared" si="75"/>
        <v>376</v>
      </c>
      <c r="V661">
        <v>1</v>
      </c>
      <c r="W661" t="s">
        <v>3052</v>
      </c>
      <c r="X661" s="3" t="s">
        <v>3286</v>
      </c>
      <c r="Y661" s="3">
        <f t="shared" si="76"/>
        <v>44092</v>
      </c>
      <c r="Z661">
        <v>0.6663</v>
      </c>
    </row>
    <row r="662" spans="1:26" x14ac:dyDescent="0.35">
      <c r="A662" t="s">
        <v>673</v>
      </c>
      <c r="B662" t="str">
        <f t="shared" si="70"/>
        <v>OK</v>
      </c>
      <c r="C662" t="s">
        <v>2162</v>
      </c>
      <c r="D662" s="2">
        <v>33</v>
      </c>
      <c r="E662">
        <f>IF(OR(D662&lt;18, D662&gt;100),AD661,D662)</f>
        <v>33</v>
      </c>
      <c r="F662" t="s">
        <v>2992</v>
      </c>
      <c r="G662" t="str">
        <f t="shared" si="71"/>
        <v>Female</v>
      </c>
      <c r="H662" t="s">
        <v>3006</v>
      </c>
      <c r="I662" t="s">
        <v>3020</v>
      </c>
      <c r="K662" t="str">
        <f t="shared" si="72"/>
        <v>Self-Employed</v>
      </c>
      <c r="L662">
        <v>18</v>
      </c>
      <c r="M662">
        <v>1745213</v>
      </c>
      <c r="N662">
        <f t="shared" si="73"/>
        <v>1745213</v>
      </c>
      <c r="O662">
        <v>336363</v>
      </c>
      <c r="P662">
        <v>16.72</v>
      </c>
      <c r="Q662">
        <v>48</v>
      </c>
      <c r="R662" t="s">
        <v>3048</v>
      </c>
      <c r="S662" t="str">
        <f t="shared" si="74"/>
        <v>Home Improvement</v>
      </c>
      <c r="T662">
        <v>306</v>
      </c>
      <c r="U662">
        <f t="shared" si="75"/>
        <v>306</v>
      </c>
      <c r="V662">
        <v>0</v>
      </c>
      <c r="W662" t="s">
        <v>3057</v>
      </c>
      <c r="X662" s="3" t="s">
        <v>3626</v>
      </c>
      <c r="Y662" s="3">
        <f t="shared" si="76"/>
        <v>44127</v>
      </c>
      <c r="Z662">
        <v>0.19270000000000001</v>
      </c>
    </row>
    <row r="663" spans="1:26" x14ac:dyDescent="0.35">
      <c r="A663" t="s">
        <v>674</v>
      </c>
      <c r="B663" t="str">
        <f t="shared" si="70"/>
        <v>OK</v>
      </c>
      <c r="C663" t="s">
        <v>1786</v>
      </c>
      <c r="D663" s="2">
        <v>37</v>
      </c>
      <c r="E663">
        <f>IF(OR(D663&lt;18, D663&gt;100),AD662,D663)</f>
        <v>37</v>
      </c>
      <c r="F663" t="s">
        <v>2992</v>
      </c>
      <c r="G663" t="str">
        <f t="shared" si="71"/>
        <v>Female</v>
      </c>
      <c r="H663" t="s">
        <v>3007</v>
      </c>
      <c r="I663" t="s">
        <v>3021</v>
      </c>
      <c r="K663" t="str">
        <f t="shared" si="72"/>
        <v>Unemployed</v>
      </c>
      <c r="L663">
        <v>20</v>
      </c>
      <c r="M663">
        <v>467313</v>
      </c>
      <c r="N663">
        <f t="shared" si="73"/>
        <v>467313</v>
      </c>
      <c r="O663">
        <v>366184</v>
      </c>
      <c r="P663">
        <v>14.3</v>
      </c>
      <c r="Q663">
        <v>48</v>
      </c>
      <c r="R663" t="s">
        <v>3046</v>
      </c>
      <c r="S663" t="str">
        <f t="shared" si="74"/>
        <v>Medical</v>
      </c>
      <c r="T663">
        <v>429</v>
      </c>
      <c r="U663">
        <f t="shared" si="75"/>
        <v>429</v>
      </c>
      <c r="V663">
        <v>0</v>
      </c>
      <c r="W663" t="s">
        <v>3054</v>
      </c>
      <c r="X663" s="3" t="s">
        <v>3627</v>
      </c>
      <c r="Y663" s="3">
        <f t="shared" si="76"/>
        <v>44268</v>
      </c>
      <c r="Z663">
        <v>0.78359999999999996</v>
      </c>
    </row>
    <row r="664" spans="1:26" x14ac:dyDescent="0.35">
      <c r="A664" t="s">
        <v>675</v>
      </c>
      <c r="B664" t="str">
        <f t="shared" si="70"/>
        <v>OK</v>
      </c>
      <c r="C664" t="s">
        <v>2163</v>
      </c>
      <c r="D664" s="2">
        <v>53</v>
      </c>
      <c r="E664">
        <f>IF(OR(D664&lt;18, D664&gt;100),AD663,D664)</f>
        <v>53</v>
      </c>
      <c r="F664" t="s">
        <v>2992</v>
      </c>
      <c r="G664" t="str">
        <f t="shared" si="71"/>
        <v>Female</v>
      </c>
      <c r="H664" t="s">
        <v>3005</v>
      </c>
      <c r="I664" t="s">
        <v>3021</v>
      </c>
      <c r="K664" t="str">
        <f t="shared" si="72"/>
        <v>Unemployed</v>
      </c>
      <c r="L664">
        <v>6</v>
      </c>
      <c r="M664">
        <v>1555807</v>
      </c>
      <c r="N664">
        <f t="shared" si="73"/>
        <v>1555807</v>
      </c>
      <c r="O664">
        <v>637693</v>
      </c>
      <c r="P664">
        <v>18.77</v>
      </c>
      <c r="Q664">
        <v>12</v>
      </c>
      <c r="R664" t="s">
        <v>3049</v>
      </c>
      <c r="S664" t="str">
        <f t="shared" si="74"/>
        <v>Business</v>
      </c>
      <c r="T664">
        <v>371</v>
      </c>
      <c r="U664">
        <f t="shared" si="75"/>
        <v>371</v>
      </c>
      <c r="V664">
        <v>4</v>
      </c>
      <c r="W664" t="s">
        <v>3056</v>
      </c>
      <c r="X664" s="3" t="s">
        <v>3535</v>
      </c>
      <c r="Y664" s="3">
        <f t="shared" si="76"/>
        <v>44615</v>
      </c>
      <c r="Z664">
        <v>0.40989999999999999</v>
      </c>
    </row>
    <row r="665" spans="1:26" x14ac:dyDescent="0.35">
      <c r="A665" t="s">
        <v>676</v>
      </c>
      <c r="B665" t="str">
        <f t="shared" si="70"/>
        <v>OK</v>
      </c>
      <c r="C665" t="s">
        <v>2164</v>
      </c>
      <c r="D665" s="2">
        <v>52</v>
      </c>
      <c r="E665">
        <f>IF(OR(D665&lt;18, D665&gt;100),AD664,D665)</f>
        <v>52</v>
      </c>
      <c r="F665" t="s">
        <v>2992</v>
      </c>
      <c r="G665" t="str">
        <f t="shared" si="71"/>
        <v>Female</v>
      </c>
      <c r="H665" t="s">
        <v>3007</v>
      </c>
      <c r="I665" t="s">
        <v>3019</v>
      </c>
      <c r="K665" t="str">
        <f t="shared" si="72"/>
        <v>Employed</v>
      </c>
      <c r="L665">
        <v>20</v>
      </c>
      <c r="M665">
        <v>1569330</v>
      </c>
      <c r="N665">
        <f t="shared" si="73"/>
        <v>1569330</v>
      </c>
      <c r="O665">
        <v>561287</v>
      </c>
      <c r="P665">
        <v>15.5</v>
      </c>
      <c r="Q665">
        <v>36</v>
      </c>
      <c r="R665" t="s">
        <v>3051</v>
      </c>
      <c r="S665" t="str">
        <f t="shared" si="74"/>
        <v>Education</v>
      </c>
      <c r="T665">
        <v>705</v>
      </c>
      <c r="U665">
        <f t="shared" si="75"/>
        <v>705</v>
      </c>
      <c r="V665">
        <v>5</v>
      </c>
      <c r="W665" t="s">
        <v>3053</v>
      </c>
      <c r="X665" s="3" t="s">
        <v>3560</v>
      </c>
      <c r="Y665" s="3">
        <f t="shared" si="76"/>
        <v>44680</v>
      </c>
      <c r="Z665">
        <v>0.35770000000000002</v>
      </c>
    </row>
    <row r="666" spans="1:26" x14ac:dyDescent="0.35">
      <c r="A666" t="s">
        <v>677</v>
      </c>
      <c r="B666" t="str">
        <f t="shared" si="70"/>
        <v>OK</v>
      </c>
      <c r="C666" t="s">
        <v>2165</v>
      </c>
      <c r="D666" s="2">
        <v>29</v>
      </c>
      <c r="E666">
        <f>IF(OR(D666&lt;18, D666&gt;100),AD665,D666)</f>
        <v>29</v>
      </c>
      <c r="F666" t="s">
        <v>2994</v>
      </c>
      <c r="G666" t="str">
        <f t="shared" si="71"/>
        <v>Female</v>
      </c>
      <c r="H666" t="s">
        <v>3004</v>
      </c>
      <c r="I666" t="s">
        <v>3018</v>
      </c>
      <c r="K666" t="str">
        <f t="shared" si="72"/>
        <v>Business Owner</v>
      </c>
      <c r="L666">
        <v>23</v>
      </c>
      <c r="M666">
        <v>1835743</v>
      </c>
      <c r="N666">
        <f t="shared" si="73"/>
        <v>1835743</v>
      </c>
      <c r="O666">
        <v>440963</v>
      </c>
      <c r="P666">
        <v>19.899999999999999</v>
      </c>
      <c r="Q666">
        <v>36</v>
      </c>
      <c r="R666" t="s">
        <v>3050</v>
      </c>
      <c r="S666" t="str">
        <f t="shared" si="74"/>
        <v>Agriculture</v>
      </c>
      <c r="T666">
        <v>588</v>
      </c>
      <c r="U666">
        <f t="shared" si="75"/>
        <v>588</v>
      </c>
      <c r="V666">
        <v>5</v>
      </c>
      <c r="W666" t="s">
        <v>3055</v>
      </c>
      <c r="X666" s="3" t="s">
        <v>3628</v>
      </c>
      <c r="Y666" s="3">
        <f t="shared" si="76"/>
        <v>44017</v>
      </c>
      <c r="Z666">
        <v>0.2402</v>
      </c>
    </row>
    <row r="667" spans="1:26" x14ac:dyDescent="0.35">
      <c r="A667" t="s">
        <v>678</v>
      </c>
      <c r="B667" t="str">
        <f t="shared" si="70"/>
        <v>OK</v>
      </c>
      <c r="C667" t="s">
        <v>2166</v>
      </c>
      <c r="D667" s="2">
        <v>21</v>
      </c>
      <c r="E667">
        <f>IF(OR(D667&lt;18, D667&gt;100),AD666,D667)</f>
        <v>21</v>
      </c>
      <c r="F667" t="s">
        <v>2990</v>
      </c>
      <c r="G667" t="str">
        <f t="shared" si="71"/>
        <v>Male</v>
      </c>
      <c r="H667" t="s">
        <v>3005</v>
      </c>
      <c r="I667" t="s">
        <v>3018</v>
      </c>
      <c r="K667" t="str">
        <f t="shared" si="72"/>
        <v>Business Owner</v>
      </c>
      <c r="L667">
        <v>8</v>
      </c>
      <c r="M667">
        <v>992461</v>
      </c>
      <c r="N667">
        <f t="shared" si="73"/>
        <v>992461</v>
      </c>
      <c r="O667">
        <v>375779</v>
      </c>
      <c r="P667">
        <v>9.32</v>
      </c>
      <c r="Q667">
        <v>12</v>
      </c>
      <c r="R667" t="s">
        <v>3046</v>
      </c>
      <c r="S667" t="str">
        <f t="shared" si="74"/>
        <v>Medical</v>
      </c>
      <c r="T667">
        <v>756</v>
      </c>
      <c r="U667">
        <f t="shared" si="75"/>
        <v>756</v>
      </c>
      <c r="V667">
        <v>4</v>
      </c>
      <c r="W667" t="s">
        <v>3057</v>
      </c>
      <c r="X667" s="3" t="s">
        <v>3629</v>
      </c>
      <c r="Y667" s="3">
        <f t="shared" si="76"/>
        <v>44777</v>
      </c>
      <c r="Z667">
        <v>0.37859999999999999</v>
      </c>
    </row>
    <row r="668" spans="1:26" x14ac:dyDescent="0.35">
      <c r="A668" t="s">
        <v>679</v>
      </c>
      <c r="B668" t="str">
        <f t="shared" si="70"/>
        <v>OK</v>
      </c>
      <c r="C668" t="s">
        <v>2167</v>
      </c>
      <c r="D668" s="2">
        <v>22</v>
      </c>
      <c r="E668">
        <f>IF(OR(D668&lt;18, D668&gt;100),AD667,D668)</f>
        <v>22</v>
      </c>
      <c r="F668" t="s">
        <v>2990</v>
      </c>
      <c r="G668" t="str">
        <f t="shared" si="71"/>
        <v>Male</v>
      </c>
      <c r="H668" t="s">
        <v>3000</v>
      </c>
      <c r="I668" t="s">
        <v>3021</v>
      </c>
      <c r="K668" t="str">
        <f t="shared" si="72"/>
        <v>Unemployed</v>
      </c>
      <c r="L668">
        <v>2</v>
      </c>
      <c r="M668">
        <v>1141703</v>
      </c>
      <c r="N668">
        <f t="shared" si="73"/>
        <v>1141703</v>
      </c>
      <c r="O668">
        <v>465872</v>
      </c>
      <c r="P668">
        <v>8.8000000000000007</v>
      </c>
      <c r="Q668">
        <v>12</v>
      </c>
      <c r="R668" t="s">
        <v>3049</v>
      </c>
      <c r="S668" t="str">
        <f t="shared" si="74"/>
        <v>Business</v>
      </c>
      <c r="T668">
        <v>470</v>
      </c>
      <c r="U668">
        <f t="shared" si="75"/>
        <v>470</v>
      </c>
      <c r="V668">
        <v>2</v>
      </c>
      <c r="W668" t="s">
        <v>3057</v>
      </c>
      <c r="X668" s="3" t="s">
        <v>3598</v>
      </c>
      <c r="Y668" s="3">
        <f t="shared" si="76"/>
        <v>44674</v>
      </c>
      <c r="Z668">
        <v>0.40810000000000002</v>
      </c>
    </row>
    <row r="669" spans="1:26" x14ac:dyDescent="0.35">
      <c r="A669" t="s">
        <v>680</v>
      </c>
      <c r="B669" t="str">
        <f t="shared" si="70"/>
        <v>OK</v>
      </c>
      <c r="C669" t="s">
        <v>2168</v>
      </c>
      <c r="D669" s="2">
        <v>26</v>
      </c>
      <c r="E669">
        <f>IF(OR(D669&lt;18, D669&gt;100),AD668,D669)</f>
        <v>26</v>
      </c>
      <c r="F669" t="s">
        <v>2992</v>
      </c>
      <c r="G669" t="str">
        <f t="shared" si="71"/>
        <v>Female</v>
      </c>
      <c r="H669" t="s">
        <v>3005</v>
      </c>
      <c r="I669" t="s">
        <v>3019</v>
      </c>
      <c r="K669" t="str">
        <f t="shared" si="72"/>
        <v>Employed</v>
      </c>
      <c r="L669">
        <v>11</v>
      </c>
      <c r="M669">
        <v>1148616</v>
      </c>
      <c r="N669">
        <f t="shared" si="73"/>
        <v>1148616</v>
      </c>
      <c r="O669">
        <v>353713</v>
      </c>
      <c r="P669">
        <v>23.07</v>
      </c>
      <c r="Q669">
        <v>36</v>
      </c>
      <c r="R669" t="s">
        <v>3048</v>
      </c>
      <c r="S669" t="str">
        <f t="shared" si="74"/>
        <v>Home Improvement</v>
      </c>
      <c r="T669">
        <v>629</v>
      </c>
      <c r="U669">
        <f t="shared" si="75"/>
        <v>629</v>
      </c>
      <c r="V669">
        <v>4</v>
      </c>
      <c r="W669" t="s">
        <v>3055</v>
      </c>
      <c r="X669" s="3" t="s">
        <v>3411</v>
      </c>
      <c r="Y669" s="3">
        <f t="shared" si="76"/>
        <v>44804</v>
      </c>
      <c r="Z669">
        <v>0.30790000000000001</v>
      </c>
    </row>
    <row r="670" spans="1:26" x14ac:dyDescent="0.35">
      <c r="A670" t="s">
        <v>681</v>
      </c>
      <c r="B670" t="str">
        <f t="shared" si="70"/>
        <v>OK</v>
      </c>
      <c r="C670" t="s">
        <v>2169</v>
      </c>
      <c r="D670" s="2">
        <v>55</v>
      </c>
      <c r="E670">
        <f>IF(OR(D670&lt;18, D670&gt;100),AD669,D670)</f>
        <v>55</v>
      </c>
      <c r="F670" t="s">
        <v>2992</v>
      </c>
      <c r="G670" t="str">
        <f t="shared" si="71"/>
        <v>Female</v>
      </c>
      <c r="H670" t="s">
        <v>3001</v>
      </c>
      <c r="I670" t="s">
        <v>3019</v>
      </c>
      <c r="K670" t="str">
        <f t="shared" si="72"/>
        <v>Employed</v>
      </c>
      <c r="L670">
        <v>16</v>
      </c>
      <c r="M670">
        <v>2155154</v>
      </c>
      <c r="N670">
        <f t="shared" si="73"/>
        <v>2155154</v>
      </c>
      <c r="O670">
        <v>635937</v>
      </c>
      <c r="P670">
        <v>19.66</v>
      </c>
      <c r="Q670">
        <v>24</v>
      </c>
      <c r="R670" t="s">
        <v>3050</v>
      </c>
      <c r="S670" t="str">
        <f t="shared" si="74"/>
        <v>Agriculture</v>
      </c>
      <c r="T670">
        <v>322</v>
      </c>
      <c r="U670">
        <f t="shared" si="75"/>
        <v>322</v>
      </c>
      <c r="V670">
        <v>7</v>
      </c>
      <c r="W670" t="s">
        <v>3052</v>
      </c>
      <c r="X670" s="3" t="s">
        <v>3630</v>
      </c>
      <c r="Y670" s="3">
        <f t="shared" si="76"/>
        <v>45050</v>
      </c>
      <c r="Z670">
        <v>0.29509999999999997</v>
      </c>
    </row>
    <row r="671" spans="1:26" x14ac:dyDescent="0.35">
      <c r="A671" t="s">
        <v>682</v>
      </c>
      <c r="B671" t="str">
        <f t="shared" si="70"/>
        <v>OK</v>
      </c>
      <c r="C671" t="s">
        <v>2170</v>
      </c>
      <c r="D671" s="2">
        <v>32</v>
      </c>
      <c r="E671">
        <f>IF(OR(D671&lt;18, D671&gt;100),AD670,D671)</f>
        <v>32</v>
      </c>
      <c r="F671" t="s">
        <v>2994</v>
      </c>
      <c r="G671" t="str">
        <f t="shared" si="71"/>
        <v>Female</v>
      </c>
      <c r="H671" t="s">
        <v>3002</v>
      </c>
      <c r="I671" t="s">
        <v>3020</v>
      </c>
      <c r="K671" t="str">
        <f t="shared" si="72"/>
        <v>Self-Employed</v>
      </c>
      <c r="L671">
        <v>13</v>
      </c>
      <c r="M671">
        <v>2169251</v>
      </c>
      <c r="N671">
        <f t="shared" si="73"/>
        <v>2169251</v>
      </c>
      <c r="O671">
        <v>66002</v>
      </c>
      <c r="P671">
        <v>24.49</v>
      </c>
      <c r="Q671">
        <v>36</v>
      </c>
      <c r="R671" t="s">
        <v>3047</v>
      </c>
      <c r="S671" t="str">
        <f t="shared" si="74"/>
        <v>Personal</v>
      </c>
      <c r="T671">
        <v>760</v>
      </c>
      <c r="U671">
        <f t="shared" si="75"/>
        <v>760</v>
      </c>
      <c r="V671">
        <v>3</v>
      </c>
      <c r="W671" t="s">
        <v>3053</v>
      </c>
      <c r="X671" s="3" t="s">
        <v>3631</v>
      </c>
      <c r="Y671" s="3">
        <f t="shared" si="76"/>
        <v>45276</v>
      </c>
      <c r="Z671">
        <v>3.04E-2</v>
      </c>
    </row>
    <row r="672" spans="1:26" x14ac:dyDescent="0.35">
      <c r="A672" t="s">
        <v>683</v>
      </c>
      <c r="B672" t="str">
        <f t="shared" si="70"/>
        <v>OK</v>
      </c>
      <c r="C672" t="s">
        <v>2171</v>
      </c>
      <c r="D672" s="2">
        <v>54</v>
      </c>
      <c r="E672">
        <f>IF(OR(D672&lt;18, D672&gt;100),AD671,D672)</f>
        <v>54</v>
      </c>
      <c r="F672" t="s">
        <v>2990</v>
      </c>
      <c r="G672" t="str">
        <f t="shared" si="71"/>
        <v>Male</v>
      </c>
      <c r="H672" t="s">
        <v>3001</v>
      </c>
      <c r="I672" t="s">
        <v>3020</v>
      </c>
      <c r="K672" t="str">
        <f t="shared" si="72"/>
        <v>Self-Employed</v>
      </c>
      <c r="L672">
        <v>7</v>
      </c>
      <c r="M672">
        <v>419779</v>
      </c>
      <c r="N672">
        <f t="shared" si="73"/>
        <v>419779</v>
      </c>
      <c r="O672">
        <v>52101</v>
      </c>
      <c r="P672">
        <v>22.63</v>
      </c>
      <c r="Q672">
        <v>60</v>
      </c>
      <c r="R672" t="s">
        <v>3049</v>
      </c>
      <c r="S672" t="str">
        <f t="shared" si="74"/>
        <v>Business</v>
      </c>
      <c r="T672">
        <v>817</v>
      </c>
      <c r="U672">
        <f t="shared" si="75"/>
        <v>817</v>
      </c>
      <c r="V672">
        <v>5</v>
      </c>
      <c r="W672" t="s">
        <v>3055</v>
      </c>
      <c r="X672" s="3" t="s">
        <v>3632</v>
      </c>
      <c r="Y672" s="3">
        <f t="shared" si="76"/>
        <v>44839</v>
      </c>
      <c r="Z672">
        <v>0.1241</v>
      </c>
    </row>
    <row r="673" spans="1:26" x14ac:dyDescent="0.35">
      <c r="A673" t="s">
        <v>684</v>
      </c>
      <c r="B673" t="str">
        <f t="shared" si="70"/>
        <v>OK</v>
      </c>
      <c r="C673" t="s">
        <v>2172</v>
      </c>
      <c r="D673" s="2">
        <v>52</v>
      </c>
      <c r="E673">
        <f>IF(OR(D673&lt;18, D673&gt;100),AD672,D673)</f>
        <v>52</v>
      </c>
      <c r="F673" t="s">
        <v>2992</v>
      </c>
      <c r="G673" t="str">
        <f t="shared" si="71"/>
        <v>Female</v>
      </c>
      <c r="H673" t="s">
        <v>3001</v>
      </c>
      <c r="I673" t="s">
        <v>3018</v>
      </c>
      <c r="K673" t="str">
        <f t="shared" si="72"/>
        <v>Business Owner</v>
      </c>
      <c r="L673">
        <v>26</v>
      </c>
      <c r="M673">
        <v>2255712</v>
      </c>
      <c r="N673">
        <f t="shared" si="73"/>
        <v>2255712</v>
      </c>
      <c r="O673">
        <v>635168</v>
      </c>
      <c r="P673">
        <v>13.83</v>
      </c>
      <c r="Q673">
        <v>48</v>
      </c>
      <c r="R673" t="s">
        <v>3046</v>
      </c>
      <c r="S673" t="str">
        <f t="shared" si="74"/>
        <v>Medical</v>
      </c>
      <c r="T673">
        <v>425</v>
      </c>
      <c r="U673">
        <f t="shared" si="75"/>
        <v>425</v>
      </c>
      <c r="V673">
        <v>6</v>
      </c>
      <c r="W673" t="s">
        <v>3055</v>
      </c>
      <c r="X673" s="3" t="s">
        <v>3633</v>
      </c>
      <c r="Y673" s="3">
        <f t="shared" si="76"/>
        <v>44732</v>
      </c>
      <c r="Z673">
        <v>0.28160000000000002</v>
      </c>
    </row>
    <row r="674" spans="1:26" x14ac:dyDescent="0.35">
      <c r="A674" t="s">
        <v>685</v>
      </c>
      <c r="B674" t="str">
        <f t="shared" si="70"/>
        <v>OK</v>
      </c>
      <c r="C674" t="s">
        <v>2173</v>
      </c>
      <c r="D674" s="2">
        <v>52</v>
      </c>
      <c r="E674">
        <f>IF(OR(D674&lt;18, D674&gt;100),AD673,D674)</f>
        <v>52</v>
      </c>
      <c r="F674" t="s">
        <v>2990</v>
      </c>
      <c r="G674" t="str">
        <f t="shared" si="71"/>
        <v>Male</v>
      </c>
      <c r="H674" t="s">
        <v>3005</v>
      </c>
      <c r="I674" t="s">
        <v>3018</v>
      </c>
      <c r="K674" t="str">
        <f t="shared" si="72"/>
        <v>Business Owner</v>
      </c>
      <c r="L674">
        <v>0</v>
      </c>
      <c r="M674">
        <v>1353930</v>
      </c>
      <c r="N674">
        <f t="shared" si="73"/>
        <v>1353930</v>
      </c>
      <c r="O674">
        <v>476285</v>
      </c>
      <c r="P674">
        <v>25.96</v>
      </c>
      <c r="Q674">
        <v>24</v>
      </c>
      <c r="R674" t="s">
        <v>3046</v>
      </c>
      <c r="S674" t="str">
        <f t="shared" si="74"/>
        <v>Medical</v>
      </c>
      <c r="T674">
        <v>455</v>
      </c>
      <c r="U674">
        <f t="shared" si="75"/>
        <v>455</v>
      </c>
      <c r="V674">
        <v>4</v>
      </c>
      <c r="W674" t="s">
        <v>3057</v>
      </c>
      <c r="X674" s="3" t="s">
        <v>3523</v>
      </c>
      <c r="Y674" s="3">
        <f t="shared" si="76"/>
        <v>45099</v>
      </c>
      <c r="Z674">
        <v>0.3518</v>
      </c>
    </row>
    <row r="675" spans="1:26" x14ac:dyDescent="0.35">
      <c r="A675" t="s">
        <v>686</v>
      </c>
      <c r="B675" t="str">
        <f t="shared" si="70"/>
        <v>OK</v>
      </c>
      <c r="C675" t="s">
        <v>2174</v>
      </c>
      <c r="D675" s="2">
        <v>54</v>
      </c>
      <c r="E675">
        <f>IF(OR(D675&lt;18, D675&gt;100),AD674,D675)</f>
        <v>54</v>
      </c>
      <c r="F675" t="s">
        <v>2992</v>
      </c>
      <c r="G675" t="str">
        <f t="shared" si="71"/>
        <v>Female</v>
      </c>
      <c r="H675" t="s">
        <v>3002</v>
      </c>
      <c r="I675" t="s">
        <v>3019</v>
      </c>
      <c r="K675" t="str">
        <f t="shared" si="72"/>
        <v>Employed</v>
      </c>
      <c r="L675">
        <v>1</v>
      </c>
      <c r="M675">
        <v>1513572</v>
      </c>
      <c r="N675">
        <f t="shared" si="73"/>
        <v>1513572</v>
      </c>
      <c r="O675">
        <v>306663</v>
      </c>
      <c r="P675">
        <v>26.38</v>
      </c>
      <c r="Q675">
        <v>48</v>
      </c>
      <c r="R675" t="s">
        <v>3047</v>
      </c>
      <c r="S675" t="str">
        <f t="shared" si="74"/>
        <v>Personal</v>
      </c>
      <c r="T675">
        <v>820</v>
      </c>
      <c r="U675">
        <f t="shared" si="75"/>
        <v>820</v>
      </c>
      <c r="V675">
        <v>2</v>
      </c>
      <c r="W675" t="s">
        <v>3055</v>
      </c>
      <c r="X675" s="3" t="s">
        <v>3634</v>
      </c>
      <c r="Y675" s="3">
        <f t="shared" si="76"/>
        <v>44101</v>
      </c>
      <c r="Z675">
        <v>0.2026</v>
      </c>
    </row>
    <row r="676" spans="1:26" x14ac:dyDescent="0.35">
      <c r="A676" t="s">
        <v>687</v>
      </c>
      <c r="B676" t="str">
        <f t="shared" si="70"/>
        <v>OK</v>
      </c>
      <c r="C676" t="s">
        <v>2175</v>
      </c>
      <c r="D676" s="2">
        <v>58</v>
      </c>
      <c r="E676">
        <f>IF(OR(D676&lt;18, D676&gt;100),AD675,D676)</f>
        <v>58</v>
      </c>
      <c r="F676" t="s">
        <v>2992</v>
      </c>
      <c r="G676" t="str">
        <f t="shared" si="71"/>
        <v>Female</v>
      </c>
      <c r="H676" t="s">
        <v>3006</v>
      </c>
      <c r="I676" t="s">
        <v>3019</v>
      </c>
      <c r="K676" t="str">
        <f t="shared" si="72"/>
        <v>Employed</v>
      </c>
      <c r="L676">
        <v>29</v>
      </c>
      <c r="M676">
        <v>596978</v>
      </c>
      <c r="N676">
        <f t="shared" si="73"/>
        <v>596978</v>
      </c>
      <c r="O676">
        <v>102409</v>
      </c>
      <c r="P676">
        <v>17.5</v>
      </c>
      <c r="Q676">
        <v>24</v>
      </c>
      <c r="R676" t="s">
        <v>3046</v>
      </c>
      <c r="S676" t="str">
        <f t="shared" si="74"/>
        <v>Medical</v>
      </c>
      <c r="T676">
        <v>685</v>
      </c>
      <c r="U676">
        <f t="shared" si="75"/>
        <v>685</v>
      </c>
      <c r="V676">
        <v>3</v>
      </c>
      <c r="W676" t="s">
        <v>3057</v>
      </c>
      <c r="X676" s="3" t="s">
        <v>3635</v>
      </c>
      <c r="Y676" s="3">
        <f t="shared" si="76"/>
        <v>44557</v>
      </c>
      <c r="Z676">
        <v>0.17150000000000001</v>
      </c>
    </row>
    <row r="677" spans="1:26" x14ac:dyDescent="0.35">
      <c r="A677" t="s">
        <v>688</v>
      </c>
      <c r="B677" t="str">
        <f t="shared" si="70"/>
        <v>OK</v>
      </c>
      <c r="C677" t="s">
        <v>2176</v>
      </c>
      <c r="D677" s="2">
        <v>21</v>
      </c>
      <c r="E677">
        <f>IF(OR(D677&lt;18, D677&gt;100),AD676,D677)</f>
        <v>21</v>
      </c>
      <c r="F677" t="s">
        <v>2992</v>
      </c>
      <c r="G677" t="str">
        <f t="shared" si="71"/>
        <v>Female</v>
      </c>
      <c r="H677" t="s">
        <v>3004</v>
      </c>
      <c r="I677" t="s">
        <v>3019</v>
      </c>
      <c r="K677" t="str">
        <f t="shared" si="72"/>
        <v>Employed</v>
      </c>
      <c r="L677">
        <v>19</v>
      </c>
      <c r="M677">
        <v>1054772</v>
      </c>
      <c r="N677">
        <f t="shared" si="73"/>
        <v>1054772</v>
      </c>
      <c r="O677">
        <v>484507</v>
      </c>
      <c r="P677">
        <v>23.67</v>
      </c>
      <c r="Q677">
        <v>24</v>
      </c>
      <c r="R677" t="s">
        <v>3046</v>
      </c>
      <c r="S677" t="str">
        <f t="shared" si="74"/>
        <v>Medical</v>
      </c>
      <c r="T677">
        <v>651</v>
      </c>
      <c r="U677">
        <f t="shared" si="75"/>
        <v>651</v>
      </c>
      <c r="V677">
        <v>6</v>
      </c>
      <c r="W677" t="s">
        <v>3052</v>
      </c>
      <c r="X677" s="3" t="s">
        <v>3636</v>
      </c>
      <c r="Y677" s="3">
        <f t="shared" si="76"/>
        <v>44002</v>
      </c>
      <c r="Z677">
        <v>0.45929999999999999</v>
      </c>
    </row>
    <row r="678" spans="1:26" x14ac:dyDescent="0.35">
      <c r="A678" t="s">
        <v>689</v>
      </c>
      <c r="B678" t="str">
        <f t="shared" si="70"/>
        <v>OK</v>
      </c>
      <c r="C678" t="s">
        <v>2177</v>
      </c>
      <c r="D678" s="2">
        <v>42</v>
      </c>
      <c r="E678">
        <f>IF(OR(D678&lt;18, D678&gt;100),AD677,D678)</f>
        <v>42</v>
      </c>
      <c r="F678" t="s">
        <v>2992</v>
      </c>
      <c r="G678" t="str">
        <f t="shared" si="71"/>
        <v>Female</v>
      </c>
      <c r="H678" t="s">
        <v>3002</v>
      </c>
      <c r="I678" t="s">
        <v>3018</v>
      </c>
      <c r="K678" t="str">
        <f t="shared" si="72"/>
        <v>Business Owner</v>
      </c>
      <c r="L678">
        <v>19</v>
      </c>
      <c r="M678">
        <v>2289441</v>
      </c>
      <c r="N678">
        <f t="shared" si="73"/>
        <v>2289441</v>
      </c>
      <c r="O678">
        <v>731935</v>
      </c>
      <c r="P678">
        <v>21.45</v>
      </c>
      <c r="Q678">
        <v>12</v>
      </c>
      <c r="R678" t="s">
        <v>3047</v>
      </c>
      <c r="S678" t="str">
        <f t="shared" si="74"/>
        <v>Personal</v>
      </c>
      <c r="T678">
        <v>752</v>
      </c>
      <c r="U678">
        <f t="shared" si="75"/>
        <v>752</v>
      </c>
      <c r="V678">
        <v>6</v>
      </c>
      <c r="W678" t="s">
        <v>3053</v>
      </c>
      <c r="X678" s="3" t="s">
        <v>3637</v>
      </c>
      <c r="Y678" s="3">
        <f t="shared" si="76"/>
        <v>44161</v>
      </c>
      <c r="Z678">
        <v>0.31969999999999998</v>
      </c>
    </row>
    <row r="679" spans="1:26" x14ac:dyDescent="0.35">
      <c r="A679" t="s">
        <v>690</v>
      </c>
      <c r="B679" t="str">
        <f t="shared" si="70"/>
        <v>OK</v>
      </c>
      <c r="C679" t="s">
        <v>2178</v>
      </c>
      <c r="D679" s="2">
        <v>43</v>
      </c>
      <c r="E679">
        <f>IF(OR(D679&lt;18, D679&gt;100),AD678,D679)</f>
        <v>43</v>
      </c>
      <c r="F679" t="s">
        <v>2990</v>
      </c>
      <c r="G679" t="str">
        <f t="shared" si="71"/>
        <v>Male</v>
      </c>
      <c r="H679" t="s">
        <v>3007</v>
      </c>
      <c r="I679" t="s">
        <v>3021</v>
      </c>
      <c r="K679" t="str">
        <f t="shared" si="72"/>
        <v>Unemployed</v>
      </c>
      <c r="L679">
        <v>9</v>
      </c>
      <c r="M679">
        <v>2392750</v>
      </c>
      <c r="N679">
        <f t="shared" si="73"/>
        <v>2392750</v>
      </c>
      <c r="O679">
        <v>235558</v>
      </c>
      <c r="P679">
        <v>23.88</v>
      </c>
      <c r="Q679">
        <v>24</v>
      </c>
      <c r="R679" t="s">
        <v>3047</v>
      </c>
      <c r="S679" t="str">
        <f t="shared" si="74"/>
        <v>Personal</v>
      </c>
      <c r="T679">
        <v>606</v>
      </c>
      <c r="U679">
        <f t="shared" si="75"/>
        <v>606</v>
      </c>
      <c r="V679">
        <v>4</v>
      </c>
      <c r="W679" t="s">
        <v>3053</v>
      </c>
      <c r="X679" s="3" t="s">
        <v>3402</v>
      </c>
      <c r="Y679" s="3">
        <f t="shared" si="76"/>
        <v>44293</v>
      </c>
      <c r="Z679">
        <v>9.8400000000000001E-2</v>
      </c>
    </row>
    <row r="680" spans="1:26" x14ac:dyDescent="0.35">
      <c r="A680" t="s">
        <v>691</v>
      </c>
      <c r="B680" t="str">
        <f t="shared" si="70"/>
        <v>OK</v>
      </c>
      <c r="C680" t="s">
        <v>2179</v>
      </c>
      <c r="D680" s="2">
        <v>34</v>
      </c>
      <c r="E680">
        <f>IF(OR(D680&lt;18, D680&gt;100),AD679,D680)</f>
        <v>34</v>
      </c>
      <c r="F680" t="s">
        <v>2992</v>
      </c>
      <c r="G680" t="str">
        <f t="shared" si="71"/>
        <v>Female</v>
      </c>
      <c r="H680" t="s">
        <v>3001</v>
      </c>
      <c r="I680" t="s">
        <v>3019</v>
      </c>
      <c r="K680" t="str">
        <f t="shared" si="72"/>
        <v>Employed</v>
      </c>
      <c r="L680">
        <v>9</v>
      </c>
      <c r="M680">
        <v>1861641</v>
      </c>
      <c r="N680">
        <f t="shared" si="73"/>
        <v>1861641</v>
      </c>
      <c r="O680">
        <v>418499</v>
      </c>
      <c r="P680">
        <v>19.989999999999998</v>
      </c>
      <c r="Q680">
        <v>60</v>
      </c>
      <c r="R680" t="s">
        <v>3047</v>
      </c>
      <c r="S680" t="str">
        <f t="shared" si="74"/>
        <v>Personal</v>
      </c>
      <c r="T680">
        <v>580</v>
      </c>
      <c r="U680">
        <f t="shared" si="75"/>
        <v>580</v>
      </c>
      <c r="V680">
        <v>0</v>
      </c>
      <c r="W680" t="s">
        <v>3055</v>
      </c>
      <c r="X680" s="3" t="s">
        <v>3415</v>
      </c>
      <c r="Y680" s="3">
        <f t="shared" si="76"/>
        <v>45080</v>
      </c>
      <c r="Z680">
        <v>0.2248</v>
      </c>
    </row>
    <row r="681" spans="1:26" x14ac:dyDescent="0.35">
      <c r="A681" t="s">
        <v>692</v>
      </c>
      <c r="B681" t="str">
        <f t="shared" si="70"/>
        <v>OK</v>
      </c>
      <c r="C681" t="s">
        <v>2180</v>
      </c>
      <c r="D681" s="2">
        <v>53</v>
      </c>
      <c r="E681">
        <f>IF(OR(D681&lt;18, D681&gt;100),AD680,D681)</f>
        <v>53</v>
      </c>
      <c r="F681" t="s">
        <v>2992</v>
      </c>
      <c r="G681" t="str">
        <f t="shared" si="71"/>
        <v>Female</v>
      </c>
      <c r="H681" t="s">
        <v>3000</v>
      </c>
      <c r="I681" t="s">
        <v>3021</v>
      </c>
      <c r="K681" t="str">
        <f t="shared" si="72"/>
        <v>Unemployed</v>
      </c>
      <c r="L681">
        <v>8</v>
      </c>
      <c r="M681">
        <v>858758</v>
      </c>
      <c r="N681">
        <f t="shared" si="73"/>
        <v>858758</v>
      </c>
      <c r="O681">
        <v>676761</v>
      </c>
      <c r="P681">
        <v>19.329999999999998</v>
      </c>
      <c r="Q681">
        <v>24</v>
      </c>
      <c r="R681" t="s">
        <v>3049</v>
      </c>
      <c r="S681" t="str">
        <f t="shared" si="74"/>
        <v>Business</v>
      </c>
      <c r="T681">
        <v>432</v>
      </c>
      <c r="U681">
        <f t="shared" si="75"/>
        <v>432</v>
      </c>
      <c r="V681">
        <v>1</v>
      </c>
      <c r="W681" t="s">
        <v>3055</v>
      </c>
      <c r="X681" s="3" t="s">
        <v>3638</v>
      </c>
      <c r="Y681" s="3">
        <f t="shared" si="76"/>
        <v>45057</v>
      </c>
      <c r="Z681">
        <v>0.78810000000000002</v>
      </c>
    </row>
    <row r="682" spans="1:26" x14ac:dyDescent="0.35">
      <c r="A682" t="s">
        <v>693</v>
      </c>
      <c r="B682" t="str">
        <f t="shared" si="70"/>
        <v>OK</v>
      </c>
      <c r="C682" t="s">
        <v>2181</v>
      </c>
      <c r="D682" s="2">
        <v>49</v>
      </c>
      <c r="E682">
        <f>IF(OR(D682&lt;18, D682&gt;100),AD681,D682)</f>
        <v>49</v>
      </c>
      <c r="F682" t="s">
        <v>2992</v>
      </c>
      <c r="G682" t="str">
        <f t="shared" si="71"/>
        <v>Female</v>
      </c>
      <c r="H682" t="s">
        <v>3005</v>
      </c>
      <c r="I682" t="s">
        <v>3018</v>
      </c>
      <c r="K682" t="str">
        <f t="shared" si="72"/>
        <v>Business Owner</v>
      </c>
      <c r="L682">
        <v>0</v>
      </c>
      <c r="M682">
        <v>2264504</v>
      </c>
      <c r="N682">
        <f t="shared" si="73"/>
        <v>2264504</v>
      </c>
      <c r="O682">
        <v>122476</v>
      </c>
      <c r="P682">
        <v>24.43</v>
      </c>
      <c r="Q682">
        <v>48</v>
      </c>
      <c r="R682" t="s">
        <v>3046</v>
      </c>
      <c r="S682" t="str">
        <f t="shared" si="74"/>
        <v>Medical</v>
      </c>
      <c r="T682">
        <v>470</v>
      </c>
      <c r="U682">
        <f t="shared" si="75"/>
        <v>470</v>
      </c>
      <c r="V682">
        <v>4</v>
      </c>
      <c r="W682" t="s">
        <v>3056</v>
      </c>
      <c r="X682" s="3" t="s">
        <v>3103</v>
      </c>
      <c r="Y682" s="3">
        <f t="shared" si="76"/>
        <v>44609</v>
      </c>
      <c r="Z682">
        <v>5.4100000000000002E-2</v>
      </c>
    </row>
    <row r="683" spans="1:26" x14ac:dyDescent="0.35">
      <c r="A683" t="s">
        <v>694</v>
      </c>
      <c r="B683" t="str">
        <f t="shared" si="70"/>
        <v>OK</v>
      </c>
      <c r="C683" t="s">
        <v>2182</v>
      </c>
      <c r="D683" s="2">
        <v>61</v>
      </c>
      <c r="E683">
        <f>IF(OR(D683&lt;18, D683&gt;100),AD682,D683)</f>
        <v>61</v>
      </c>
      <c r="F683" t="s">
        <v>2990</v>
      </c>
      <c r="G683" t="str">
        <f t="shared" si="71"/>
        <v>Male</v>
      </c>
      <c r="H683" t="s">
        <v>3003</v>
      </c>
      <c r="I683" t="s">
        <v>3019</v>
      </c>
      <c r="K683" t="str">
        <f t="shared" si="72"/>
        <v>Employed</v>
      </c>
      <c r="L683">
        <v>24</v>
      </c>
      <c r="M683">
        <v>292782</v>
      </c>
      <c r="N683">
        <f t="shared" si="73"/>
        <v>292782</v>
      </c>
      <c r="O683">
        <v>193311</v>
      </c>
      <c r="P683">
        <v>18.11</v>
      </c>
      <c r="Q683">
        <v>36</v>
      </c>
      <c r="R683" t="s">
        <v>3048</v>
      </c>
      <c r="S683" t="str">
        <f t="shared" si="74"/>
        <v>Home Improvement</v>
      </c>
      <c r="T683">
        <v>356</v>
      </c>
      <c r="U683">
        <f t="shared" si="75"/>
        <v>356</v>
      </c>
      <c r="V683">
        <v>2</v>
      </c>
      <c r="W683" t="s">
        <v>3052</v>
      </c>
      <c r="X683" s="3" t="s">
        <v>3639</v>
      </c>
      <c r="Y683" s="3">
        <f t="shared" si="76"/>
        <v>44420</v>
      </c>
      <c r="Z683">
        <v>0.6603</v>
      </c>
    </row>
    <row r="684" spans="1:26" x14ac:dyDescent="0.35">
      <c r="A684" t="s">
        <v>695</v>
      </c>
      <c r="B684" t="str">
        <f t="shared" si="70"/>
        <v>OK</v>
      </c>
      <c r="C684" t="s">
        <v>2183</v>
      </c>
      <c r="D684" s="2">
        <v>45</v>
      </c>
      <c r="E684">
        <f>IF(OR(D684&lt;18, D684&gt;100),AD683,D684)</f>
        <v>45</v>
      </c>
      <c r="F684" t="s">
        <v>2990</v>
      </c>
      <c r="G684" t="str">
        <f t="shared" si="71"/>
        <v>Male</v>
      </c>
      <c r="H684" t="s">
        <v>3003</v>
      </c>
      <c r="I684" t="s">
        <v>3021</v>
      </c>
      <c r="K684" t="str">
        <f t="shared" si="72"/>
        <v>Unemployed</v>
      </c>
      <c r="L684">
        <v>20</v>
      </c>
      <c r="M684">
        <v>1531099</v>
      </c>
      <c r="N684">
        <f t="shared" si="73"/>
        <v>1531099</v>
      </c>
      <c r="O684">
        <v>156285</v>
      </c>
      <c r="P684">
        <v>27.04</v>
      </c>
      <c r="Q684">
        <v>36</v>
      </c>
      <c r="R684" t="s">
        <v>3050</v>
      </c>
      <c r="S684" t="str">
        <f t="shared" si="74"/>
        <v>Agriculture</v>
      </c>
      <c r="T684">
        <v>716</v>
      </c>
      <c r="U684">
        <f t="shared" si="75"/>
        <v>716</v>
      </c>
      <c r="V684">
        <v>3</v>
      </c>
      <c r="W684" t="s">
        <v>3053</v>
      </c>
      <c r="X684" s="3" t="s">
        <v>3465</v>
      </c>
      <c r="Y684" s="3">
        <f t="shared" si="76"/>
        <v>45017</v>
      </c>
      <c r="Z684">
        <v>0.1021</v>
      </c>
    </row>
    <row r="685" spans="1:26" x14ac:dyDescent="0.35">
      <c r="A685" t="s">
        <v>696</v>
      </c>
      <c r="B685" t="str">
        <f t="shared" si="70"/>
        <v>OK</v>
      </c>
      <c r="C685" t="s">
        <v>2184</v>
      </c>
      <c r="D685" s="2">
        <v>27</v>
      </c>
      <c r="E685">
        <f>IF(OR(D685&lt;18, D685&gt;100),AD684,D685)</f>
        <v>27</v>
      </c>
      <c r="F685" t="s">
        <v>2992</v>
      </c>
      <c r="G685" t="str">
        <f t="shared" si="71"/>
        <v>Female</v>
      </c>
      <c r="H685" t="s">
        <v>3007</v>
      </c>
      <c r="I685" t="s">
        <v>3020</v>
      </c>
      <c r="K685" t="str">
        <f t="shared" si="72"/>
        <v>Self-Employed</v>
      </c>
      <c r="L685">
        <v>19</v>
      </c>
      <c r="N685">
        <f t="shared" si="73"/>
        <v>1333224</v>
      </c>
      <c r="O685">
        <v>438815</v>
      </c>
      <c r="P685">
        <v>24.96</v>
      </c>
      <c r="Q685">
        <v>12</v>
      </c>
      <c r="R685" t="s">
        <v>3046</v>
      </c>
      <c r="S685" t="str">
        <f t="shared" si="74"/>
        <v>Medical</v>
      </c>
      <c r="T685">
        <v>762</v>
      </c>
      <c r="U685">
        <f t="shared" si="75"/>
        <v>762</v>
      </c>
      <c r="V685">
        <v>7</v>
      </c>
      <c r="W685" t="s">
        <v>3055</v>
      </c>
      <c r="X685" s="3" t="s">
        <v>3640</v>
      </c>
      <c r="Y685" s="3">
        <f t="shared" si="76"/>
        <v>43966</v>
      </c>
      <c r="Z685">
        <v>0.58260000000000001</v>
      </c>
    </row>
    <row r="686" spans="1:26" x14ac:dyDescent="0.35">
      <c r="A686" t="s">
        <v>697</v>
      </c>
      <c r="B686" t="str">
        <f t="shared" si="70"/>
        <v>OK</v>
      </c>
      <c r="C686" t="s">
        <v>2185</v>
      </c>
      <c r="D686" s="2">
        <v>44</v>
      </c>
      <c r="E686">
        <f>IF(OR(D686&lt;18, D686&gt;100),AD685,D686)</f>
        <v>44</v>
      </c>
      <c r="F686" t="s">
        <v>2990</v>
      </c>
      <c r="G686" t="str">
        <f t="shared" si="71"/>
        <v>Male</v>
      </c>
      <c r="H686" t="s">
        <v>3005</v>
      </c>
      <c r="I686" t="s">
        <v>3018</v>
      </c>
      <c r="K686" t="str">
        <f t="shared" si="72"/>
        <v>Business Owner</v>
      </c>
      <c r="L686">
        <v>27</v>
      </c>
      <c r="M686">
        <v>1740354</v>
      </c>
      <c r="N686">
        <f t="shared" si="73"/>
        <v>1740354</v>
      </c>
      <c r="O686">
        <v>412573</v>
      </c>
      <c r="P686">
        <v>14.82</v>
      </c>
      <c r="Q686">
        <v>24</v>
      </c>
      <c r="R686" t="s">
        <v>3047</v>
      </c>
      <c r="S686" t="str">
        <f t="shared" si="74"/>
        <v>Personal</v>
      </c>
      <c r="T686">
        <v>468</v>
      </c>
      <c r="U686">
        <f t="shared" si="75"/>
        <v>468</v>
      </c>
      <c r="V686">
        <v>4</v>
      </c>
      <c r="W686" t="s">
        <v>3056</v>
      </c>
      <c r="X686" s="3" t="s">
        <v>3120</v>
      </c>
      <c r="Y686" s="3">
        <f t="shared" si="76"/>
        <v>43921</v>
      </c>
      <c r="Z686">
        <v>0.23710000000000001</v>
      </c>
    </row>
    <row r="687" spans="1:26" x14ac:dyDescent="0.35">
      <c r="A687" t="s">
        <v>698</v>
      </c>
      <c r="B687" t="str">
        <f t="shared" si="70"/>
        <v>OK</v>
      </c>
      <c r="C687" t="s">
        <v>2186</v>
      </c>
      <c r="D687" s="2">
        <v>60</v>
      </c>
      <c r="E687">
        <f>IF(OR(D687&lt;18, D687&gt;100),AD686,D687)</f>
        <v>60</v>
      </c>
      <c r="F687" t="s">
        <v>2992</v>
      </c>
      <c r="G687" t="str">
        <f t="shared" si="71"/>
        <v>Female</v>
      </c>
      <c r="H687" t="s">
        <v>3004</v>
      </c>
      <c r="I687" t="s">
        <v>3019</v>
      </c>
      <c r="K687" t="str">
        <f t="shared" si="72"/>
        <v>Employed</v>
      </c>
      <c r="L687">
        <v>6</v>
      </c>
      <c r="M687">
        <v>381139</v>
      </c>
      <c r="N687">
        <f t="shared" si="73"/>
        <v>381139</v>
      </c>
      <c r="O687">
        <v>155189</v>
      </c>
      <c r="P687">
        <v>25.5</v>
      </c>
      <c r="Q687">
        <v>60</v>
      </c>
      <c r="R687" t="s">
        <v>3051</v>
      </c>
      <c r="S687" t="str">
        <f t="shared" si="74"/>
        <v>Education</v>
      </c>
      <c r="T687">
        <v>745</v>
      </c>
      <c r="U687">
        <f t="shared" si="75"/>
        <v>745</v>
      </c>
      <c r="V687">
        <v>7</v>
      </c>
      <c r="W687" t="s">
        <v>3056</v>
      </c>
      <c r="X687" s="3" t="s">
        <v>3641</v>
      </c>
      <c r="Y687" s="3">
        <f t="shared" si="76"/>
        <v>44776</v>
      </c>
      <c r="Z687">
        <v>0.40720000000000001</v>
      </c>
    </row>
    <row r="688" spans="1:26" x14ac:dyDescent="0.35">
      <c r="A688" t="s">
        <v>699</v>
      </c>
      <c r="B688" t="str">
        <f t="shared" si="70"/>
        <v>OK</v>
      </c>
      <c r="C688" t="s">
        <v>2187</v>
      </c>
      <c r="D688" s="2">
        <v>44</v>
      </c>
      <c r="E688">
        <f>IF(OR(D688&lt;18, D688&gt;100),AD687,D688)</f>
        <v>44</v>
      </c>
      <c r="G688" t="str">
        <f t="shared" si="71"/>
        <v>Unknown</v>
      </c>
      <c r="H688" t="s">
        <v>2998</v>
      </c>
      <c r="I688" t="s">
        <v>3020</v>
      </c>
      <c r="K688" t="str">
        <f t="shared" si="72"/>
        <v>Self-Employed</v>
      </c>
      <c r="L688">
        <v>11</v>
      </c>
      <c r="M688">
        <v>1104044</v>
      </c>
      <c r="N688">
        <f t="shared" si="73"/>
        <v>1104044</v>
      </c>
      <c r="O688">
        <v>746728</v>
      </c>
      <c r="P688">
        <v>18.489999999999998</v>
      </c>
      <c r="Q688">
        <v>36</v>
      </c>
      <c r="R688" t="s">
        <v>3051</v>
      </c>
      <c r="S688" t="str">
        <f t="shared" si="74"/>
        <v>Education</v>
      </c>
      <c r="T688">
        <v>632</v>
      </c>
      <c r="U688">
        <f t="shared" si="75"/>
        <v>632</v>
      </c>
      <c r="V688">
        <v>2</v>
      </c>
      <c r="W688" t="s">
        <v>3055</v>
      </c>
      <c r="X688" s="3" t="s">
        <v>3642</v>
      </c>
      <c r="Y688" s="3">
        <f t="shared" si="76"/>
        <v>45141</v>
      </c>
      <c r="Z688">
        <v>0.6764</v>
      </c>
    </row>
    <row r="689" spans="1:26" x14ac:dyDescent="0.35">
      <c r="A689" t="s">
        <v>700</v>
      </c>
      <c r="B689" t="str">
        <f t="shared" si="70"/>
        <v>OK</v>
      </c>
      <c r="C689" t="s">
        <v>2188</v>
      </c>
      <c r="D689" s="2">
        <v>51</v>
      </c>
      <c r="E689">
        <f>IF(OR(D689&lt;18, D689&gt;100),AD688,D689)</f>
        <v>51</v>
      </c>
      <c r="F689" t="s">
        <v>2990</v>
      </c>
      <c r="G689" t="str">
        <f t="shared" si="71"/>
        <v>Male</v>
      </c>
      <c r="H689" t="s">
        <v>2999</v>
      </c>
      <c r="I689" t="s">
        <v>3020</v>
      </c>
      <c r="K689" t="str">
        <f t="shared" si="72"/>
        <v>Self-Employed</v>
      </c>
      <c r="L689">
        <v>21</v>
      </c>
      <c r="M689">
        <v>1416497</v>
      </c>
      <c r="N689">
        <f t="shared" si="73"/>
        <v>1416497</v>
      </c>
      <c r="O689">
        <v>102289</v>
      </c>
      <c r="P689">
        <v>15.96</v>
      </c>
      <c r="Q689">
        <v>12</v>
      </c>
      <c r="S689" t="str">
        <f t="shared" si="74"/>
        <v>Unknown</v>
      </c>
      <c r="T689">
        <v>570</v>
      </c>
      <c r="U689">
        <f t="shared" si="75"/>
        <v>570</v>
      </c>
      <c r="V689">
        <v>6</v>
      </c>
      <c r="W689" t="s">
        <v>3052</v>
      </c>
      <c r="X689" s="3" t="s">
        <v>3643</v>
      </c>
      <c r="Y689" s="3">
        <f t="shared" si="76"/>
        <v>45115</v>
      </c>
      <c r="Z689">
        <v>7.22E-2</v>
      </c>
    </row>
    <row r="690" spans="1:26" x14ac:dyDescent="0.35">
      <c r="A690" t="s">
        <v>701</v>
      </c>
      <c r="B690" t="str">
        <f t="shared" si="70"/>
        <v>OK</v>
      </c>
      <c r="C690" t="s">
        <v>2189</v>
      </c>
      <c r="D690" s="2">
        <v>23</v>
      </c>
      <c r="E690">
        <f>IF(OR(D690&lt;18, D690&gt;100),AD689,D690)</f>
        <v>23</v>
      </c>
      <c r="F690" t="s">
        <v>2992</v>
      </c>
      <c r="G690" t="str">
        <f t="shared" si="71"/>
        <v>Female</v>
      </c>
      <c r="H690" t="s">
        <v>3003</v>
      </c>
      <c r="I690" t="s">
        <v>3019</v>
      </c>
      <c r="K690" t="str">
        <f t="shared" si="72"/>
        <v>Employed</v>
      </c>
      <c r="L690">
        <v>19</v>
      </c>
      <c r="M690">
        <v>1657852</v>
      </c>
      <c r="N690">
        <f t="shared" si="73"/>
        <v>1657852</v>
      </c>
      <c r="O690">
        <v>718787</v>
      </c>
      <c r="P690">
        <v>24.65</v>
      </c>
      <c r="Q690">
        <v>60</v>
      </c>
      <c r="R690" t="s">
        <v>3047</v>
      </c>
      <c r="S690" t="str">
        <f t="shared" si="74"/>
        <v>Personal</v>
      </c>
      <c r="T690">
        <v>627</v>
      </c>
      <c r="U690">
        <f t="shared" si="75"/>
        <v>627</v>
      </c>
      <c r="V690">
        <v>2</v>
      </c>
      <c r="W690" t="s">
        <v>3052</v>
      </c>
      <c r="X690" s="3" t="s">
        <v>3644</v>
      </c>
      <c r="Y690" s="3">
        <f t="shared" si="76"/>
        <v>45288</v>
      </c>
      <c r="Z690">
        <v>0.43359999999999999</v>
      </c>
    </row>
    <row r="691" spans="1:26" x14ac:dyDescent="0.35">
      <c r="A691" t="s">
        <v>702</v>
      </c>
      <c r="B691" t="str">
        <f t="shared" si="70"/>
        <v>OK</v>
      </c>
      <c r="C691" t="s">
        <v>2190</v>
      </c>
      <c r="D691" s="2">
        <v>59</v>
      </c>
      <c r="E691">
        <f>IF(OR(D691&lt;18, D691&gt;100),AD690,D691)</f>
        <v>59</v>
      </c>
      <c r="F691" t="s">
        <v>2992</v>
      </c>
      <c r="G691" t="str">
        <f t="shared" si="71"/>
        <v>Female</v>
      </c>
      <c r="H691" t="s">
        <v>3003</v>
      </c>
      <c r="I691" t="s">
        <v>3020</v>
      </c>
      <c r="K691" t="str">
        <f t="shared" si="72"/>
        <v>Self-Employed</v>
      </c>
      <c r="L691">
        <v>23</v>
      </c>
      <c r="M691">
        <v>197297</v>
      </c>
      <c r="N691">
        <f t="shared" si="73"/>
        <v>197297</v>
      </c>
      <c r="O691">
        <v>122412</v>
      </c>
      <c r="P691">
        <v>22.76</v>
      </c>
      <c r="Q691">
        <v>60</v>
      </c>
      <c r="R691" t="s">
        <v>3046</v>
      </c>
      <c r="S691" t="str">
        <f t="shared" si="74"/>
        <v>Medical</v>
      </c>
      <c r="T691">
        <v>715</v>
      </c>
      <c r="U691">
        <f t="shared" si="75"/>
        <v>715</v>
      </c>
      <c r="V691">
        <v>0</v>
      </c>
      <c r="W691" t="s">
        <v>3053</v>
      </c>
      <c r="X691" s="3" t="s">
        <v>3101</v>
      </c>
      <c r="Y691" s="3">
        <f t="shared" si="76"/>
        <v>44578</v>
      </c>
      <c r="Z691">
        <v>0.62039999999999995</v>
      </c>
    </row>
    <row r="692" spans="1:26" x14ac:dyDescent="0.35">
      <c r="A692" t="s">
        <v>703</v>
      </c>
      <c r="B692" t="str">
        <f t="shared" si="70"/>
        <v>OK</v>
      </c>
      <c r="C692" t="s">
        <v>2191</v>
      </c>
      <c r="D692" s="2">
        <v>48</v>
      </c>
      <c r="E692">
        <f>IF(OR(D692&lt;18, D692&gt;100),AD691,D692)</f>
        <v>48</v>
      </c>
      <c r="F692" t="s">
        <v>2992</v>
      </c>
      <c r="G692" t="str">
        <f t="shared" si="71"/>
        <v>Female</v>
      </c>
      <c r="H692" t="s">
        <v>3000</v>
      </c>
      <c r="I692" t="s">
        <v>3018</v>
      </c>
      <c r="K692" t="str">
        <f t="shared" si="72"/>
        <v>Business Owner</v>
      </c>
      <c r="L692">
        <v>9</v>
      </c>
      <c r="M692">
        <v>1256299</v>
      </c>
      <c r="N692">
        <f t="shared" si="73"/>
        <v>1256299</v>
      </c>
      <c r="O692">
        <v>425513</v>
      </c>
      <c r="P692">
        <v>13.5</v>
      </c>
      <c r="Q692">
        <v>24</v>
      </c>
      <c r="R692" t="s">
        <v>3051</v>
      </c>
      <c r="S692" t="str">
        <f t="shared" si="74"/>
        <v>Education</v>
      </c>
      <c r="T692">
        <v>615</v>
      </c>
      <c r="U692">
        <f t="shared" si="75"/>
        <v>615</v>
      </c>
      <c r="V692">
        <v>5</v>
      </c>
      <c r="W692" t="s">
        <v>3056</v>
      </c>
      <c r="X692" s="3" t="s">
        <v>3165</v>
      </c>
      <c r="Y692" s="3">
        <f t="shared" si="76"/>
        <v>44374</v>
      </c>
      <c r="Z692">
        <v>0.3387</v>
      </c>
    </row>
    <row r="693" spans="1:26" x14ac:dyDescent="0.35">
      <c r="A693" t="s">
        <v>704</v>
      </c>
      <c r="B693" t="str">
        <f t="shared" si="70"/>
        <v>OK</v>
      </c>
      <c r="C693" t="s">
        <v>2192</v>
      </c>
      <c r="D693" s="2">
        <v>46</v>
      </c>
      <c r="E693">
        <f>IF(OR(D693&lt;18, D693&gt;100),AD692,D693)</f>
        <v>46</v>
      </c>
      <c r="F693" t="s">
        <v>2992</v>
      </c>
      <c r="G693" t="str">
        <f t="shared" si="71"/>
        <v>Female</v>
      </c>
      <c r="H693" t="s">
        <v>3005</v>
      </c>
      <c r="I693" t="s">
        <v>3019</v>
      </c>
      <c r="K693" t="str">
        <f t="shared" si="72"/>
        <v>Employed</v>
      </c>
      <c r="L693">
        <v>10</v>
      </c>
      <c r="N693">
        <f t="shared" si="73"/>
        <v>1333224</v>
      </c>
      <c r="O693">
        <v>136214</v>
      </c>
      <c r="P693">
        <v>11.54</v>
      </c>
      <c r="Q693">
        <v>36</v>
      </c>
      <c r="R693" t="s">
        <v>3049</v>
      </c>
      <c r="S693" t="str">
        <f t="shared" si="74"/>
        <v>Business</v>
      </c>
      <c r="T693">
        <v>313</v>
      </c>
      <c r="U693">
        <f t="shared" si="75"/>
        <v>313</v>
      </c>
      <c r="V693">
        <v>1</v>
      </c>
      <c r="W693" t="s">
        <v>3054</v>
      </c>
      <c r="X693" s="3" t="s">
        <v>3645</v>
      </c>
      <c r="Y693" s="3">
        <f t="shared" si="76"/>
        <v>44330</v>
      </c>
      <c r="Z693">
        <v>0.1051</v>
      </c>
    </row>
    <row r="694" spans="1:26" x14ac:dyDescent="0.35">
      <c r="A694" t="s">
        <v>705</v>
      </c>
      <c r="B694" t="str">
        <f t="shared" si="70"/>
        <v>OK</v>
      </c>
      <c r="C694" t="s">
        <v>2193</v>
      </c>
      <c r="D694" s="2">
        <v>42</v>
      </c>
      <c r="E694">
        <f>IF(OR(D694&lt;18, D694&gt;100),AD693,D694)</f>
        <v>42</v>
      </c>
      <c r="F694" t="s">
        <v>2992</v>
      </c>
      <c r="G694" t="str">
        <f t="shared" si="71"/>
        <v>Female</v>
      </c>
      <c r="H694" t="s">
        <v>3007</v>
      </c>
      <c r="I694" t="s">
        <v>3020</v>
      </c>
      <c r="K694" t="str">
        <f t="shared" si="72"/>
        <v>Self-Employed</v>
      </c>
      <c r="L694">
        <v>12</v>
      </c>
      <c r="M694">
        <v>2376768</v>
      </c>
      <c r="N694">
        <f t="shared" si="73"/>
        <v>2376768</v>
      </c>
      <c r="O694">
        <v>262717</v>
      </c>
      <c r="P694">
        <v>25.48</v>
      </c>
      <c r="Q694">
        <v>36</v>
      </c>
      <c r="R694" t="s">
        <v>3048</v>
      </c>
      <c r="S694" t="str">
        <f t="shared" si="74"/>
        <v>Home Improvement</v>
      </c>
      <c r="T694">
        <v>580</v>
      </c>
      <c r="U694">
        <f t="shared" si="75"/>
        <v>580</v>
      </c>
      <c r="V694">
        <v>5</v>
      </c>
      <c r="W694" t="s">
        <v>3057</v>
      </c>
      <c r="X694" s="3" t="s">
        <v>3646</v>
      </c>
      <c r="Y694" s="3">
        <f t="shared" si="76"/>
        <v>44690</v>
      </c>
      <c r="Z694">
        <v>0.1105</v>
      </c>
    </row>
    <row r="695" spans="1:26" x14ac:dyDescent="0.35">
      <c r="A695" t="s">
        <v>706</v>
      </c>
      <c r="B695" t="str">
        <f t="shared" si="70"/>
        <v>OK</v>
      </c>
      <c r="C695" t="s">
        <v>2194</v>
      </c>
      <c r="D695" s="2">
        <v>51</v>
      </c>
      <c r="E695">
        <f>IF(OR(D695&lt;18, D695&gt;100),AD694,D695)</f>
        <v>51</v>
      </c>
      <c r="F695" t="s">
        <v>2992</v>
      </c>
      <c r="G695" t="str">
        <f t="shared" si="71"/>
        <v>Female</v>
      </c>
      <c r="H695" t="s">
        <v>3004</v>
      </c>
      <c r="I695" t="s">
        <v>3020</v>
      </c>
      <c r="K695" t="str">
        <f t="shared" si="72"/>
        <v>Self-Employed</v>
      </c>
      <c r="L695">
        <v>28</v>
      </c>
      <c r="M695">
        <v>1387786</v>
      </c>
      <c r="N695">
        <f t="shared" si="73"/>
        <v>1387786</v>
      </c>
      <c r="O695">
        <v>342854</v>
      </c>
      <c r="P695">
        <v>8.81</v>
      </c>
      <c r="Q695">
        <v>60</v>
      </c>
      <c r="R695" t="s">
        <v>3048</v>
      </c>
      <c r="S695" t="str">
        <f t="shared" si="74"/>
        <v>Home Improvement</v>
      </c>
      <c r="T695">
        <v>342</v>
      </c>
      <c r="U695">
        <f t="shared" si="75"/>
        <v>342</v>
      </c>
      <c r="V695">
        <v>0</v>
      </c>
      <c r="W695" t="s">
        <v>3062</v>
      </c>
      <c r="X695" s="3" t="s">
        <v>3442</v>
      </c>
      <c r="Y695" s="3">
        <f t="shared" si="76"/>
        <v>44607</v>
      </c>
      <c r="Z695">
        <v>0.24709999999999999</v>
      </c>
    </row>
    <row r="696" spans="1:26" x14ac:dyDescent="0.35">
      <c r="A696" t="s">
        <v>707</v>
      </c>
      <c r="B696" t="str">
        <f t="shared" si="70"/>
        <v>OK</v>
      </c>
      <c r="C696" t="s">
        <v>2195</v>
      </c>
      <c r="D696" s="2">
        <v>32</v>
      </c>
      <c r="E696">
        <f>IF(OR(D696&lt;18, D696&gt;100),AD695,D696)</f>
        <v>32</v>
      </c>
      <c r="F696" t="s">
        <v>2990</v>
      </c>
      <c r="G696" t="str">
        <f t="shared" si="71"/>
        <v>Male</v>
      </c>
      <c r="H696" t="s">
        <v>3007</v>
      </c>
      <c r="K696" t="str">
        <f t="shared" si="72"/>
        <v>Unknown</v>
      </c>
      <c r="L696">
        <v>0</v>
      </c>
      <c r="M696">
        <v>1388948</v>
      </c>
      <c r="N696">
        <f t="shared" si="73"/>
        <v>1388948</v>
      </c>
      <c r="O696">
        <v>84925</v>
      </c>
      <c r="P696">
        <v>17.170000000000002</v>
      </c>
      <c r="Q696">
        <v>36</v>
      </c>
      <c r="R696" t="s">
        <v>3046</v>
      </c>
      <c r="S696" t="str">
        <f t="shared" si="74"/>
        <v>Medical</v>
      </c>
      <c r="T696">
        <v>552</v>
      </c>
      <c r="U696">
        <f t="shared" si="75"/>
        <v>552</v>
      </c>
      <c r="V696">
        <v>4</v>
      </c>
      <c r="W696" t="s">
        <v>3061</v>
      </c>
      <c r="X696" s="3" t="s">
        <v>3219</v>
      </c>
      <c r="Y696" s="3">
        <f t="shared" si="76"/>
        <v>45036</v>
      </c>
      <c r="Z696">
        <v>6.1100000000000002E-2</v>
      </c>
    </row>
    <row r="697" spans="1:26" x14ac:dyDescent="0.35">
      <c r="A697" t="s">
        <v>708</v>
      </c>
      <c r="B697" t="str">
        <f t="shared" si="70"/>
        <v>OK</v>
      </c>
      <c r="C697" t="s">
        <v>2196</v>
      </c>
      <c r="D697" s="2">
        <v>43</v>
      </c>
      <c r="E697">
        <f>IF(OR(D697&lt;18, D697&gt;100),AD696,D697)</f>
        <v>43</v>
      </c>
      <c r="F697" t="s">
        <v>2992</v>
      </c>
      <c r="G697" t="str">
        <f t="shared" si="71"/>
        <v>Female</v>
      </c>
      <c r="H697" t="s">
        <v>3007</v>
      </c>
      <c r="I697" t="s">
        <v>3020</v>
      </c>
      <c r="K697" t="str">
        <f t="shared" si="72"/>
        <v>Self-Employed</v>
      </c>
      <c r="L697">
        <v>8</v>
      </c>
      <c r="M697">
        <v>2170922</v>
      </c>
      <c r="N697">
        <f t="shared" si="73"/>
        <v>2170922</v>
      </c>
      <c r="O697">
        <v>432755</v>
      </c>
      <c r="P697">
        <v>9.3699999999999992</v>
      </c>
      <c r="Q697">
        <v>48</v>
      </c>
      <c r="R697" t="s">
        <v>3048</v>
      </c>
      <c r="S697" t="str">
        <f t="shared" si="74"/>
        <v>Home Improvement</v>
      </c>
      <c r="T697">
        <v>435</v>
      </c>
      <c r="U697">
        <f t="shared" si="75"/>
        <v>435</v>
      </c>
      <c r="V697">
        <v>3</v>
      </c>
      <c r="W697" t="s">
        <v>3052</v>
      </c>
      <c r="X697" s="3" t="s">
        <v>3647</v>
      </c>
      <c r="Y697" s="3">
        <f t="shared" si="76"/>
        <v>44626</v>
      </c>
      <c r="Z697">
        <v>0.1993</v>
      </c>
    </row>
    <row r="698" spans="1:26" x14ac:dyDescent="0.35">
      <c r="A698" t="s">
        <v>709</v>
      </c>
      <c r="B698" t="str">
        <f t="shared" si="70"/>
        <v>OK</v>
      </c>
      <c r="C698" t="s">
        <v>2197</v>
      </c>
      <c r="D698" s="2">
        <v>63</v>
      </c>
      <c r="E698">
        <f>IF(OR(D698&lt;18, D698&gt;100),AD697,D698)</f>
        <v>63</v>
      </c>
      <c r="F698" t="s">
        <v>2992</v>
      </c>
      <c r="G698" t="str">
        <f t="shared" si="71"/>
        <v>Female</v>
      </c>
      <c r="H698" t="s">
        <v>3005</v>
      </c>
      <c r="I698" t="s">
        <v>3021</v>
      </c>
      <c r="K698" t="str">
        <f t="shared" si="72"/>
        <v>Unemployed</v>
      </c>
      <c r="L698">
        <v>21</v>
      </c>
      <c r="M698">
        <v>2288542</v>
      </c>
      <c r="N698">
        <f t="shared" si="73"/>
        <v>2288542</v>
      </c>
      <c r="O698">
        <v>257068</v>
      </c>
      <c r="P698" t="s">
        <v>3033</v>
      </c>
      <c r="Q698">
        <v>36</v>
      </c>
      <c r="R698" t="s">
        <v>3048</v>
      </c>
      <c r="S698" t="str">
        <f t="shared" si="74"/>
        <v>Home Improvement</v>
      </c>
      <c r="T698">
        <v>512</v>
      </c>
      <c r="U698">
        <f t="shared" si="75"/>
        <v>512</v>
      </c>
      <c r="V698">
        <v>6</v>
      </c>
      <c r="W698" t="s">
        <v>3057</v>
      </c>
      <c r="X698" s="3" t="s">
        <v>3648</v>
      </c>
      <c r="Y698" s="3">
        <f t="shared" si="76"/>
        <v>43861</v>
      </c>
      <c r="Z698">
        <v>0.1123</v>
      </c>
    </row>
    <row r="699" spans="1:26" x14ac:dyDescent="0.35">
      <c r="A699" t="s">
        <v>710</v>
      </c>
      <c r="B699" t="str">
        <f t="shared" si="70"/>
        <v>OK</v>
      </c>
      <c r="C699" t="s">
        <v>2198</v>
      </c>
      <c r="D699" s="2">
        <v>63</v>
      </c>
      <c r="E699">
        <f>IF(OR(D699&lt;18, D699&gt;100),AD698,D699)</f>
        <v>63</v>
      </c>
      <c r="F699" t="s">
        <v>2992</v>
      </c>
      <c r="G699" t="str">
        <f t="shared" si="71"/>
        <v>Female</v>
      </c>
      <c r="H699" t="s">
        <v>3000</v>
      </c>
      <c r="I699" t="s">
        <v>3020</v>
      </c>
      <c r="K699" t="str">
        <f t="shared" si="72"/>
        <v>Self-Employed</v>
      </c>
      <c r="L699">
        <v>5</v>
      </c>
      <c r="M699">
        <v>400972</v>
      </c>
      <c r="N699">
        <f t="shared" si="73"/>
        <v>400972</v>
      </c>
      <c r="O699">
        <v>518357</v>
      </c>
      <c r="P699">
        <v>24.02</v>
      </c>
      <c r="Q699">
        <v>60</v>
      </c>
      <c r="R699" t="s">
        <v>3051</v>
      </c>
      <c r="S699" t="str">
        <f t="shared" si="74"/>
        <v>Education</v>
      </c>
      <c r="T699">
        <v>608</v>
      </c>
      <c r="U699">
        <f t="shared" si="75"/>
        <v>608</v>
      </c>
      <c r="V699">
        <v>4</v>
      </c>
      <c r="W699" t="s">
        <v>3053</v>
      </c>
      <c r="X699" s="3" t="s">
        <v>3417</v>
      </c>
      <c r="Y699" s="3">
        <f t="shared" si="76"/>
        <v>44612</v>
      </c>
      <c r="Z699">
        <v>1.2927999999999999</v>
      </c>
    </row>
    <row r="700" spans="1:26" x14ac:dyDescent="0.35">
      <c r="A700" t="s">
        <v>711</v>
      </c>
      <c r="B700" t="str">
        <f t="shared" si="70"/>
        <v>OK</v>
      </c>
      <c r="C700" t="s">
        <v>2199</v>
      </c>
      <c r="D700" s="2">
        <v>42</v>
      </c>
      <c r="E700">
        <f>IF(OR(D700&lt;18, D700&gt;100),AD699,D700)</f>
        <v>42</v>
      </c>
      <c r="F700" t="s">
        <v>2992</v>
      </c>
      <c r="G700" t="str">
        <f t="shared" si="71"/>
        <v>Female</v>
      </c>
      <c r="H700" t="s">
        <v>3001</v>
      </c>
      <c r="I700" t="s">
        <v>3021</v>
      </c>
      <c r="K700" t="str">
        <f t="shared" si="72"/>
        <v>Unemployed</v>
      </c>
      <c r="L700">
        <v>27</v>
      </c>
      <c r="M700">
        <v>628625</v>
      </c>
      <c r="N700">
        <f t="shared" si="73"/>
        <v>628625</v>
      </c>
      <c r="O700">
        <v>434758</v>
      </c>
      <c r="P700">
        <v>9.68</v>
      </c>
      <c r="Q700">
        <v>24</v>
      </c>
      <c r="R700" t="s">
        <v>3048</v>
      </c>
      <c r="S700" t="str">
        <f t="shared" si="74"/>
        <v>Home Improvement</v>
      </c>
      <c r="T700">
        <v>776</v>
      </c>
      <c r="U700">
        <f t="shared" si="75"/>
        <v>776</v>
      </c>
      <c r="V700">
        <v>7</v>
      </c>
      <c r="W700" t="s">
        <v>3054</v>
      </c>
      <c r="X700" s="3" t="s">
        <v>3548</v>
      </c>
      <c r="Y700" s="3">
        <f t="shared" si="76"/>
        <v>43998</v>
      </c>
      <c r="Z700">
        <v>0.69159999999999999</v>
      </c>
    </row>
    <row r="701" spans="1:26" x14ac:dyDescent="0.35">
      <c r="A701" t="s">
        <v>712</v>
      </c>
      <c r="B701" t="str">
        <f t="shared" si="70"/>
        <v>OK</v>
      </c>
      <c r="C701" t="s">
        <v>2200</v>
      </c>
      <c r="D701" s="2">
        <v>50</v>
      </c>
      <c r="E701">
        <f>IF(OR(D701&lt;18, D701&gt;100),AD700,D701)</f>
        <v>50</v>
      </c>
      <c r="F701" t="s">
        <v>2992</v>
      </c>
      <c r="G701" t="str">
        <f t="shared" si="71"/>
        <v>Female</v>
      </c>
      <c r="H701" t="s">
        <v>3005</v>
      </c>
      <c r="I701" t="s">
        <v>3018</v>
      </c>
      <c r="K701" t="str">
        <f t="shared" si="72"/>
        <v>Business Owner</v>
      </c>
      <c r="L701">
        <v>13</v>
      </c>
      <c r="M701">
        <v>361948</v>
      </c>
      <c r="N701">
        <f t="shared" si="73"/>
        <v>361948</v>
      </c>
      <c r="O701">
        <v>755035</v>
      </c>
      <c r="P701">
        <v>15.59</v>
      </c>
      <c r="Q701">
        <v>60</v>
      </c>
      <c r="R701" t="s">
        <v>3047</v>
      </c>
      <c r="S701" t="str">
        <f t="shared" si="74"/>
        <v>Personal</v>
      </c>
      <c r="T701">
        <v>437</v>
      </c>
      <c r="U701">
        <f t="shared" si="75"/>
        <v>437</v>
      </c>
      <c r="V701">
        <v>5</v>
      </c>
      <c r="W701" t="s">
        <v>3053</v>
      </c>
      <c r="X701" s="3" t="s">
        <v>3452</v>
      </c>
      <c r="Y701" s="3">
        <f t="shared" si="76"/>
        <v>45053</v>
      </c>
      <c r="Z701">
        <v>2.0859999999999999</v>
      </c>
    </row>
    <row r="702" spans="1:26" x14ac:dyDescent="0.35">
      <c r="A702" t="s">
        <v>713</v>
      </c>
      <c r="B702" t="str">
        <f t="shared" si="70"/>
        <v>OK</v>
      </c>
      <c r="C702" t="s">
        <v>2201</v>
      </c>
      <c r="D702" s="2">
        <v>39</v>
      </c>
      <c r="E702">
        <f>IF(OR(D702&lt;18, D702&gt;100),AD701,D702)</f>
        <v>39</v>
      </c>
      <c r="F702" t="s">
        <v>2990</v>
      </c>
      <c r="G702" t="str">
        <f t="shared" si="71"/>
        <v>Male</v>
      </c>
      <c r="H702" t="s">
        <v>2998</v>
      </c>
      <c r="I702" t="s">
        <v>3018</v>
      </c>
      <c r="K702" t="str">
        <f t="shared" si="72"/>
        <v>Business Owner</v>
      </c>
      <c r="L702">
        <v>8</v>
      </c>
      <c r="M702">
        <v>2206395</v>
      </c>
      <c r="N702">
        <f t="shared" si="73"/>
        <v>2206395</v>
      </c>
      <c r="O702">
        <v>647835</v>
      </c>
      <c r="P702">
        <v>12.42</v>
      </c>
      <c r="Q702">
        <v>60</v>
      </c>
      <c r="R702" t="s">
        <v>3051</v>
      </c>
      <c r="S702" t="str">
        <f t="shared" si="74"/>
        <v>Education</v>
      </c>
      <c r="T702">
        <v>539</v>
      </c>
      <c r="U702">
        <f t="shared" si="75"/>
        <v>539</v>
      </c>
      <c r="V702">
        <v>3</v>
      </c>
      <c r="W702" t="s">
        <v>3055</v>
      </c>
      <c r="X702" s="3" t="s">
        <v>3649</v>
      </c>
      <c r="Y702" s="3">
        <f t="shared" si="76"/>
        <v>45280</v>
      </c>
      <c r="Z702">
        <v>0.29360000000000003</v>
      </c>
    </row>
    <row r="703" spans="1:26" x14ac:dyDescent="0.35">
      <c r="A703" t="s">
        <v>714</v>
      </c>
      <c r="B703" t="str">
        <f t="shared" ref="B703:B765" si="77">IF(A703="", "MISSING", "OK")</f>
        <v>OK</v>
      </c>
      <c r="C703" t="s">
        <v>2202</v>
      </c>
      <c r="D703" s="2">
        <v>34</v>
      </c>
      <c r="E703">
        <f>IF(OR(D703&lt;18, D703&gt;100),AD702,D703)</f>
        <v>34</v>
      </c>
      <c r="F703" t="s">
        <v>2990</v>
      </c>
      <c r="G703" t="str">
        <f t="shared" si="71"/>
        <v>Male</v>
      </c>
      <c r="H703" t="s">
        <v>3003</v>
      </c>
      <c r="I703" t="s">
        <v>3019</v>
      </c>
      <c r="K703" t="str">
        <f t="shared" si="72"/>
        <v>Employed</v>
      </c>
      <c r="L703">
        <v>15</v>
      </c>
      <c r="M703">
        <v>2398820</v>
      </c>
      <c r="N703">
        <f t="shared" si="73"/>
        <v>2398820</v>
      </c>
      <c r="O703">
        <v>734647</v>
      </c>
      <c r="P703">
        <v>11.33</v>
      </c>
      <c r="Q703">
        <v>12</v>
      </c>
      <c r="R703" t="s">
        <v>3048</v>
      </c>
      <c r="S703" t="str">
        <f t="shared" si="74"/>
        <v>Home Improvement</v>
      </c>
      <c r="T703">
        <v>536</v>
      </c>
      <c r="U703">
        <f t="shared" si="75"/>
        <v>536</v>
      </c>
      <c r="V703">
        <v>3</v>
      </c>
      <c r="W703" t="s">
        <v>3057</v>
      </c>
      <c r="X703" s="3" t="s">
        <v>3650</v>
      </c>
      <c r="Y703" s="3">
        <f t="shared" si="76"/>
        <v>45140</v>
      </c>
      <c r="Z703">
        <v>0.30630000000000002</v>
      </c>
    </row>
    <row r="704" spans="1:26" x14ac:dyDescent="0.35">
      <c r="A704" t="s">
        <v>715</v>
      </c>
      <c r="B704" t="str">
        <f t="shared" si="77"/>
        <v>OK</v>
      </c>
      <c r="C704" t="s">
        <v>2203</v>
      </c>
      <c r="D704" s="2">
        <v>42</v>
      </c>
      <c r="E704">
        <f>IF(OR(D704&lt;18, D704&gt;100),AD703,D704)</f>
        <v>42</v>
      </c>
      <c r="F704" t="s">
        <v>2990</v>
      </c>
      <c r="G704" t="str">
        <f t="shared" si="71"/>
        <v>Male</v>
      </c>
      <c r="H704" t="s">
        <v>3006</v>
      </c>
      <c r="I704" t="s">
        <v>3020</v>
      </c>
      <c r="K704" t="str">
        <f t="shared" si="72"/>
        <v>Self-Employed</v>
      </c>
      <c r="L704">
        <v>15</v>
      </c>
      <c r="M704">
        <v>1518106</v>
      </c>
      <c r="N704">
        <f t="shared" si="73"/>
        <v>1518106</v>
      </c>
      <c r="O704">
        <v>313851</v>
      </c>
      <c r="P704">
        <v>27.83</v>
      </c>
      <c r="Q704">
        <v>24</v>
      </c>
      <c r="R704" t="s">
        <v>3048</v>
      </c>
      <c r="S704" t="str">
        <f t="shared" si="74"/>
        <v>Home Improvement</v>
      </c>
      <c r="T704">
        <v>596</v>
      </c>
      <c r="U704">
        <f t="shared" si="75"/>
        <v>596</v>
      </c>
      <c r="V704">
        <v>1</v>
      </c>
      <c r="W704" t="s">
        <v>3052</v>
      </c>
      <c r="X704" s="3" t="s">
        <v>3130</v>
      </c>
      <c r="Y704" s="3">
        <f t="shared" si="76"/>
        <v>44958</v>
      </c>
      <c r="Z704">
        <v>0.20669999999999999</v>
      </c>
    </row>
    <row r="705" spans="1:26" x14ac:dyDescent="0.35">
      <c r="A705" t="s">
        <v>716</v>
      </c>
      <c r="B705" t="str">
        <f t="shared" si="77"/>
        <v>OK</v>
      </c>
      <c r="C705" t="s">
        <v>2204</v>
      </c>
      <c r="D705" s="2">
        <v>120</v>
      </c>
      <c r="E705">
        <f>IF(OR(D705&lt;18, D705&gt;100),AD704,D705)</f>
        <v>0</v>
      </c>
      <c r="F705" t="s">
        <v>2990</v>
      </c>
      <c r="G705" t="str">
        <f t="shared" si="71"/>
        <v>Male</v>
      </c>
      <c r="H705" t="s">
        <v>3005</v>
      </c>
      <c r="I705" t="s">
        <v>3020</v>
      </c>
      <c r="K705" t="str">
        <f t="shared" si="72"/>
        <v>Self-Employed</v>
      </c>
      <c r="L705">
        <v>1</v>
      </c>
      <c r="M705">
        <v>906331</v>
      </c>
      <c r="N705">
        <f t="shared" si="73"/>
        <v>906331</v>
      </c>
      <c r="O705">
        <v>542552</v>
      </c>
      <c r="P705">
        <v>15.6</v>
      </c>
      <c r="Q705">
        <v>36</v>
      </c>
      <c r="R705" t="s">
        <v>3051</v>
      </c>
      <c r="S705" t="str">
        <f t="shared" si="74"/>
        <v>Education</v>
      </c>
      <c r="T705">
        <v>819</v>
      </c>
      <c r="U705">
        <f t="shared" si="75"/>
        <v>819</v>
      </c>
      <c r="V705">
        <v>2</v>
      </c>
      <c r="W705" t="s">
        <v>3055</v>
      </c>
      <c r="X705" s="3" t="s">
        <v>3651</v>
      </c>
      <c r="Y705" s="3">
        <f t="shared" si="76"/>
        <v>44490</v>
      </c>
      <c r="Z705">
        <v>0.59860000000000002</v>
      </c>
    </row>
    <row r="706" spans="1:26" x14ac:dyDescent="0.35">
      <c r="A706" t="s">
        <v>717</v>
      </c>
      <c r="B706" t="str">
        <f t="shared" si="77"/>
        <v>OK</v>
      </c>
      <c r="C706" t="s">
        <v>2205</v>
      </c>
      <c r="D706" s="2">
        <v>56</v>
      </c>
      <c r="E706">
        <f>IF(OR(D706&lt;18, D706&gt;100),AD705,D706)</f>
        <v>56</v>
      </c>
      <c r="F706" t="s">
        <v>2994</v>
      </c>
      <c r="G706" t="str">
        <f t="shared" si="71"/>
        <v>Female</v>
      </c>
      <c r="H706" t="s">
        <v>3000</v>
      </c>
      <c r="I706" t="s">
        <v>3020</v>
      </c>
      <c r="K706" t="str">
        <f t="shared" si="72"/>
        <v>Self-Employed</v>
      </c>
      <c r="L706">
        <v>20</v>
      </c>
      <c r="M706">
        <v>758688</v>
      </c>
      <c r="N706">
        <f t="shared" si="73"/>
        <v>758688</v>
      </c>
      <c r="O706">
        <v>377574</v>
      </c>
      <c r="P706">
        <v>24.24</v>
      </c>
      <c r="Q706">
        <v>60</v>
      </c>
      <c r="R706" t="s">
        <v>3047</v>
      </c>
      <c r="S706" t="str">
        <f t="shared" si="74"/>
        <v>Personal</v>
      </c>
      <c r="U706">
        <f t="shared" si="75"/>
        <v>556</v>
      </c>
      <c r="V706">
        <v>7</v>
      </c>
      <c r="W706" t="s">
        <v>3052</v>
      </c>
      <c r="X706" s="3" t="s">
        <v>3243</v>
      </c>
      <c r="Y706" s="3">
        <f t="shared" si="76"/>
        <v>45011</v>
      </c>
      <c r="Z706">
        <v>0.49769999999999998</v>
      </c>
    </row>
    <row r="707" spans="1:26" x14ac:dyDescent="0.35">
      <c r="A707" t="s">
        <v>718</v>
      </c>
      <c r="B707" t="str">
        <f t="shared" si="77"/>
        <v>OK</v>
      </c>
      <c r="C707" t="s">
        <v>2206</v>
      </c>
      <c r="D707" s="2">
        <v>48</v>
      </c>
      <c r="E707">
        <f>IF(OR(D707&lt;18, D707&gt;100),AD706,D707)</f>
        <v>48</v>
      </c>
      <c r="F707" t="s">
        <v>2990</v>
      </c>
      <c r="G707" t="str">
        <f t="shared" ref="G707:G770" si="78">IF(F707="", "Unknown", IF(OR(F707="F", F707="FEMALE", F707="Female"), "Female", IF(OR(F707="M", F707="MALE", F707="Male"), "Male", "Other")))</f>
        <v>Male</v>
      </c>
      <c r="H707" t="s">
        <v>3007</v>
      </c>
      <c r="I707" t="s">
        <v>3020</v>
      </c>
      <c r="K707" t="str">
        <f t="shared" ref="K707:K770" si="79">IF(I707="", "Unknown", I707)</f>
        <v>Self-Employed</v>
      </c>
      <c r="L707">
        <v>4</v>
      </c>
      <c r="N707">
        <f t="shared" ref="N707:N770" si="80">IF(OR(M707="",M707&lt;0),$AD$3,M707)</f>
        <v>1333224</v>
      </c>
      <c r="O707">
        <v>176989</v>
      </c>
      <c r="P707">
        <v>19.32</v>
      </c>
      <c r="Q707">
        <v>36</v>
      </c>
      <c r="S707" t="str">
        <f t="shared" ref="S707:S770" si="81">IF(R707="", "Unknown", R707)</f>
        <v>Unknown</v>
      </c>
      <c r="T707">
        <v>375</v>
      </c>
      <c r="U707">
        <f t="shared" ref="U707:U770" si="82">IF(OR(T707="",T707&gt;999),$AD$2,T707)</f>
        <v>375</v>
      </c>
      <c r="V707">
        <v>5</v>
      </c>
      <c r="W707" t="s">
        <v>3052</v>
      </c>
      <c r="X707" s="3" t="s">
        <v>3652</v>
      </c>
      <c r="Y707" s="3">
        <f t="shared" ref="Y707:Y770" si="83">IF(ISNUMBER(X707), X707, DATEVALUE(X707))</f>
        <v>43890</v>
      </c>
      <c r="Z707">
        <v>0.24149999999999999</v>
      </c>
    </row>
    <row r="708" spans="1:26" x14ac:dyDescent="0.35">
      <c r="A708" t="s">
        <v>719</v>
      </c>
      <c r="B708" t="str">
        <f t="shared" si="77"/>
        <v>OK</v>
      </c>
      <c r="C708" t="s">
        <v>2207</v>
      </c>
      <c r="D708" s="2">
        <v>42</v>
      </c>
      <c r="E708">
        <f>IF(OR(D708&lt;18, D708&gt;100),AD707,D708)</f>
        <v>42</v>
      </c>
      <c r="F708" t="s">
        <v>2992</v>
      </c>
      <c r="G708" t="str">
        <f t="shared" si="78"/>
        <v>Female</v>
      </c>
      <c r="H708" t="s">
        <v>2998</v>
      </c>
      <c r="I708" t="s">
        <v>3018</v>
      </c>
      <c r="K708" t="str">
        <f t="shared" si="79"/>
        <v>Business Owner</v>
      </c>
      <c r="L708">
        <v>20</v>
      </c>
      <c r="M708">
        <v>1121768</v>
      </c>
      <c r="N708">
        <f t="shared" si="80"/>
        <v>1121768</v>
      </c>
      <c r="O708">
        <v>590201</v>
      </c>
      <c r="P708">
        <v>22.85</v>
      </c>
      <c r="Q708">
        <v>60</v>
      </c>
      <c r="R708" t="s">
        <v>3046</v>
      </c>
      <c r="S708" t="str">
        <f t="shared" si="81"/>
        <v>Medical</v>
      </c>
      <c r="T708">
        <v>757</v>
      </c>
      <c r="U708">
        <f t="shared" si="82"/>
        <v>757</v>
      </c>
      <c r="V708">
        <v>7</v>
      </c>
      <c r="W708" t="s">
        <v>3054</v>
      </c>
      <c r="X708" s="3" t="s">
        <v>3653</v>
      </c>
      <c r="Y708" s="3">
        <f t="shared" si="83"/>
        <v>44766</v>
      </c>
      <c r="Z708">
        <v>0.52610000000000001</v>
      </c>
    </row>
    <row r="709" spans="1:26" x14ac:dyDescent="0.35">
      <c r="A709" t="s">
        <v>720</v>
      </c>
      <c r="B709" t="str">
        <f t="shared" si="77"/>
        <v>OK</v>
      </c>
      <c r="C709" t="s">
        <v>2208</v>
      </c>
      <c r="D709" s="2">
        <v>53</v>
      </c>
      <c r="E709">
        <f>IF(OR(D709&lt;18, D709&gt;100),AD708,D709)</f>
        <v>53</v>
      </c>
      <c r="F709" t="s">
        <v>2992</v>
      </c>
      <c r="G709" t="str">
        <f t="shared" si="78"/>
        <v>Female</v>
      </c>
      <c r="H709" t="s">
        <v>3001</v>
      </c>
      <c r="I709" t="s">
        <v>3021</v>
      </c>
      <c r="K709" t="str">
        <f t="shared" si="79"/>
        <v>Unemployed</v>
      </c>
      <c r="L709">
        <v>27</v>
      </c>
      <c r="M709">
        <v>1645291</v>
      </c>
      <c r="N709">
        <f t="shared" si="80"/>
        <v>1645291</v>
      </c>
      <c r="O709">
        <v>434841</v>
      </c>
      <c r="P709">
        <v>26.69</v>
      </c>
      <c r="Q709">
        <v>12</v>
      </c>
      <c r="R709" t="s">
        <v>3046</v>
      </c>
      <c r="S709" t="str">
        <f t="shared" si="81"/>
        <v>Medical</v>
      </c>
      <c r="T709">
        <v>754</v>
      </c>
      <c r="U709">
        <f t="shared" si="82"/>
        <v>754</v>
      </c>
      <c r="V709">
        <v>6</v>
      </c>
      <c r="W709" t="s">
        <v>3052</v>
      </c>
      <c r="X709" s="3" t="s">
        <v>3468</v>
      </c>
      <c r="Y709" s="3">
        <f t="shared" si="83"/>
        <v>45166</v>
      </c>
      <c r="Z709">
        <v>0.26429999999999998</v>
      </c>
    </row>
    <row r="710" spans="1:26" x14ac:dyDescent="0.35">
      <c r="A710" t="s">
        <v>721</v>
      </c>
      <c r="B710" t="str">
        <f t="shared" si="77"/>
        <v>OK</v>
      </c>
      <c r="C710" t="s">
        <v>2209</v>
      </c>
      <c r="D710" s="2">
        <v>41</v>
      </c>
      <c r="E710">
        <f>IF(OR(D710&lt;18, D710&gt;100),AD709,D710)</f>
        <v>41</v>
      </c>
      <c r="F710" t="s">
        <v>2990</v>
      </c>
      <c r="G710" t="str">
        <f t="shared" si="78"/>
        <v>Male</v>
      </c>
      <c r="H710" t="s">
        <v>3001</v>
      </c>
      <c r="I710" t="s">
        <v>3018</v>
      </c>
      <c r="K710" t="str">
        <f t="shared" si="79"/>
        <v>Business Owner</v>
      </c>
      <c r="L710">
        <v>22</v>
      </c>
      <c r="M710">
        <v>350102</v>
      </c>
      <c r="N710">
        <f t="shared" si="80"/>
        <v>350102</v>
      </c>
      <c r="O710">
        <v>165051</v>
      </c>
      <c r="P710">
        <v>18.28</v>
      </c>
      <c r="Q710">
        <v>12</v>
      </c>
      <c r="R710" t="s">
        <v>3049</v>
      </c>
      <c r="S710" t="str">
        <f t="shared" si="81"/>
        <v>Business</v>
      </c>
      <c r="T710">
        <v>305</v>
      </c>
      <c r="U710">
        <f t="shared" si="82"/>
        <v>305</v>
      </c>
      <c r="V710">
        <v>4</v>
      </c>
      <c r="W710" t="s">
        <v>3057</v>
      </c>
      <c r="X710" s="3" t="s">
        <v>3654</v>
      </c>
      <c r="Y710" s="3">
        <f t="shared" si="83"/>
        <v>44969</v>
      </c>
      <c r="Z710">
        <v>0.47139999999999999</v>
      </c>
    </row>
    <row r="711" spans="1:26" x14ac:dyDescent="0.35">
      <c r="A711" t="s">
        <v>430</v>
      </c>
      <c r="B711" t="str">
        <f t="shared" si="77"/>
        <v>OK</v>
      </c>
      <c r="C711" t="s">
        <v>1920</v>
      </c>
      <c r="D711" s="2">
        <v>43</v>
      </c>
      <c r="E711">
        <f>IF(OR(D711&lt;18, D711&gt;100),AD710,D711)</f>
        <v>43</v>
      </c>
      <c r="G711" t="str">
        <f t="shared" si="78"/>
        <v>Unknown</v>
      </c>
      <c r="H711" t="s">
        <v>3003</v>
      </c>
      <c r="I711" t="s">
        <v>3019</v>
      </c>
      <c r="K711" t="str">
        <f t="shared" si="79"/>
        <v>Employed</v>
      </c>
      <c r="L711">
        <v>18</v>
      </c>
      <c r="M711">
        <v>303950</v>
      </c>
      <c r="N711">
        <f t="shared" si="80"/>
        <v>303950</v>
      </c>
      <c r="O711">
        <v>678250</v>
      </c>
      <c r="P711">
        <v>8.2100000000000009</v>
      </c>
      <c r="Q711">
        <v>36</v>
      </c>
      <c r="R711" t="s">
        <v>3047</v>
      </c>
      <c r="S711" t="str">
        <f t="shared" si="81"/>
        <v>Personal</v>
      </c>
      <c r="T711">
        <v>615</v>
      </c>
      <c r="U711">
        <f t="shared" si="82"/>
        <v>615</v>
      </c>
      <c r="V711">
        <v>7</v>
      </c>
      <c r="W711" t="s">
        <v>3055</v>
      </c>
      <c r="X711" s="3" t="s">
        <v>3437</v>
      </c>
      <c r="Y711" s="3">
        <f t="shared" si="83"/>
        <v>45106</v>
      </c>
      <c r="Z711">
        <v>2.2315</v>
      </c>
    </row>
    <row r="712" spans="1:26" x14ac:dyDescent="0.35">
      <c r="A712" t="s">
        <v>722</v>
      </c>
      <c r="B712" t="str">
        <f t="shared" si="77"/>
        <v>OK</v>
      </c>
      <c r="C712" t="s">
        <v>2211</v>
      </c>
      <c r="D712" s="2">
        <v>33</v>
      </c>
      <c r="E712">
        <f>IF(OR(D712&lt;18, D712&gt;100),AD711,D712)</f>
        <v>33</v>
      </c>
      <c r="F712" t="s">
        <v>2990</v>
      </c>
      <c r="G712" t="str">
        <f t="shared" si="78"/>
        <v>Male</v>
      </c>
      <c r="H712" t="s">
        <v>3000</v>
      </c>
      <c r="I712" t="s">
        <v>3021</v>
      </c>
      <c r="K712" t="str">
        <f t="shared" si="79"/>
        <v>Unemployed</v>
      </c>
      <c r="L712">
        <v>9</v>
      </c>
      <c r="M712">
        <v>862568</v>
      </c>
      <c r="N712">
        <f t="shared" si="80"/>
        <v>862568</v>
      </c>
      <c r="O712">
        <v>680327</v>
      </c>
      <c r="P712">
        <v>15.86</v>
      </c>
      <c r="Q712">
        <v>48</v>
      </c>
      <c r="R712" t="s">
        <v>3049</v>
      </c>
      <c r="S712" t="str">
        <f t="shared" si="81"/>
        <v>Business</v>
      </c>
      <c r="T712">
        <v>689</v>
      </c>
      <c r="U712">
        <f t="shared" si="82"/>
        <v>689</v>
      </c>
      <c r="V712">
        <v>0</v>
      </c>
      <c r="W712" t="s">
        <v>3052</v>
      </c>
      <c r="X712" s="3" t="s">
        <v>3347</v>
      </c>
      <c r="Y712" s="3">
        <f t="shared" si="83"/>
        <v>44478</v>
      </c>
      <c r="Z712">
        <v>0.78869999999999996</v>
      </c>
    </row>
    <row r="713" spans="1:26" x14ac:dyDescent="0.35">
      <c r="A713" t="s">
        <v>723</v>
      </c>
      <c r="B713" t="str">
        <f t="shared" si="77"/>
        <v>OK</v>
      </c>
      <c r="C713" t="s">
        <v>2212</v>
      </c>
      <c r="D713" s="2">
        <v>22</v>
      </c>
      <c r="E713">
        <f>IF(OR(D713&lt;18, D713&gt;100),AD712,D713)</f>
        <v>22</v>
      </c>
      <c r="F713" t="s">
        <v>2990</v>
      </c>
      <c r="G713" t="str">
        <f t="shared" si="78"/>
        <v>Male</v>
      </c>
      <c r="H713" t="s">
        <v>2999</v>
      </c>
      <c r="I713" t="s">
        <v>3020</v>
      </c>
      <c r="K713" t="str">
        <f t="shared" si="79"/>
        <v>Self-Employed</v>
      </c>
      <c r="L713">
        <v>4</v>
      </c>
      <c r="M713">
        <v>562729</v>
      </c>
      <c r="N713">
        <f t="shared" si="80"/>
        <v>562729</v>
      </c>
      <c r="O713">
        <v>702405</v>
      </c>
      <c r="P713">
        <v>18.05</v>
      </c>
      <c r="Q713">
        <v>60</v>
      </c>
      <c r="R713" t="s">
        <v>3047</v>
      </c>
      <c r="S713" t="str">
        <f t="shared" si="81"/>
        <v>Personal</v>
      </c>
      <c r="T713">
        <v>662</v>
      </c>
      <c r="U713">
        <f t="shared" si="82"/>
        <v>662</v>
      </c>
      <c r="V713">
        <v>6</v>
      </c>
      <c r="W713" t="s">
        <v>3057</v>
      </c>
      <c r="X713" s="3" t="s">
        <v>3656</v>
      </c>
      <c r="Y713" s="3">
        <f t="shared" si="83"/>
        <v>43985</v>
      </c>
      <c r="Z713">
        <v>1.2482</v>
      </c>
    </row>
    <row r="714" spans="1:26" x14ac:dyDescent="0.35">
      <c r="A714" t="s">
        <v>724</v>
      </c>
      <c r="B714" t="str">
        <f t="shared" si="77"/>
        <v>OK</v>
      </c>
      <c r="C714" t="s">
        <v>2213</v>
      </c>
      <c r="D714" s="2">
        <v>55</v>
      </c>
      <c r="E714">
        <f>IF(OR(D714&lt;18, D714&gt;100),AD713,D714)</f>
        <v>55</v>
      </c>
      <c r="F714" t="s">
        <v>2990</v>
      </c>
      <c r="G714" t="str">
        <f t="shared" si="78"/>
        <v>Male</v>
      </c>
      <c r="H714" t="s">
        <v>3007</v>
      </c>
      <c r="I714" t="s">
        <v>3020</v>
      </c>
      <c r="K714" t="str">
        <f t="shared" si="79"/>
        <v>Self-Employed</v>
      </c>
      <c r="L714">
        <v>6</v>
      </c>
      <c r="M714">
        <v>1820920</v>
      </c>
      <c r="N714">
        <f t="shared" si="80"/>
        <v>1820920</v>
      </c>
      <c r="O714">
        <v>349231</v>
      </c>
      <c r="P714">
        <v>17.79</v>
      </c>
      <c r="Q714">
        <v>24</v>
      </c>
      <c r="R714" t="s">
        <v>3051</v>
      </c>
      <c r="S714" t="str">
        <f t="shared" si="81"/>
        <v>Education</v>
      </c>
      <c r="T714">
        <v>810</v>
      </c>
      <c r="U714">
        <f t="shared" si="82"/>
        <v>810</v>
      </c>
      <c r="V714">
        <v>0</v>
      </c>
      <c r="W714" t="s">
        <v>3057</v>
      </c>
      <c r="X714" s="3" t="s">
        <v>3657</v>
      </c>
      <c r="Y714" s="3">
        <f t="shared" si="83"/>
        <v>44333</v>
      </c>
      <c r="Z714">
        <v>0.1918</v>
      </c>
    </row>
    <row r="715" spans="1:26" x14ac:dyDescent="0.35">
      <c r="A715" t="s">
        <v>725</v>
      </c>
      <c r="B715" t="str">
        <f t="shared" si="77"/>
        <v>OK</v>
      </c>
      <c r="C715" t="s">
        <v>2214</v>
      </c>
      <c r="D715" s="2">
        <v>64</v>
      </c>
      <c r="E715">
        <f>IF(OR(D715&lt;18, D715&gt;100),AD714,D715)</f>
        <v>64</v>
      </c>
      <c r="F715" t="s">
        <v>2992</v>
      </c>
      <c r="G715" t="str">
        <f t="shared" si="78"/>
        <v>Female</v>
      </c>
      <c r="H715" t="s">
        <v>2999</v>
      </c>
      <c r="I715" t="s">
        <v>3019</v>
      </c>
      <c r="K715" t="str">
        <f t="shared" si="79"/>
        <v>Employed</v>
      </c>
      <c r="L715">
        <v>15</v>
      </c>
      <c r="M715">
        <v>248920</v>
      </c>
      <c r="N715">
        <f t="shared" si="80"/>
        <v>248920</v>
      </c>
      <c r="O715">
        <v>146270</v>
      </c>
      <c r="P715">
        <v>17.920000000000002</v>
      </c>
      <c r="Q715">
        <v>24</v>
      </c>
      <c r="R715" t="s">
        <v>3049</v>
      </c>
      <c r="S715" t="str">
        <f t="shared" si="81"/>
        <v>Business</v>
      </c>
      <c r="T715">
        <v>355</v>
      </c>
      <c r="U715">
        <f t="shared" si="82"/>
        <v>355</v>
      </c>
      <c r="V715">
        <v>5</v>
      </c>
      <c r="W715" t="s">
        <v>3057</v>
      </c>
      <c r="X715" s="3" t="s">
        <v>3369</v>
      </c>
      <c r="Y715" s="3">
        <f t="shared" si="83"/>
        <v>44924</v>
      </c>
      <c r="Z715">
        <v>0.58760000000000001</v>
      </c>
    </row>
    <row r="716" spans="1:26" x14ac:dyDescent="0.35">
      <c r="A716" t="s">
        <v>726</v>
      </c>
      <c r="B716" t="str">
        <f t="shared" si="77"/>
        <v>OK</v>
      </c>
      <c r="C716" t="s">
        <v>2215</v>
      </c>
      <c r="D716" s="2">
        <v>6</v>
      </c>
      <c r="E716">
        <f>IF(OR(D716&lt;18, D716&gt;100),AD715,D716)</f>
        <v>0</v>
      </c>
      <c r="F716" t="s">
        <v>2990</v>
      </c>
      <c r="G716" t="str">
        <f t="shared" si="78"/>
        <v>Male</v>
      </c>
      <c r="H716" t="s">
        <v>3001</v>
      </c>
      <c r="I716" t="s">
        <v>3021</v>
      </c>
      <c r="K716" t="str">
        <f t="shared" si="79"/>
        <v>Unemployed</v>
      </c>
      <c r="L716">
        <v>12</v>
      </c>
      <c r="M716">
        <v>2082897</v>
      </c>
      <c r="N716">
        <f t="shared" si="80"/>
        <v>2082897</v>
      </c>
      <c r="O716">
        <v>258038</v>
      </c>
      <c r="P716">
        <v>13.62</v>
      </c>
      <c r="Q716">
        <v>48</v>
      </c>
      <c r="R716" t="s">
        <v>3049</v>
      </c>
      <c r="S716" t="str">
        <f t="shared" si="81"/>
        <v>Business</v>
      </c>
      <c r="T716">
        <v>379</v>
      </c>
      <c r="U716">
        <f t="shared" si="82"/>
        <v>379</v>
      </c>
      <c r="V716">
        <v>2</v>
      </c>
      <c r="W716" t="s">
        <v>3052</v>
      </c>
      <c r="X716" s="3" t="s">
        <v>3658</v>
      </c>
      <c r="Y716" s="3">
        <f t="shared" si="83"/>
        <v>44260</v>
      </c>
      <c r="Z716">
        <v>0.1239</v>
      </c>
    </row>
    <row r="717" spans="1:26" x14ac:dyDescent="0.35">
      <c r="A717" t="s">
        <v>615</v>
      </c>
      <c r="B717" t="str">
        <f t="shared" si="77"/>
        <v>OK</v>
      </c>
      <c r="C717" t="s">
        <v>2104</v>
      </c>
      <c r="D717" s="2">
        <v>53</v>
      </c>
      <c r="E717">
        <f>IF(OR(D717&lt;18, D717&gt;100),AD716,D717)</f>
        <v>53</v>
      </c>
      <c r="F717" t="s">
        <v>2990</v>
      </c>
      <c r="G717" t="str">
        <f t="shared" si="78"/>
        <v>Male</v>
      </c>
      <c r="H717" t="s">
        <v>2999</v>
      </c>
      <c r="I717" t="s">
        <v>3018</v>
      </c>
      <c r="K717" t="str">
        <f t="shared" si="79"/>
        <v>Business Owner</v>
      </c>
      <c r="L717">
        <v>8</v>
      </c>
      <c r="M717">
        <v>1796596</v>
      </c>
      <c r="N717">
        <f t="shared" si="80"/>
        <v>1796596</v>
      </c>
      <c r="O717">
        <v>714119</v>
      </c>
      <c r="P717">
        <v>20.09</v>
      </c>
      <c r="Q717">
        <v>60</v>
      </c>
      <c r="R717" t="s">
        <v>3049</v>
      </c>
      <c r="S717" t="str">
        <f t="shared" si="81"/>
        <v>Business</v>
      </c>
      <c r="T717">
        <v>363</v>
      </c>
      <c r="U717">
        <f t="shared" si="82"/>
        <v>363</v>
      </c>
      <c r="V717">
        <v>6</v>
      </c>
      <c r="W717" t="s">
        <v>3057</v>
      </c>
      <c r="X717" s="3" t="s">
        <v>3659</v>
      </c>
      <c r="Y717" s="3">
        <f t="shared" si="83"/>
        <v>44020</v>
      </c>
      <c r="Z717">
        <v>0.39750000000000002</v>
      </c>
    </row>
    <row r="718" spans="1:26" x14ac:dyDescent="0.35">
      <c r="A718" t="s">
        <v>727</v>
      </c>
      <c r="B718" t="str">
        <f t="shared" si="77"/>
        <v>OK</v>
      </c>
      <c r="C718" t="s">
        <v>2216</v>
      </c>
      <c r="D718" s="2">
        <v>24</v>
      </c>
      <c r="E718">
        <f>IF(OR(D718&lt;18, D718&gt;100),AD717,D718)</f>
        <v>24</v>
      </c>
      <c r="F718" t="s">
        <v>2990</v>
      </c>
      <c r="G718" t="str">
        <f t="shared" si="78"/>
        <v>Male</v>
      </c>
      <c r="H718" t="s">
        <v>3002</v>
      </c>
      <c r="I718" t="s">
        <v>3019</v>
      </c>
      <c r="K718" t="str">
        <f t="shared" si="79"/>
        <v>Employed</v>
      </c>
      <c r="L718">
        <v>21</v>
      </c>
      <c r="M718">
        <v>384451</v>
      </c>
      <c r="N718">
        <f t="shared" si="80"/>
        <v>384451</v>
      </c>
      <c r="O718">
        <v>435534</v>
      </c>
      <c r="P718">
        <v>13.17</v>
      </c>
      <c r="Q718">
        <v>12</v>
      </c>
      <c r="R718" t="s">
        <v>3049</v>
      </c>
      <c r="S718" t="str">
        <f t="shared" si="81"/>
        <v>Business</v>
      </c>
      <c r="T718">
        <v>846</v>
      </c>
      <c r="U718">
        <f t="shared" si="82"/>
        <v>846</v>
      </c>
      <c r="V718">
        <v>7</v>
      </c>
      <c r="W718" t="s">
        <v>3053</v>
      </c>
      <c r="X718" s="3" t="s">
        <v>3660</v>
      </c>
      <c r="Y718" s="3">
        <f t="shared" si="83"/>
        <v>44196</v>
      </c>
      <c r="Z718">
        <v>1.1329</v>
      </c>
    </row>
    <row r="719" spans="1:26" x14ac:dyDescent="0.35">
      <c r="A719" t="s">
        <v>728</v>
      </c>
      <c r="B719" t="str">
        <f t="shared" si="77"/>
        <v>OK</v>
      </c>
      <c r="C719" t="s">
        <v>2217</v>
      </c>
      <c r="D719" s="2">
        <v>37</v>
      </c>
      <c r="E719">
        <f>IF(OR(D719&lt;18, D719&gt;100),AD718,D719)</f>
        <v>37</v>
      </c>
      <c r="F719" t="s">
        <v>2990</v>
      </c>
      <c r="G719" t="str">
        <f t="shared" si="78"/>
        <v>Male</v>
      </c>
      <c r="H719" t="s">
        <v>3004</v>
      </c>
      <c r="I719" t="s">
        <v>3021</v>
      </c>
      <c r="K719" t="str">
        <f t="shared" si="79"/>
        <v>Unemployed</v>
      </c>
      <c r="L719">
        <v>1</v>
      </c>
      <c r="M719">
        <v>1905322</v>
      </c>
      <c r="N719">
        <f t="shared" si="80"/>
        <v>1905322</v>
      </c>
      <c r="O719">
        <v>383298</v>
      </c>
      <c r="P719" t="s">
        <v>3034</v>
      </c>
      <c r="Q719">
        <v>60</v>
      </c>
      <c r="R719" t="s">
        <v>3049</v>
      </c>
      <c r="S719" t="str">
        <f t="shared" si="81"/>
        <v>Business</v>
      </c>
      <c r="T719">
        <v>532</v>
      </c>
      <c r="U719">
        <f t="shared" si="82"/>
        <v>532</v>
      </c>
      <c r="V719">
        <v>2</v>
      </c>
      <c r="W719" t="s">
        <v>3056</v>
      </c>
      <c r="X719" s="3" t="s">
        <v>3605</v>
      </c>
      <c r="Y719" s="3">
        <f t="shared" si="83"/>
        <v>44713</v>
      </c>
      <c r="Z719">
        <v>0.20119999999999999</v>
      </c>
    </row>
    <row r="720" spans="1:26" x14ac:dyDescent="0.35">
      <c r="A720" t="s">
        <v>729</v>
      </c>
      <c r="B720" t="str">
        <f t="shared" si="77"/>
        <v>OK</v>
      </c>
      <c r="C720" t="s">
        <v>2218</v>
      </c>
      <c r="D720" s="2">
        <v>25</v>
      </c>
      <c r="E720">
        <f>IF(OR(D720&lt;18, D720&gt;100),AD719,D720)</f>
        <v>25</v>
      </c>
      <c r="F720" t="s">
        <v>2992</v>
      </c>
      <c r="G720" t="str">
        <f t="shared" si="78"/>
        <v>Female</v>
      </c>
      <c r="H720" t="s">
        <v>3005</v>
      </c>
      <c r="K720" t="str">
        <f t="shared" si="79"/>
        <v>Unknown</v>
      </c>
      <c r="L720">
        <v>19</v>
      </c>
      <c r="M720">
        <v>2196106</v>
      </c>
      <c r="N720">
        <f t="shared" si="80"/>
        <v>2196106</v>
      </c>
      <c r="O720">
        <v>96240</v>
      </c>
      <c r="P720">
        <v>26.26</v>
      </c>
      <c r="Q720">
        <v>24</v>
      </c>
      <c r="R720" t="s">
        <v>3048</v>
      </c>
      <c r="S720" t="str">
        <f t="shared" si="81"/>
        <v>Home Improvement</v>
      </c>
      <c r="T720">
        <v>568</v>
      </c>
      <c r="U720">
        <f t="shared" si="82"/>
        <v>568</v>
      </c>
      <c r="V720">
        <v>3</v>
      </c>
      <c r="W720" t="s">
        <v>3052</v>
      </c>
      <c r="X720" s="3" t="s">
        <v>3661</v>
      </c>
      <c r="Y720" s="3">
        <f t="shared" si="83"/>
        <v>44064</v>
      </c>
      <c r="Z720">
        <v>4.3799999999999999E-2</v>
      </c>
    </row>
    <row r="721" spans="1:26" x14ac:dyDescent="0.35">
      <c r="A721" t="s">
        <v>730</v>
      </c>
      <c r="B721" t="str">
        <f t="shared" si="77"/>
        <v>OK</v>
      </c>
      <c r="C721" t="s">
        <v>2219</v>
      </c>
      <c r="D721" s="2">
        <v>61</v>
      </c>
      <c r="E721">
        <f>IF(OR(D721&lt;18, D721&gt;100),AD720,D721)</f>
        <v>61</v>
      </c>
      <c r="F721" t="s">
        <v>2990</v>
      </c>
      <c r="G721" t="str">
        <f t="shared" si="78"/>
        <v>Male</v>
      </c>
      <c r="H721" t="s">
        <v>2999</v>
      </c>
      <c r="I721" t="s">
        <v>3018</v>
      </c>
      <c r="K721" t="str">
        <f t="shared" si="79"/>
        <v>Business Owner</v>
      </c>
      <c r="L721">
        <v>6</v>
      </c>
      <c r="M721">
        <v>1485487</v>
      </c>
      <c r="N721">
        <f t="shared" si="80"/>
        <v>1485487</v>
      </c>
      <c r="O721">
        <v>284852</v>
      </c>
      <c r="P721">
        <v>23.84</v>
      </c>
      <c r="Q721">
        <v>48</v>
      </c>
      <c r="R721" t="s">
        <v>3051</v>
      </c>
      <c r="S721" t="str">
        <f t="shared" si="81"/>
        <v>Education</v>
      </c>
      <c r="T721">
        <v>327</v>
      </c>
      <c r="U721">
        <f t="shared" si="82"/>
        <v>327</v>
      </c>
      <c r="V721">
        <v>5</v>
      </c>
      <c r="W721" t="s">
        <v>3053</v>
      </c>
      <c r="X721" s="3" t="s">
        <v>3662</v>
      </c>
      <c r="Y721" s="3">
        <f t="shared" si="83"/>
        <v>44576</v>
      </c>
      <c r="Z721">
        <v>0.1918</v>
      </c>
    </row>
    <row r="722" spans="1:26" x14ac:dyDescent="0.35">
      <c r="A722" t="s">
        <v>731</v>
      </c>
      <c r="B722" t="str">
        <f t="shared" si="77"/>
        <v>OK</v>
      </c>
      <c r="C722" t="s">
        <v>2220</v>
      </c>
      <c r="D722" s="2">
        <v>53</v>
      </c>
      <c r="E722">
        <f>IF(OR(D722&lt;18, D722&gt;100),AD721,D722)</f>
        <v>53</v>
      </c>
      <c r="F722" t="s">
        <v>2990</v>
      </c>
      <c r="G722" t="str">
        <f t="shared" si="78"/>
        <v>Male</v>
      </c>
      <c r="H722" t="s">
        <v>3000</v>
      </c>
      <c r="I722" t="s">
        <v>3019</v>
      </c>
      <c r="K722" t="str">
        <f t="shared" si="79"/>
        <v>Employed</v>
      </c>
      <c r="L722">
        <v>14</v>
      </c>
      <c r="M722">
        <v>2229927</v>
      </c>
      <c r="N722">
        <f t="shared" si="80"/>
        <v>2229927</v>
      </c>
      <c r="O722">
        <v>293452</v>
      </c>
      <c r="P722">
        <v>24.41</v>
      </c>
      <c r="Q722">
        <v>48</v>
      </c>
      <c r="R722" t="s">
        <v>3050</v>
      </c>
      <c r="S722" t="str">
        <f t="shared" si="81"/>
        <v>Agriculture</v>
      </c>
      <c r="U722">
        <f t="shared" si="82"/>
        <v>556</v>
      </c>
      <c r="V722">
        <v>6</v>
      </c>
      <c r="W722" t="s">
        <v>3055</v>
      </c>
      <c r="X722" s="3" t="s">
        <v>3098</v>
      </c>
      <c r="Y722" s="3">
        <f t="shared" si="83"/>
        <v>44291</v>
      </c>
      <c r="Z722">
        <v>0.13159999999999999</v>
      </c>
    </row>
    <row r="723" spans="1:26" x14ac:dyDescent="0.35">
      <c r="A723" t="s">
        <v>732</v>
      </c>
      <c r="B723" t="str">
        <f t="shared" si="77"/>
        <v>OK</v>
      </c>
      <c r="C723" t="s">
        <v>2221</v>
      </c>
      <c r="D723" s="2">
        <v>22</v>
      </c>
      <c r="E723">
        <f>IF(OR(D723&lt;18, D723&gt;100),AD722,D723)</f>
        <v>22</v>
      </c>
      <c r="F723" t="s">
        <v>2990</v>
      </c>
      <c r="G723" t="str">
        <f t="shared" si="78"/>
        <v>Male</v>
      </c>
      <c r="H723" t="s">
        <v>3002</v>
      </c>
      <c r="I723" t="s">
        <v>3018</v>
      </c>
      <c r="K723" t="str">
        <f t="shared" si="79"/>
        <v>Business Owner</v>
      </c>
      <c r="L723">
        <v>6</v>
      </c>
      <c r="M723">
        <v>1414915</v>
      </c>
      <c r="N723">
        <f t="shared" si="80"/>
        <v>1414915</v>
      </c>
      <c r="O723">
        <v>719895</v>
      </c>
      <c r="P723">
        <v>21.26</v>
      </c>
      <c r="Q723">
        <v>24</v>
      </c>
      <c r="R723" t="s">
        <v>3048</v>
      </c>
      <c r="S723" t="str">
        <f t="shared" si="81"/>
        <v>Home Improvement</v>
      </c>
      <c r="T723">
        <v>716</v>
      </c>
      <c r="U723">
        <f t="shared" si="82"/>
        <v>716</v>
      </c>
      <c r="V723">
        <v>1</v>
      </c>
      <c r="W723" t="s">
        <v>3054</v>
      </c>
      <c r="X723" s="3" t="s">
        <v>3663</v>
      </c>
      <c r="Y723" s="3">
        <f t="shared" si="83"/>
        <v>45121</v>
      </c>
      <c r="Z723">
        <v>0.50880000000000003</v>
      </c>
    </row>
    <row r="724" spans="1:26" x14ac:dyDescent="0.35">
      <c r="A724" t="s">
        <v>733</v>
      </c>
      <c r="B724" t="str">
        <f t="shared" si="77"/>
        <v>OK</v>
      </c>
      <c r="C724" t="s">
        <v>2222</v>
      </c>
      <c r="D724" s="2">
        <v>42</v>
      </c>
      <c r="E724">
        <f>IF(OR(D724&lt;18, D724&gt;100),AD723,D724)</f>
        <v>42</v>
      </c>
      <c r="F724" t="s">
        <v>2990</v>
      </c>
      <c r="G724" t="str">
        <f t="shared" si="78"/>
        <v>Male</v>
      </c>
      <c r="H724" t="s">
        <v>3003</v>
      </c>
      <c r="I724" t="s">
        <v>3019</v>
      </c>
      <c r="K724" t="str">
        <f t="shared" si="79"/>
        <v>Employed</v>
      </c>
      <c r="L724">
        <v>22</v>
      </c>
      <c r="M724">
        <v>1809311</v>
      </c>
      <c r="N724">
        <f t="shared" si="80"/>
        <v>1809311</v>
      </c>
      <c r="O724">
        <v>172353</v>
      </c>
      <c r="P724">
        <v>10.85</v>
      </c>
      <c r="Q724">
        <v>24</v>
      </c>
      <c r="R724" t="s">
        <v>3050</v>
      </c>
      <c r="S724" t="str">
        <f t="shared" si="81"/>
        <v>Agriculture</v>
      </c>
      <c r="T724">
        <v>528</v>
      </c>
      <c r="U724">
        <f t="shared" si="82"/>
        <v>528</v>
      </c>
      <c r="V724">
        <v>4</v>
      </c>
      <c r="W724" t="s">
        <v>3060</v>
      </c>
      <c r="X724" s="3" t="s">
        <v>3664</v>
      </c>
      <c r="Y724" s="3">
        <f t="shared" si="83"/>
        <v>45092</v>
      </c>
      <c r="Z724">
        <v>9.5299999999999996E-2</v>
      </c>
    </row>
    <row r="725" spans="1:26" x14ac:dyDescent="0.35">
      <c r="A725" t="s">
        <v>734</v>
      </c>
      <c r="B725" t="str">
        <f t="shared" si="77"/>
        <v>OK</v>
      </c>
      <c r="C725" t="s">
        <v>2223</v>
      </c>
      <c r="D725" s="2">
        <v>62</v>
      </c>
      <c r="E725">
        <f>IF(OR(D725&lt;18, D725&gt;100),AD724,D725)</f>
        <v>62</v>
      </c>
      <c r="F725" t="s">
        <v>2990</v>
      </c>
      <c r="G725" t="str">
        <f t="shared" si="78"/>
        <v>Male</v>
      </c>
      <c r="H725" t="s">
        <v>3003</v>
      </c>
      <c r="I725" t="s">
        <v>3019</v>
      </c>
      <c r="K725" t="str">
        <f t="shared" si="79"/>
        <v>Employed</v>
      </c>
      <c r="L725">
        <v>4</v>
      </c>
      <c r="N725">
        <f t="shared" si="80"/>
        <v>1333224</v>
      </c>
      <c r="O725">
        <v>447530</v>
      </c>
      <c r="P725">
        <v>27.55</v>
      </c>
      <c r="Q725">
        <v>12</v>
      </c>
      <c r="R725" t="s">
        <v>3046</v>
      </c>
      <c r="S725" t="str">
        <f t="shared" si="81"/>
        <v>Medical</v>
      </c>
      <c r="T725">
        <v>756</v>
      </c>
      <c r="U725">
        <f t="shared" si="82"/>
        <v>756</v>
      </c>
      <c r="V725">
        <v>7</v>
      </c>
      <c r="W725" t="s">
        <v>3052</v>
      </c>
      <c r="X725" s="3" t="s">
        <v>3665</v>
      </c>
      <c r="Y725" s="3">
        <f t="shared" si="83"/>
        <v>44449</v>
      </c>
      <c r="Z725">
        <v>0.21990000000000001</v>
      </c>
    </row>
    <row r="726" spans="1:26" x14ac:dyDescent="0.35">
      <c r="A726" t="s">
        <v>735</v>
      </c>
      <c r="B726" t="str">
        <f t="shared" si="77"/>
        <v>OK</v>
      </c>
      <c r="C726" t="s">
        <v>2224</v>
      </c>
      <c r="D726" s="2">
        <v>61</v>
      </c>
      <c r="E726">
        <f>IF(OR(D726&lt;18, D726&gt;100),AD725,D726)</f>
        <v>61</v>
      </c>
      <c r="F726" t="s">
        <v>2992</v>
      </c>
      <c r="G726" t="str">
        <f t="shared" si="78"/>
        <v>Female</v>
      </c>
      <c r="H726" t="s">
        <v>3002</v>
      </c>
      <c r="I726" t="s">
        <v>3020</v>
      </c>
      <c r="K726" t="str">
        <f t="shared" si="79"/>
        <v>Self-Employed</v>
      </c>
      <c r="L726">
        <v>8</v>
      </c>
      <c r="M726">
        <v>1544973</v>
      </c>
      <c r="N726">
        <f t="shared" si="80"/>
        <v>1544973</v>
      </c>
      <c r="O726">
        <v>58578</v>
      </c>
      <c r="P726">
        <v>8.27</v>
      </c>
      <c r="Q726">
        <v>48</v>
      </c>
      <c r="R726" t="s">
        <v>3051</v>
      </c>
      <c r="S726" t="str">
        <f t="shared" si="81"/>
        <v>Education</v>
      </c>
      <c r="T726">
        <v>500</v>
      </c>
      <c r="U726">
        <f t="shared" si="82"/>
        <v>500</v>
      </c>
      <c r="V726">
        <v>7</v>
      </c>
      <c r="W726" t="s">
        <v>3053</v>
      </c>
      <c r="X726" s="3" t="s">
        <v>3666</v>
      </c>
      <c r="Y726" s="3">
        <f t="shared" si="83"/>
        <v>44067</v>
      </c>
      <c r="Z726">
        <v>3.7900000000000003E-2</v>
      </c>
    </row>
    <row r="727" spans="1:26" x14ac:dyDescent="0.35">
      <c r="A727" t="s">
        <v>736</v>
      </c>
      <c r="B727" t="str">
        <f t="shared" si="77"/>
        <v>OK</v>
      </c>
      <c r="C727" t="s">
        <v>2225</v>
      </c>
      <c r="D727" s="2">
        <v>38</v>
      </c>
      <c r="E727">
        <f>IF(OR(D727&lt;18, D727&gt;100),AD726,D727)</f>
        <v>38</v>
      </c>
      <c r="F727" t="s">
        <v>2992</v>
      </c>
      <c r="G727" t="str">
        <f t="shared" si="78"/>
        <v>Female</v>
      </c>
      <c r="H727" t="s">
        <v>3002</v>
      </c>
      <c r="I727" t="s">
        <v>3020</v>
      </c>
      <c r="K727" t="str">
        <f t="shared" si="79"/>
        <v>Self-Employed</v>
      </c>
      <c r="L727">
        <v>8</v>
      </c>
      <c r="M727">
        <v>1273314</v>
      </c>
      <c r="N727">
        <f t="shared" si="80"/>
        <v>1273314</v>
      </c>
      <c r="O727">
        <v>513216</v>
      </c>
      <c r="P727">
        <v>19.14</v>
      </c>
      <c r="Q727">
        <v>48</v>
      </c>
      <c r="S727" t="str">
        <f t="shared" si="81"/>
        <v>Unknown</v>
      </c>
      <c r="U727">
        <f t="shared" si="82"/>
        <v>556</v>
      </c>
      <c r="V727">
        <v>3</v>
      </c>
      <c r="W727" t="s">
        <v>3053</v>
      </c>
      <c r="X727" s="3" t="s">
        <v>3667</v>
      </c>
      <c r="Y727" s="3">
        <f t="shared" si="83"/>
        <v>44778</v>
      </c>
      <c r="Z727">
        <v>0.40310000000000001</v>
      </c>
    </row>
    <row r="728" spans="1:26" x14ac:dyDescent="0.35">
      <c r="A728" t="s">
        <v>737</v>
      </c>
      <c r="B728" t="str">
        <f t="shared" si="77"/>
        <v>OK</v>
      </c>
      <c r="C728" t="s">
        <v>2226</v>
      </c>
      <c r="D728" s="2">
        <v>49</v>
      </c>
      <c r="E728">
        <f>IF(OR(D728&lt;18, D728&gt;100),AD727,D728)</f>
        <v>49</v>
      </c>
      <c r="F728" t="s">
        <v>2990</v>
      </c>
      <c r="G728" t="str">
        <f t="shared" si="78"/>
        <v>Male</v>
      </c>
      <c r="H728" t="s">
        <v>3002</v>
      </c>
      <c r="I728" t="s">
        <v>3020</v>
      </c>
      <c r="K728" t="str">
        <f t="shared" si="79"/>
        <v>Self-Employed</v>
      </c>
      <c r="L728">
        <v>19</v>
      </c>
      <c r="M728">
        <v>1673293</v>
      </c>
      <c r="N728">
        <f t="shared" si="80"/>
        <v>1673293</v>
      </c>
      <c r="O728">
        <v>783529</v>
      </c>
      <c r="P728">
        <v>14.83</v>
      </c>
      <c r="Q728">
        <v>36</v>
      </c>
      <c r="R728" t="s">
        <v>3048</v>
      </c>
      <c r="S728" t="str">
        <f t="shared" si="81"/>
        <v>Home Improvement</v>
      </c>
      <c r="T728">
        <v>336</v>
      </c>
      <c r="U728">
        <f t="shared" si="82"/>
        <v>336</v>
      </c>
      <c r="V728">
        <v>4</v>
      </c>
      <c r="W728" t="s">
        <v>3052</v>
      </c>
      <c r="X728" s="3" t="s">
        <v>3668</v>
      </c>
      <c r="Y728" s="3">
        <f t="shared" si="83"/>
        <v>44649</v>
      </c>
      <c r="Z728">
        <v>0.46829999999999999</v>
      </c>
    </row>
    <row r="729" spans="1:26" x14ac:dyDescent="0.35">
      <c r="A729" t="s">
        <v>738</v>
      </c>
      <c r="B729" t="str">
        <f t="shared" si="77"/>
        <v>OK</v>
      </c>
      <c r="C729" t="s">
        <v>2227</v>
      </c>
      <c r="D729" s="2">
        <v>31</v>
      </c>
      <c r="E729">
        <f>IF(OR(D729&lt;18, D729&gt;100),AD728,D729)</f>
        <v>31</v>
      </c>
      <c r="F729" t="s">
        <v>2992</v>
      </c>
      <c r="G729" t="str">
        <f t="shared" si="78"/>
        <v>Female</v>
      </c>
      <c r="H729" t="s">
        <v>3000</v>
      </c>
      <c r="I729" t="s">
        <v>3021</v>
      </c>
      <c r="K729" t="str">
        <f t="shared" si="79"/>
        <v>Unemployed</v>
      </c>
      <c r="L729">
        <v>5</v>
      </c>
      <c r="M729">
        <v>1406408</v>
      </c>
      <c r="N729">
        <f t="shared" si="80"/>
        <v>1406408</v>
      </c>
      <c r="O729">
        <v>539163</v>
      </c>
      <c r="P729">
        <v>25.6</v>
      </c>
      <c r="Q729">
        <v>60</v>
      </c>
      <c r="R729" t="s">
        <v>3051</v>
      </c>
      <c r="S729" t="str">
        <f t="shared" si="81"/>
        <v>Education</v>
      </c>
      <c r="T729">
        <v>579</v>
      </c>
      <c r="U729">
        <f t="shared" si="82"/>
        <v>579</v>
      </c>
      <c r="V729">
        <v>2</v>
      </c>
      <c r="W729" t="s">
        <v>3055</v>
      </c>
      <c r="X729" s="3" t="s">
        <v>3669</v>
      </c>
      <c r="Y729" s="3">
        <f t="shared" si="83"/>
        <v>44256</v>
      </c>
      <c r="Z729">
        <v>0.38340000000000002</v>
      </c>
    </row>
    <row r="730" spans="1:26" x14ac:dyDescent="0.35">
      <c r="A730" t="s">
        <v>739</v>
      </c>
      <c r="B730" t="str">
        <f t="shared" si="77"/>
        <v>OK</v>
      </c>
      <c r="C730" t="s">
        <v>2228</v>
      </c>
      <c r="D730" s="2">
        <v>27</v>
      </c>
      <c r="E730">
        <f>IF(OR(D730&lt;18, D730&gt;100),AD729,D730)</f>
        <v>27</v>
      </c>
      <c r="F730" t="s">
        <v>2990</v>
      </c>
      <c r="G730" t="str">
        <f t="shared" si="78"/>
        <v>Male</v>
      </c>
      <c r="H730" t="s">
        <v>3000</v>
      </c>
      <c r="I730" t="s">
        <v>3018</v>
      </c>
      <c r="K730" t="str">
        <f t="shared" si="79"/>
        <v>Business Owner</v>
      </c>
      <c r="L730">
        <v>7</v>
      </c>
      <c r="M730">
        <v>1910228</v>
      </c>
      <c r="N730">
        <f t="shared" si="80"/>
        <v>1910228</v>
      </c>
      <c r="O730">
        <v>188785</v>
      </c>
      <c r="P730">
        <v>9.8800000000000008</v>
      </c>
      <c r="Q730">
        <v>24</v>
      </c>
      <c r="R730" t="s">
        <v>3048</v>
      </c>
      <c r="S730" t="str">
        <f t="shared" si="81"/>
        <v>Home Improvement</v>
      </c>
      <c r="T730">
        <v>518</v>
      </c>
      <c r="U730">
        <f t="shared" si="82"/>
        <v>518</v>
      </c>
      <c r="V730">
        <v>6</v>
      </c>
      <c r="W730" t="s">
        <v>3052</v>
      </c>
      <c r="X730" s="3" t="s">
        <v>3262</v>
      </c>
      <c r="Y730" s="3">
        <f t="shared" si="83"/>
        <v>44149</v>
      </c>
      <c r="Z730">
        <v>9.8799999999999999E-2</v>
      </c>
    </row>
    <row r="731" spans="1:26" x14ac:dyDescent="0.35">
      <c r="A731" t="s">
        <v>740</v>
      </c>
      <c r="B731" t="str">
        <f t="shared" si="77"/>
        <v>OK</v>
      </c>
      <c r="C731" t="s">
        <v>2229</v>
      </c>
      <c r="D731" s="2">
        <v>30</v>
      </c>
      <c r="E731">
        <f>IF(OR(D731&lt;18, D731&gt;100),AD730,D731)</f>
        <v>30</v>
      </c>
      <c r="F731" t="s">
        <v>2992</v>
      </c>
      <c r="G731" t="str">
        <f t="shared" si="78"/>
        <v>Female</v>
      </c>
      <c r="H731" t="s">
        <v>3006</v>
      </c>
      <c r="I731" t="s">
        <v>3021</v>
      </c>
      <c r="K731" t="str">
        <f t="shared" si="79"/>
        <v>Unemployed</v>
      </c>
      <c r="L731">
        <v>13</v>
      </c>
      <c r="M731">
        <v>667510</v>
      </c>
      <c r="N731">
        <f t="shared" si="80"/>
        <v>667510</v>
      </c>
      <c r="O731">
        <v>518682</v>
      </c>
      <c r="P731">
        <v>19.73</v>
      </c>
      <c r="Q731">
        <v>24</v>
      </c>
      <c r="R731" t="s">
        <v>3049</v>
      </c>
      <c r="S731" t="str">
        <f t="shared" si="81"/>
        <v>Business</v>
      </c>
      <c r="T731">
        <v>544</v>
      </c>
      <c r="U731">
        <f t="shared" si="82"/>
        <v>544</v>
      </c>
      <c r="V731">
        <v>6</v>
      </c>
      <c r="W731" t="s">
        <v>3053</v>
      </c>
      <c r="X731" s="3" t="s">
        <v>3670</v>
      </c>
      <c r="Y731" s="3">
        <f t="shared" si="83"/>
        <v>43886</v>
      </c>
      <c r="Z731">
        <v>0.77700000000000002</v>
      </c>
    </row>
    <row r="732" spans="1:26" x14ac:dyDescent="0.35">
      <c r="A732" t="s">
        <v>741</v>
      </c>
      <c r="B732" t="str">
        <f t="shared" si="77"/>
        <v>OK</v>
      </c>
      <c r="C732" t="s">
        <v>2230</v>
      </c>
      <c r="D732" s="2">
        <v>55</v>
      </c>
      <c r="E732">
        <f>IF(OR(D732&lt;18, D732&gt;100),AD731,D732)</f>
        <v>55</v>
      </c>
      <c r="F732" t="s">
        <v>2992</v>
      </c>
      <c r="G732" t="str">
        <f t="shared" si="78"/>
        <v>Female</v>
      </c>
      <c r="H732" t="s">
        <v>2999</v>
      </c>
      <c r="I732" t="s">
        <v>3021</v>
      </c>
      <c r="K732" t="str">
        <f t="shared" si="79"/>
        <v>Unemployed</v>
      </c>
      <c r="L732">
        <v>3</v>
      </c>
      <c r="M732">
        <v>1959685</v>
      </c>
      <c r="N732">
        <f t="shared" si="80"/>
        <v>1959685</v>
      </c>
      <c r="O732">
        <v>693422</v>
      </c>
      <c r="P732">
        <v>15.74</v>
      </c>
      <c r="Q732">
        <v>48</v>
      </c>
      <c r="R732" t="s">
        <v>3047</v>
      </c>
      <c r="S732" t="str">
        <f t="shared" si="81"/>
        <v>Personal</v>
      </c>
      <c r="T732">
        <v>460</v>
      </c>
      <c r="U732">
        <f t="shared" si="82"/>
        <v>460</v>
      </c>
      <c r="V732">
        <v>4</v>
      </c>
      <c r="W732" t="s">
        <v>3055</v>
      </c>
      <c r="X732" s="3" t="s">
        <v>3614</v>
      </c>
      <c r="Y732" s="3">
        <f t="shared" si="83"/>
        <v>44990</v>
      </c>
      <c r="Z732">
        <v>0.3538</v>
      </c>
    </row>
    <row r="733" spans="1:26" x14ac:dyDescent="0.35">
      <c r="A733" t="s">
        <v>742</v>
      </c>
      <c r="B733" t="str">
        <f t="shared" si="77"/>
        <v>OK</v>
      </c>
      <c r="C733" t="s">
        <v>2231</v>
      </c>
      <c r="D733" s="2">
        <v>49</v>
      </c>
      <c r="E733">
        <f>IF(OR(D733&lt;18, D733&gt;100),AD732,D733)</f>
        <v>49</v>
      </c>
      <c r="F733" t="s">
        <v>2990</v>
      </c>
      <c r="G733" t="str">
        <f t="shared" si="78"/>
        <v>Male</v>
      </c>
      <c r="H733" t="s">
        <v>3002</v>
      </c>
      <c r="I733" t="s">
        <v>3021</v>
      </c>
      <c r="K733" t="str">
        <f t="shared" si="79"/>
        <v>Unemployed</v>
      </c>
      <c r="L733">
        <v>26</v>
      </c>
      <c r="M733">
        <v>437681</v>
      </c>
      <c r="N733">
        <f t="shared" si="80"/>
        <v>437681</v>
      </c>
      <c r="O733">
        <v>798493</v>
      </c>
      <c r="P733">
        <v>12.67</v>
      </c>
      <c r="Q733">
        <v>60</v>
      </c>
      <c r="R733" t="s">
        <v>3049</v>
      </c>
      <c r="S733" t="str">
        <f t="shared" si="81"/>
        <v>Business</v>
      </c>
      <c r="T733">
        <v>513</v>
      </c>
      <c r="U733">
        <f t="shared" si="82"/>
        <v>513</v>
      </c>
      <c r="V733">
        <v>4</v>
      </c>
      <c r="W733" t="s">
        <v>3056</v>
      </c>
      <c r="X733" s="3" t="s">
        <v>3621</v>
      </c>
      <c r="Y733" s="3">
        <f t="shared" si="83"/>
        <v>45182</v>
      </c>
      <c r="Z733">
        <v>1.8244</v>
      </c>
    </row>
    <row r="734" spans="1:26" x14ac:dyDescent="0.35">
      <c r="A734" t="s">
        <v>743</v>
      </c>
      <c r="B734" t="str">
        <f t="shared" si="77"/>
        <v>OK</v>
      </c>
      <c r="C734" t="s">
        <v>2232</v>
      </c>
      <c r="D734" s="2">
        <v>32</v>
      </c>
      <c r="E734">
        <f>IF(OR(D734&lt;18, D734&gt;100),AD733,D734)</f>
        <v>32</v>
      </c>
      <c r="F734" t="s">
        <v>2990</v>
      </c>
      <c r="G734" t="str">
        <f t="shared" si="78"/>
        <v>Male</v>
      </c>
      <c r="H734" t="s">
        <v>3007</v>
      </c>
      <c r="I734" t="s">
        <v>3018</v>
      </c>
      <c r="K734" t="str">
        <f t="shared" si="79"/>
        <v>Business Owner</v>
      </c>
      <c r="L734">
        <v>9</v>
      </c>
      <c r="M734">
        <v>1107460</v>
      </c>
      <c r="N734">
        <f t="shared" si="80"/>
        <v>1107460</v>
      </c>
      <c r="O734">
        <v>604010</v>
      </c>
      <c r="P734">
        <v>17.079999999999998</v>
      </c>
      <c r="Q734">
        <v>24</v>
      </c>
      <c r="R734" t="s">
        <v>3051</v>
      </c>
      <c r="S734" t="str">
        <f t="shared" si="81"/>
        <v>Education</v>
      </c>
      <c r="T734">
        <v>431</v>
      </c>
      <c r="U734">
        <f t="shared" si="82"/>
        <v>431</v>
      </c>
      <c r="V734">
        <v>2</v>
      </c>
      <c r="W734" t="s">
        <v>3055</v>
      </c>
      <c r="X734" s="3" t="s">
        <v>3671</v>
      </c>
      <c r="Y734" s="3">
        <f t="shared" si="83"/>
        <v>44393</v>
      </c>
      <c r="Z734">
        <v>0.5454</v>
      </c>
    </row>
    <row r="735" spans="1:26" x14ac:dyDescent="0.35">
      <c r="A735" t="s">
        <v>744</v>
      </c>
      <c r="B735" t="str">
        <f t="shared" si="77"/>
        <v>OK</v>
      </c>
      <c r="C735" t="s">
        <v>2233</v>
      </c>
      <c r="D735" s="2">
        <v>48</v>
      </c>
      <c r="E735">
        <f>IF(OR(D735&lt;18, D735&gt;100),AD734,D735)</f>
        <v>48</v>
      </c>
      <c r="F735" t="s">
        <v>2992</v>
      </c>
      <c r="G735" t="str">
        <f t="shared" si="78"/>
        <v>Female</v>
      </c>
      <c r="H735" t="s">
        <v>3007</v>
      </c>
      <c r="I735" t="s">
        <v>3019</v>
      </c>
      <c r="K735" t="str">
        <f t="shared" si="79"/>
        <v>Employed</v>
      </c>
      <c r="L735">
        <v>0</v>
      </c>
      <c r="M735">
        <v>1661006</v>
      </c>
      <c r="N735">
        <f t="shared" si="80"/>
        <v>1661006</v>
      </c>
      <c r="O735">
        <v>694331</v>
      </c>
      <c r="P735">
        <v>14.35</v>
      </c>
      <c r="Q735">
        <v>48</v>
      </c>
      <c r="R735" t="s">
        <v>3051</v>
      </c>
      <c r="S735" t="str">
        <f t="shared" si="81"/>
        <v>Education</v>
      </c>
      <c r="T735">
        <v>522</v>
      </c>
      <c r="U735">
        <f t="shared" si="82"/>
        <v>522</v>
      </c>
      <c r="V735">
        <v>6</v>
      </c>
      <c r="W735" t="s">
        <v>3055</v>
      </c>
      <c r="X735" s="3" t="s">
        <v>3672</v>
      </c>
      <c r="Y735" s="3">
        <f t="shared" si="83"/>
        <v>44379</v>
      </c>
      <c r="Z735">
        <v>0.41799999999999998</v>
      </c>
    </row>
    <row r="736" spans="1:26" x14ac:dyDescent="0.35">
      <c r="A736" t="s">
        <v>745</v>
      </c>
      <c r="B736" t="str">
        <f t="shared" si="77"/>
        <v>OK</v>
      </c>
      <c r="C736" t="s">
        <v>2234</v>
      </c>
      <c r="D736" s="2">
        <v>44</v>
      </c>
      <c r="E736">
        <f>IF(OR(D736&lt;18, D736&gt;100),AD735,D736)</f>
        <v>44</v>
      </c>
      <c r="F736" t="s">
        <v>2992</v>
      </c>
      <c r="G736" t="str">
        <f t="shared" si="78"/>
        <v>Female</v>
      </c>
      <c r="H736" t="s">
        <v>3003</v>
      </c>
      <c r="I736" t="s">
        <v>3020</v>
      </c>
      <c r="K736" t="str">
        <f t="shared" si="79"/>
        <v>Self-Employed</v>
      </c>
      <c r="L736">
        <v>18</v>
      </c>
      <c r="M736">
        <v>989178</v>
      </c>
      <c r="N736">
        <f t="shared" si="80"/>
        <v>989178</v>
      </c>
      <c r="O736">
        <v>472413</v>
      </c>
      <c r="P736">
        <v>17.16</v>
      </c>
      <c r="Q736">
        <v>36</v>
      </c>
      <c r="R736" t="s">
        <v>3049</v>
      </c>
      <c r="S736" t="str">
        <f t="shared" si="81"/>
        <v>Business</v>
      </c>
      <c r="T736">
        <v>387</v>
      </c>
      <c r="U736">
        <f t="shared" si="82"/>
        <v>387</v>
      </c>
      <c r="V736">
        <v>4</v>
      </c>
      <c r="W736" t="s">
        <v>3053</v>
      </c>
      <c r="X736" s="3" t="s">
        <v>3673</v>
      </c>
      <c r="Y736" s="3">
        <f t="shared" si="83"/>
        <v>44666</v>
      </c>
      <c r="Z736">
        <v>0.47760000000000002</v>
      </c>
    </row>
    <row r="737" spans="1:26" x14ac:dyDescent="0.35">
      <c r="A737" t="s">
        <v>746</v>
      </c>
      <c r="B737" t="str">
        <f t="shared" si="77"/>
        <v>OK</v>
      </c>
      <c r="C737" t="s">
        <v>2235</v>
      </c>
      <c r="D737" s="2">
        <v>43</v>
      </c>
      <c r="E737">
        <f>IF(OR(D737&lt;18, D737&gt;100),AD736,D737)</f>
        <v>43</v>
      </c>
      <c r="F737" t="s">
        <v>2992</v>
      </c>
      <c r="G737" t="str">
        <f t="shared" si="78"/>
        <v>Female</v>
      </c>
      <c r="H737" t="s">
        <v>3003</v>
      </c>
      <c r="I737" t="s">
        <v>3019</v>
      </c>
      <c r="K737" t="str">
        <f t="shared" si="79"/>
        <v>Employed</v>
      </c>
      <c r="L737">
        <v>12</v>
      </c>
      <c r="M737">
        <v>1482887</v>
      </c>
      <c r="N737">
        <f t="shared" si="80"/>
        <v>1482887</v>
      </c>
      <c r="O737">
        <v>788917</v>
      </c>
      <c r="P737">
        <v>13.61</v>
      </c>
      <c r="Q737">
        <v>36</v>
      </c>
      <c r="R737" t="s">
        <v>3048</v>
      </c>
      <c r="S737" t="str">
        <f t="shared" si="81"/>
        <v>Home Improvement</v>
      </c>
      <c r="T737">
        <v>631</v>
      </c>
      <c r="U737">
        <f t="shared" si="82"/>
        <v>631</v>
      </c>
      <c r="V737">
        <v>7</v>
      </c>
      <c r="W737" t="s">
        <v>3056</v>
      </c>
      <c r="X737" s="3" t="s">
        <v>3146</v>
      </c>
      <c r="Y737" s="3">
        <f t="shared" si="83"/>
        <v>44935</v>
      </c>
      <c r="Z737">
        <v>0.53200000000000003</v>
      </c>
    </row>
    <row r="738" spans="1:26" x14ac:dyDescent="0.35">
      <c r="A738" t="s">
        <v>747</v>
      </c>
      <c r="B738" t="str">
        <f t="shared" si="77"/>
        <v>OK</v>
      </c>
      <c r="C738" t="s">
        <v>2236</v>
      </c>
      <c r="D738" s="2">
        <v>35</v>
      </c>
      <c r="E738">
        <f>IF(OR(D738&lt;18, D738&gt;100),AD737,D738)</f>
        <v>35</v>
      </c>
      <c r="F738" t="s">
        <v>2992</v>
      </c>
      <c r="G738" t="str">
        <f t="shared" si="78"/>
        <v>Female</v>
      </c>
      <c r="H738" t="s">
        <v>3001</v>
      </c>
      <c r="I738" t="s">
        <v>3020</v>
      </c>
      <c r="K738" t="str">
        <f t="shared" si="79"/>
        <v>Self-Employed</v>
      </c>
      <c r="L738">
        <v>21</v>
      </c>
      <c r="M738">
        <v>1864351</v>
      </c>
      <c r="N738">
        <f t="shared" si="80"/>
        <v>1864351</v>
      </c>
      <c r="O738">
        <v>533942</v>
      </c>
      <c r="P738">
        <v>12.28</v>
      </c>
      <c r="Q738">
        <v>24</v>
      </c>
      <c r="R738" t="s">
        <v>3047</v>
      </c>
      <c r="S738" t="str">
        <f t="shared" si="81"/>
        <v>Personal</v>
      </c>
      <c r="T738">
        <v>781</v>
      </c>
      <c r="U738">
        <f t="shared" si="82"/>
        <v>781</v>
      </c>
      <c r="V738">
        <v>0</v>
      </c>
      <c r="W738" t="s">
        <v>3055</v>
      </c>
      <c r="X738" s="3" t="s">
        <v>3674</v>
      </c>
      <c r="Y738" s="3">
        <f t="shared" si="83"/>
        <v>44073</v>
      </c>
      <c r="Z738">
        <v>0.28639999999999999</v>
      </c>
    </row>
    <row r="739" spans="1:26" x14ac:dyDescent="0.35">
      <c r="A739" t="s">
        <v>748</v>
      </c>
      <c r="B739" t="str">
        <f t="shared" si="77"/>
        <v>OK</v>
      </c>
      <c r="C739" t="s">
        <v>2237</v>
      </c>
      <c r="D739" s="2">
        <v>23</v>
      </c>
      <c r="E739">
        <f>IF(OR(D739&lt;18, D739&gt;100),AD738,D739)</f>
        <v>23</v>
      </c>
      <c r="F739" t="s">
        <v>2992</v>
      </c>
      <c r="G739" t="str">
        <f t="shared" si="78"/>
        <v>Female</v>
      </c>
      <c r="H739" t="s">
        <v>2998</v>
      </c>
      <c r="I739" t="s">
        <v>3018</v>
      </c>
      <c r="K739" t="str">
        <f t="shared" si="79"/>
        <v>Business Owner</v>
      </c>
      <c r="L739">
        <v>26</v>
      </c>
      <c r="M739">
        <v>1630503</v>
      </c>
      <c r="N739">
        <f t="shared" si="80"/>
        <v>1630503</v>
      </c>
      <c r="O739">
        <v>565096</v>
      </c>
      <c r="P739">
        <v>26.71</v>
      </c>
      <c r="Q739">
        <v>60</v>
      </c>
      <c r="R739" t="s">
        <v>3050</v>
      </c>
      <c r="S739" t="str">
        <f t="shared" si="81"/>
        <v>Agriculture</v>
      </c>
      <c r="T739">
        <v>361</v>
      </c>
      <c r="U739">
        <f t="shared" si="82"/>
        <v>361</v>
      </c>
      <c r="V739">
        <v>6</v>
      </c>
      <c r="W739" t="s">
        <v>3056</v>
      </c>
      <c r="X739" s="3" t="s">
        <v>3675</v>
      </c>
      <c r="Y739" s="3">
        <f t="shared" si="83"/>
        <v>45026</v>
      </c>
      <c r="Z739">
        <v>0.34660000000000002</v>
      </c>
    </row>
    <row r="740" spans="1:26" x14ac:dyDescent="0.35">
      <c r="A740" t="s">
        <v>749</v>
      </c>
      <c r="B740" t="str">
        <f t="shared" si="77"/>
        <v>OK</v>
      </c>
      <c r="C740" t="s">
        <v>2238</v>
      </c>
      <c r="D740" s="2">
        <v>41</v>
      </c>
      <c r="E740">
        <f>IF(OR(D740&lt;18, D740&gt;100),AD739,D740)</f>
        <v>41</v>
      </c>
      <c r="F740" t="s">
        <v>2990</v>
      </c>
      <c r="G740" t="str">
        <f t="shared" si="78"/>
        <v>Male</v>
      </c>
      <c r="H740" t="s">
        <v>3007</v>
      </c>
      <c r="I740" t="s">
        <v>3018</v>
      </c>
      <c r="K740" t="str">
        <f t="shared" si="79"/>
        <v>Business Owner</v>
      </c>
      <c r="L740">
        <v>26</v>
      </c>
      <c r="M740">
        <v>1471210</v>
      </c>
      <c r="N740">
        <f t="shared" si="80"/>
        <v>1471210</v>
      </c>
      <c r="O740">
        <v>744174</v>
      </c>
      <c r="P740">
        <v>12.17</v>
      </c>
      <c r="Q740">
        <v>12</v>
      </c>
      <c r="R740" t="s">
        <v>3048</v>
      </c>
      <c r="S740" t="str">
        <f t="shared" si="81"/>
        <v>Home Improvement</v>
      </c>
      <c r="T740">
        <v>710</v>
      </c>
      <c r="U740">
        <f t="shared" si="82"/>
        <v>710</v>
      </c>
      <c r="V740">
        <v>0</v>
      </c>
      <c r="W740" t="s">
        <v>3056</v>
      </c>
      <c r="X740" s="3" t="s">
        <v>3676</v>
      </c>
      <c r="Y740" s="3">
        <f t="shared" si="83"/>
        <v>44508</v>
      </c>
      <c r="Z740">
        <v>0.50580000000000003</v>
      </c>
    </row>
    <row r="741" spans="1:26" x14ac:dyDescent="0.35">
      <c r="A741" t="s">
        <v>750</v>
      </c>
      <c r="B741" t="str">
        <f t="shared" si="77"/>
        <v>OK</v>
      </c>
      <c r="C741" t="s">
        <v>2239</v>
      </c>
      <c r="D741" s="2">
        <v>41</v>
      </c>
      <c r="E741">
        <f>IF(OR(D741&lt;18, D741&gt;100),AD740,D741)</f>
        <v>41</v>
      </c>
      <c r="F741" t="s">
        <v>2992</v>
      </c>
      <c r="G741" t="str">
        <f t="shared" si="78"/>
        <v>Female</v>
      </c>
      <c r="H741" t="s">
        <v>3005</v>
      </c>
      <c r="I741" t="s">
        <v>3018</v>
      </c>
      <c r="K741" t="str">
        <f t="shared" si="79"/>
        <v>Business Owner</v>
      </c>
      <c r="L741">
        <v>6</v>
      </c>
      <c r="M741">
        <v>1323051</v>
      </c>
      <c r="N741">
        <f t="shared" si="80"/>
        <v>1323051</v>
      </c>
      <c r="O741">
        <v>313052</v>
      </c>
      <c r="P741">
        <v>24.48</v>
      </c>
      <c r="Q741">
        <v>48</v>
      </c>
      <c r="R741" t="s">
        <v>3047</v>
      </c>
      <c r="S741" t="str">
        <f t="shared" si="81"/>
        <v>Personal</v>
      </c>
      <c r="T741">
        <v>792</v>
      </c>
      <c r="U741">
        <f t="shared" si="82"/>
        <v>792</v>
      </c>
      <c r="V741">
        <v>5</v>
      </c>
      <c r="W741" t="s">
        <v>3052</v>
      </c>
      <c r="X741" s="3" t="s">
        <v>3677</v>
      </c>
      <c r="Y741" s="3">
        <f t="shared" si="83"/>
        <v>44820</v>
      </c>
      <c r="Z741">
        <v>0.2366</v>
      </c>
    </row>
    <row r="742" spans="1:26" x14ac:dyDescent="0.35">
      <c r="A742" t="s">
        <v>751</v>
      </c>
      <c r="B742" t="str">
        <f t="shared" si="77"/>
        <v>OK</v>
      </c>
      <c r="C742" t="s">
        <v>2240</v>
      </c>
      <c r="D742" s="2">
        <v>55</v>
      </c>
      <c r="E742">
        <f>IF(OR(D742&lt;18, D742&gt;100),AD741,D742)</f>
        <v>55</v>
      </c>
      <c r="F742" t="s">
        <v>2992</v>
      </c>
      <c r="G742" t="str">
        <f t="shared" si="78"/>
        <v>Female</v>
      </c>
      <c r="H742" t="s">
        <v>3004</v>
      </c>
      <c r="I742" t="s">
        <v>3021</v>
      </c>
      <c r="K742" t="str">
        <f t="shared" si="79"/>
        <v>Unemployed</v>
      </c>
      <c r="L742">
        <v>12</v>
      </c>
      <c r="M742">
        <v>1642436</v>
      </c>
      <c r="N742">
        <f t="shared" si="80"/>
        <v>1642436</v>
      </c>
      <c r="O742">
        <v>654102</v>
      </c>
      <c r="P742">
        <v>24.24</v>
      </c>
      <c r="Q742">
        <v>36</v>
      </c>
      <c r="R742" t="s">
        <v>3049</v>
      </c>
      <c r="S742" t="str">
        <f t="shared" si="81"/>
        <v>Business</v>
      </c>
      <c r="T742">
        <v>681</v>
      </c>
      <c r="U742">
        <f t="shared" si="82"/>
        <v>681</v>
      </c>
      <c r="V742">
        <v>6</v>
      </c>
      <c r="W742" t="s">
        <v>3055</v>
      </c>
      <c r="X742" s="3" t="s">
        <v>3134</v>
      </c>
      <c r="Y742" s="3">
        <f t="shared" si="83"/>
        <v>45072</v>
      </c>
      <c r="Z742">
        <v>0.39829999999999999</v>
      </c>
    </row>
    <row r="743" spans="1:26" x14ac:dyDescent="0.35">
      <c r="A743" t="s">
        <v>752</v>
      </c>
      <c r="B743" t="str">
        <f t="shared" si="77"/>
        <v>OK</v>
      </c>
      <c r="C743" t="s">
        <v>2241</v>
      </c>
      <c r="D743" s="2">
        <v>30</v>
      </c>
      <c r="E743">
        <f>IF(OR(D743&lt;18, D743&gt;100),AD742,D743)</f>
        <v>30</v>
      </c>
      <c r="F743" t="s">
        <v>2992</v>
      </c>
      <c r="G743" t="str">
        <f t="shared" si="78"/>
        <v>Female</v>
      </c>
      <c r="H743" t="s">
        <v>3000</v>
      </c>
      <c r="I743" t="s">
        <v>3018</v>
      </c>
      <c r="K743" t="str">
        <f t="shared" si="79"/>
        <v>Business Owner</v>
      </c>
      <c r="L743">
        <v>17</v>
      </c>
      <c r="M743">
        <v>-976184</v>
      </c>
      <c r="N743">
        <f t="shared" si="80"/>
        <v>1333224</v>
      </c>
      <c r="O743">
        <v>326093</v>
      </c>
      <c r="P743">
        <v>13.05</v>
      </c>
      <c r="Q743">
        <v>36</v>
      </c>
      <c r="R743" t="s">
        <v>3051</v>
      </c>
      <c r="S743" t="str">
        <f t="shared" si="81"/>
        <v>Education</v>
      </c>
      <c r="U743">
        <f t="shared" si="82"/>
        <v>556</v>
      </c>
      <c r="V743">
        <v>3</v>
      </c>
      <c r="W743" t="s">
        <v>3057</v>
      </c>
      <c r="X743" s="3" t="s">
        <v>3678</v>
      </c>
      <c r="Y743" s="3">
        <f t="shared" si="83"/>
        <v>44202</v>
      </c>
      <c r="Z743">
        <v>0.33400000000000002</v>
      </c>
    </row>
    <row r="744" spans="1:26" x14ac:dyDescent="0.35">
      <c r="A744" t="s">
        <v>753</v>
      </c>
      <c r="B744" t="str">
        <f t="shared" si="77"/>
        <v>OK</v>
      </c>
      <c r="C744" t="s">
        <v>2242</v>
      </c>
      <c r="D744" s="2">
        <v>62</v>
      </c>
      <c r="E744">
        <f>IF(OR(D744&lt;18, D744&gt;100),AD743,D744)</f>
        <v>62</v>
      </c>
      <c r="F744" t="s">
        <v>2992</v>
      </c>
      <c r="G744" t="str">
        <f t="shared" si="78"/>
        <v>Female</v>
      </c>
      <c r="H744" t="s">
        <v>2998</v>
      </c>
      <c r="I744" t="s">
        <v>3018</v>
      </c>
      <c r="K744" t="str">
        <f t="shared" si="79"/>
        <v>Business Owner</v>
      </c>
      <c r="L744">
        <v>4</v>
      </c>
      <c r="M744">
        <v>2222823</v>
      </c>
      <c r="N744">
        <f t="shared" si="80"/>
        <v>2222823</v>
      </c>
      <c r="O744">
        <v>127096</v>
      </c>
      <c r="P744">
        <v>24.11</v>
      </c>
      <c r="Q744">
        <v>24</v>
      </c>
      <c r="R744" t="s">
        <v>3048</v>
      </c>
      <c r="S744" t="str">
        <f t="shared" si="81"/>
        <v>Home Improvement</v>
      </c>
      <c r="T744">
        <v>724</v>
      </c>
      <c r="U744">
        <f t="shared" si="82"/>
        <v>724</v>
      </c>
      <c r="V744">
        <v>0</v>
      </c>
      <c r="W744" t="s">
        <v>3056</v>
      </c>
      <c r="X744" s="3" t="s">
        <v>3679</v>
      </c>
      <c r="Y744" s="3">
        <v>44943</v>
      </c>
      <c r="Z744">
        <v>5.7200000000000001E-2</v>
      </c>
    </row>
    <row r="745" spans="1:26" x14ac:dyDescent="0.35">
      <c r="A745" t="s">
        <v>754</v>
      </c>
      <c r="B745" t="str">
        <f t="shared" si="77"/>
        <v>OK</v>
      </c>
      <c r="C745" t="s">
        <v>2243</v>
      </c>
      <c r="D745" s="2">
        <v>39</v>
      </c>
      <c r="E745">
        <f>IF(OR(D745&lt;18, D745&gt;100),AD744,D745)</f>
        <v>39</v>
      </c>
      <c r="F745" t="s">
        <v>2990</v>
      </c>
      <c r="G745" t="str">
        <f t="shared" si="78"/>
        <v>Male</v>
      </c>
      <c r="H745" t="s">
        <v>3000</v>
      </c>
      <c r="I745" t="s">
        <v>3021</v>
      </c>
      <c r="K745" t="str">
        <f t="shared" si="79"/>
        <v>Unemployed</v>
      </c>
      <c r="L745">
        <v>25</v>
      </c>
      <c r="M745">
        <v>1815288</v>
      </c>
      <c r="N745">
        <f t="shared" si="80"/>
        <v>1815288</v>
      </c>
      <c r="O745">
        <v>606349</v>
      </c>
      <c r="P745">
        <v>26.83</v>
      </c>
      <c r="Q745">
        <v>12</v>
      </c>
      <c r="R745" t="s">
        <v>3048</v>
      </c>
      <c r="S745" t="str">
        <f t="shared" si="81"/>
        <v>Home Improvement</v>
      </c>
      <c r="T745">
        <v>50</v>
      </c>
      <c r="U745">
        <f t="shared" si="82"/>
        <v>50</v>
      </c>
      <c r="V745">
        <v>6</v>
      </c>
      <c r="W745" t="s">
        <v>3052</v>
      </c>
      <c r="X745" s="3" t="s">
        <v>3331</v>
      </c>
      <c r="Y745" s="3">
        <f t="shared" si="83"/>
        <v>44964</v>
      </c>
      <c r="Z745">
        <v>0.33400000000000002</v>
      </c>
    </row>
    <row r="746" spans="1:26" x14ac:dyDescent="0.35">
      <c r="A746" t="s">
        <v>755</v>
      </c>
      <c r="B746" t="str">
        <f t="shared" si="77"/>
        <v>OK</v>
      </c>
      <c r="C746" t="s">
        <v>2244</v>
      </c>
      <c r="D746" s="2">
        <v>64</v>
      </c>
      <c r="E746">
        <f>IF(OR(D746&lt;18, D746&gt;100),AD745,D746)</f>
        <v>64</v>
      </c>
      <c r="F746" t="s">
        <v>2990</v>
      </c>
      <c r="G746" t="str">
        <f t="shared" si="78"/>
        <v>Male</v>
      </c>
      <c r="H746" t="s">
        <v>3007</v>
      </c>
      <c r="I746" t="s">
        <v>3019</v>
      </c>
      <c r="K746" t="str">
        <f t="shared" si="79"/>
        <v>Employed</v>
      </c>
      <c r="L746">
        <v>5</v>
      </c>
      <c r="M746">
        <v>1959240</v>
      </c>
      <c r="N746">
        <f t="shared" si="80"/>
        <v>1959240</v>
      </c>
      <c r="O746">
        <v>261225</v>
      </c>
      <c r="P746">
        <v>16.600000000000001</v>
      </c>
      <c r="Q746">
        <v>48</v>
      </c>
      <c r="R746" t="s">
        <v>3048</v>
      </c>
      <c r="S746" t="str">
        <f t="shared" si="81"/>
        <v>Home Improvement</v>
      </c>
      <c r="T746">
        <v>701</v>
      </c>
      <c r="U746">
        <f t="shared" si="82"/>
        <v>701</v>
      </c>
      <c r="V746">
        <v>5</v>
      </c>
      <c r="W746" t="s">
        <v>3052</v>
      </c>
      <c r="X746" s="3" t="s">
        <v>3112</v>
      </c>
      <c r="Y746" s="3">
        <f t="shared" si="83"/>
        <v>44760</v>
      </c>
      <c r="Z746">
        <v>0.1333</v>
      </c>
    </row>
    <row r="747" spans="1:26" x14ac:dyDescent="0.35">
      <c r="A747" t="s">
        <v>756</v>
      </c>
      <c r="B747" t="str">
        <f t="shared" si="77"/>
        <v>OK</v>
      </c>
      <c r="C747" t="s">
        <v>2245</v>
      </c>
      <c r="D747" s="2">
        <v>37</v>
      </c>
      <c r="E747">
        <f>IF(OR(D747&lt;18, D747&gt;100),AD746,D747)</f>
        <v>37</v>
      </c>
      <c r="F747" t="s">
        <v>2990</v>
      </c>
      <c r="G747" t="str">
        <f t="shared" si="78"/>
        <v>Male</v>
      </c>
      <c r="H747" t="s">
        <v>3000</v>
      </c>
      <c r="I747" t="s">
        <v>3021</v>
      </c>
      <c r="K747" t="str">
        <f t="shared" si="79"/>
        <v>Unemployed</v>
      </c>
      <c r="L747">
        <v>25</v>
      </c>
      <c r="M747">
        <v>1940462</v>
      </c>
      <c r="N747">
        <f t="shared" si="80"/>
        <v>1940462</v>
      </c>
      <c r="O747">
        <v>796505</v>
      </c>
      <c r="P747">
        <v>24.41</v>
      </c>
      <c r="Q747">
        <v>60</v>
      </c>
      <c r="R747" t="s">
        <v>3050</v>
      </c>
      <c r="S747" t="str">
        <f t="shared" si="81"/>
        <v>Agriculture</v>
      </c>
      <c r="T747">
        <v>379</v>
      </c>
      <c r="U747">
        <f t="shared" si="82"/>
        <v>379</v>
      </c>
      <c r="V747">
        <v>2</v>
      </c>
      <c r="W747" t="s">
        <v>3054</v>
      </c>
      <c r="X747" s="3" t="s">
        <v>3680</v>
      </c>
      <c r="Y747" s="3">
        <f t="shared" si="83"/>
        <v>44959</v>
      </c>
      <c r="Z747">
        <v>0.41049999999999998</v>
      </c>
    </row>
    <row r="748" spans="1:26" x14ac:dyDescent="0.35">
      <c r="A748" t="s">
        <v>757</v>
      </c>
      <c r="B748" t="str">
        <f t="shared" si="77"/>
        <v>OK</v>
      </c>
      <c r="C748" t="s">
        <v>2246</v>
      </c>
      <c r="D748" s="2">
        <v>55</v>
      </c>
      <c r="E748">
        <f>IF(OR(D748&lt;18, D748&gt;100),AD747,D748)</f>
        <v>55</v>
      </c>
      <c r="F748" t="s">
        <v>2990</v>
      </c>
      <c r="G748" t="str">
        <f t="shared" si="78"/>
        <v>Male</v>
      </c>
      <c r="H748" t="s">
        <v>2999</v>
      </c>
      <c r="I748" t="s">
        <v>3018</v>
      </c>
      <c r="K748" t="str">
        <f t="shared" si="79"/>
        <v>Business Owner</v>
      </c>
      <c r="L748">
        <v>25</v>
      </c>
      <c r="M748">
        <v>409104</v>
      </c>
      <c r="N748">
        <f t="shared" si="80"/>
        <v>409104</v>
      </c>
      <c r="O748">
        <v>445468</v>
      </c>
      <c r="P748">
        <v>10.62</v>
      </c>
      <c r="Q748">
        <v>36</v>
      </c>
      <c r="S748" t="str">
        <f t="shared" si="81"/>
        <v>Unknown</v>
      </c>
      <c r="T748">
        <v>381</v>
      </c>
      <c r="U748">
        <f t="shared" si="82"/>
        <v>381</v>
      </c>
      <c r="V748">
        <v>0</v>
      </c>
      <c r="W748" t="s">
        <v>3053</v>
      </c>
      <c r="X748" s="3" t="s">
        <v>3223</v>
      </c>
      <c r="Y748" s="3">
        <f t="shared" si="83"/>
        <v>43973</v>
      </c>
      <c r="Z748">
        <v>1.0889</v>
      </c>
    </row>
    <row r="749" spans="1:26" x14ac:dyDescent="0.35">
      <c r="A749" t="s">
        <v>758</v>
      </c>
      <c r="B749" t="str">
        <f t="shared" si="77"/>
        <v>OK</v>
      </c>
      <c r="C749" t="s">
        <v>2247</v>
      </c>
      <c r="D749" s="2">
        <v>29</v>
      </c>
      <c r="E749">
        <f>IF(OR(D749&lt;18, D749&gt;100),AD748,D749)</f>
        <v>29</v>
      </c>
      <c r="F749" t="s">
        <v>2990</v>
      </c>
      <c r="G749" t="str">
        <f t="shared" si="78"/>
        <v>Male</v>
      </c>
      <c r="H749" t="s">
        <v>3003</v>
      </c>
      <c r="I749" t="s">
        <v>3020</v>
      </c>
      <c r="K749" t="str">
        <f t="shared" si="79"/>
        <v>Self-Employed</v>
      </c>
      <c r="L749">
        <v>11</v>
      </c>
      <c r="M749">
        <v>2098596</v>
      </c>
      <c r="N749">
        <f t="shared" si="80"/>
        <v>2098596</v>
      </c>
      <c r="O749">
        <v>386081</v>
      </c>
      <c r="P749">
        <v>24.57</v>
      </c>
      <c r="Q749">
        <v>12</v>
      </c>
      <c r="R749" t="s">
        <v>3048</v>
      </c>
      <c r="S749" t="str">
        <f t="shared" si="81"/>
        <v>Home Improvement</v>
      </c>
      <c r="T749">
        <v>442</v>
      </c>
      <c r="U749">
        <f t="shared" si="82"/>
        <v>442</v>
      </c>
      <c r="V749">
        <v>4</v>
      </c>
      <c r="W749" t="s">
        <v>3052</v>
      </c>
      <c r="X749" s="3" t="s">
        <v>3670</v>
      </c>
      <c r="Y749" s="3">
        <f t="shared" si="83"/>
        <v>43886</v>
      </c>
      <c r="Z749">
        <v>0.184</v>
      </c>
    </row>
    <row r="750" spans="1:26" x14ac:dyDescent="0.35">
      <c r="A750" t="s">
        <v>759</v>
      </c>
      <c r="B750" t="str">
        <f t="shared" si="77"/>
        <v>OK</v>
      </c>
      <c r="C750" t="s">
        <v>2248</v>
      </c>
      <c r="D750" s="2">
        <v>56</v>
      </c>
      <c r="E750">
        <f>IF(OR(D750&lt;18, D750&gt;100),AD749,D750)</f>
        <v>56</v>
      </c>
      <c r="F750" t="s">
        <v>2992</v>
      </c>
      <c r="G750" t="str">
        <f t="shared" si="78"/>
        <v>Female</v>
      </c>
      <c r="H750" t="s">
        <v>3003</v>
      </c>
      <c r="I750" t="s">
        <v>3021</v>
      </c>
      <c r="K750" t="str">
        <f t="shared" si="79"/>
        <v>Unemployed</v>
      </c>
      <c r="L750">
        <v>17</v>
      </c>
      <c r="M750">
        <v>960926</v>
      </c>
      <c r="N750">
        <f t="shared" si="80"/>
        <v>960926</v>
      </c>
      <c r="O750">
        <v>686282</v>
      </c>
      <c r="P750">
        <v>11.84</v>
      </c>
      <c r="Q750">
        <v>24</v>
      </c>
      <c r="R750" t="s">
        <v>3046</v>
      </c>
      <c r="S750" t="str">
        <f t="shared" si="81"/>
        <v>Medical</v>
      </c>
      <c r="T750">
        <v>443</v>
      </c>
      <c r="U750">
        <f t="shared" si="82"/>
        <v>443</v>
      </c>
      <c r="V750">
        <v>2</v>
      </c>
      <c r="W750" t="s">
        <v>3053</v>
      </c>
      <c r="X750" s="3" t="s">
        <v>3681</v>
      </c>
      <c r="Y750" s="3">
        <f t="shared" si="83"/>
        <v>45137</v>
      </c>
      <c r="Z750">
        <v>0.71419999999999995</v>
      </c>
    </row>
    <row r="751" spans="1:26" x14ac:dyDescent="0.35">
      <c r="A751" t="s">
        <v>760</v>
      </c>
      <c r="B751" t="str">
        <f t="shared" si="77"/>
        <v>OK</v>
      </c>
      <c r="C751" t="s">
        <v>2249</v>
      </c>
      <c r="D751" s="2">
        <v>43</v>
      </c>
      <c r="E751">
        <f>IF(OR(D751&lt;18, D751&gt;100),AD750,D751)</f>
        <v>43</v>
      </c>
      <c r="F751" t="s">
        <v>2992</v>
      </c>
      <c r="G751" t="str">
        <f t="shared" si="78"/>
        <v>Female</v>
      </c>
      <c r="H751" t="s">
        <v>3003</v>
      </c>
      <c r="I751" t="s">
        <v>3021</v>
      </c>
      <c r="K751" t="str">
        <f t="shared" si="79"/>
        <v>Unemployed</v>
      </c>
      <c r="L751">
        <v>2</v>
      </c>
      <c r="M751">
        <v>1756590</v>
      </c>
      <c r="N751">
        <f t="shared" si="80"/>
        <v>1756590</v>
      </c>
      <c r="O751">
        <v>499083</v>
      </c>
      <c r="P751">
        <v>27.48</v>
      </c>
      <c r="Q751">
        <v>36</v>
      </c>
      <c r="R751" t="s">
        <v>3046</v>
      </c>
      <c r="S751" t="str">
        <f t="shared" si="81"/>
        <v>Medical</v>
      </c>
      <c r="T751">
        <v>405</v>
      </c>
      <c r="U751">
        <f t="shared" si="82"/>
        <v>405</v>
      </c>
      <c r="V751">
        <v>7</v>
      </c>
      <c r="W751" t="s">
        <v>3054</v>
      </c>
      <c r="X751" s="3" t="s">
        <v>3682</v>
      </c>
      <c r="Y751" s="3">
        <f t="shared" si="83"/>
        <v>44267</v>
      </c>
      <c r="Z751">
        <v>0.28410000000000002</v>
      </c>
    </row>
    <row r="752" spans="1:26" x14ac:dyDescent="0.35">
      <c r="A752" t="s">
        <v>761</v>
      </c>
      <c r="B752" t="str">
        <f t="shared" si="77"/>
        <v>OK</v>
      </c>
      <c r="C752" t="s">
        <v>2250</v>
      </c>
      <c r="D752" s="2">
        <v>46</v>
      </c>
      <c r="E752">
        <f>IF(OR(D752&lt;18, D752&gt;100),AD751,D752)</f>
        <v>46</v>
      </c>
      <c r="F752" t="s">
        <v>2992</v>
      </c>
      <c r="G752" t="str">
        <f t="shared" si="78"/>
        <v>Female</v>
      </c>
      <c r="H752" t="s">
        <v>3004</v>
      </c>
      <c r="I752" t="s">
        <v>3018</v>
      </c>
      <c r="K752" t="str">
        <f t="shared" si="79"/>
        <v>Business Owner</v>
      </c>
      <c r="L752">
        <v>9</v>
      </c>
      <c r="M752">
        <v>716437</v>
      </c>
      <c r="N752">
        <f t="shared" si="80"/>
        <v>716437</v>
      </c>
      <c r="O752">
        <v>81844</v>
      </c>
      <c r="P752">
        <v>21.19</v>
      </c>
      <c r="Q752">
        <v>24</v>
      </c>
      <c r="R752" t="s">
        <v>3049</v>
      </c>
      <c r="S752" t="str">
        <f t="shared" si="81"/>
        <v>Business</v>
      </c>
      <c r="T752">
        <v>584</v>
      </c>
      <c r="U752">
        <f t="shared" si="82"/>
        <v>584</v>
      </c>
      <c r="V752">
        <v>7</v>
      </c>
      <c r="W752" t="s">
        <v>3052</v>
      </c>
      <c r="X752" s="3" t="s">
        <v>3683</v>
      </c>
      <c r="Y752" s="3">
        <f t="shared" si="83"/>
        <v>44134</v>
      </c>
      <c r="Z752">
        <v>0.1142</v>
      </c>
    </row>
    <row r="753" spans="1:26" x14ac:dyDescent="0.35">
      <c r="A753" t="s">
        <v>762</v>
      </c>
      <c r="B753" t="str">
        <f t="shared" si="77"/>
        <v>OK</v>
      </c>
      <c r="C753" t="s">
        <v>2251</v>
      </c>
      <c r="D753" s="2">
        <v>61</v>
      </c>
      <c r="E753">
        <f>IF(OR(D753&lt;18, D753&gt;100),AD752,D753)</f>
        <v>61</v>
      </c>
      <c r="F753" t="s">
        <v>2990</v>
      </c>
      <c r="G753" t="str">
        <f t="shared" si="78"/>
        <v>Male</v>
      </c>
      <c r="H753" t="s">
        <v>2998</v>
      </c>
      <c r="I753" t="s">
        <v>3018</v>
      </c>
      <c r="K753" t="str">
        <f t="shared" si="79"/>
        <v>Business Owner</v>
      </c>
      <c r="L753">
        <v>26</v>
      </c>
      <c r="M753">
        <v>1807687</v>
      </c>
      <c r="N753">
        <f t="shared" si="80"/>
        <v>1807687</v>
      </c>
      <c r="O753">
        <v>237400</v>
      </c>
      <c r="P753">
        <v>17.32</v>
      </c>
      <c r="Q753">
        <v>24</v>
      </c>
      <c r="R753" t="s">
        <v>3050</v>
      </c>
      <c r="S753" t="str">
        <f t="shared" si="81"/>
        <v>Agriculture</v>
      </c>
      <c r="T753">
        <v>718</v>
      </c>
      <c r="U753">
        <f t="shared" si="82"/>
        <v>718</v>
      </c>
      <c r="V753">
        <v>3</v>
      </c>
      <c r="W753" t="s">
        <v>3055</v>
      </c>
      <c r="X753" s="3" t="s">
        <v>3684</v>
      </c>
      <c r="Y753" s="3">
        <f t="shared" si="83"/>
        <v>44864</v>
      </c>
      <c r="Z753">
        <v>0.1313</v>
      </c>
    </row>
    <row r="754" spans="1:26" x14ac:dyDescent="0.35">
      <c r="A754" t="s">
        <v>763</v>
      </c>
      <c r="B754" t="str">
        <f t="shared" si="77"/>
        <v>OK</v>
      </c>
      <c r="C754" t="s">
        <v>2252</v>
      </c>
      <c r="D754" s="2">
        <v>44</v>
      </c>
      <c r="E754">
        <f>IF(OR(D754&lt;18, D754&gt;100),AD753,D754)</f>
        <v>44</v>
      </c>
      <c r="F754" t="s">
        <v>2990</v>
      </c>
      <c r="G754" t="str">
        <f t="shared" si="78"/>
        <v>Male</v>
      </c>
      <c r="H754" t="s">
        <v>3004</v>
      </c>
      <c r="I754" t="s">
        <v>3019</v>
      </c>
      <c r="K754" t="str">
        <f t="shared" si="79"/>
        <v>Employed</v>
      </c>
      <c r="L754">
        <v>27</v>
      </c>
      <c r="M754">
        <v>740315</v>
      </c>
      <c r="N754">
        <f t="shared" si="80"/>
        <v>740315</v>
      </c>
      <c r="O754">
        <v>282091</v>
      </c>
      <c r="P754">
        <v>10.94</v>
      </c>
      <c r="Q754">
        <v>60</v>
      </c>
      <c r="R754" t="s">
        <v>3050</v>
      </c>
      <c r="S754" t="str">
        <f t="shared" si="81"/>
        <v>Agriculture</v>
      </c>
      <c r="T754">
        <v>499</v>
      </c>
      <c r="U754">
        <f t="shared" si="82"/>
        <v>499</v>
      </c>
      <c r="V754">
        <v>1</v>
      </c>
      <c r="W754" t="s">
        <v>3054</v>
      </c>
      <c r="X754" s="3" t="s">
        <v>3685</v>
      </c>
      <c r="Y754" s="3">
        <f t="shared" si="83"/>
        <v>43931</v>
      </c>
      <c r="Z754">
        <v>0.38100000000000001</v>
      </c>
    </row>
    <row r="755" spans="1:26" x14ac:dyDescent="0.35">
      <c r="A755" t="s">
        <v>764</v>
      </c>
      <c r="B755" t="str">
        <f t="shared" si="77"/>
        <v>OK</v>
      </c>
      <c r="C755" t="s">
        <v>2253</v>
      </c>
      <c r="D755" s="2">
        <v>29</v>
      </c>
      <c r="E755">
        <f>IF(OR(D755&lt;18, D755&gt;100),AD754,D755)</f>
        <v>29</v>
      </c>
      <c r="F755" t="s">
        <v>2992</v>
      </c>
      <c r="G755" t="str">
        <f t="shared" si="78"/>
        <v>Female</v>
      </c>
      <c r="H755" t="s">
        <v>3007</v>
      </c>
      <c r="I755" t="s">
        <v>3020</v>
      </c>
      <c r="K755" t="str">
        <f t="shared" si="79"/>
        <v>Self-Employed</v>
      </c>
      <c r="L755">
        <v>7</v>
      </c>
      <c r="M755">
        <v>1179430</v>
      </c>
      <c r="N755">
        <f t="shared" si="80"/>
        <v>1179430</v>
      </c>
      <c r="O755">
        <v>106795</v>
      </c>
      <c r="P755">
        <v>18.690000000000001</v>
      </c>
      <c r="Q755">
        <v>48</v>
      </c>
      <c r="R755" t="s">
        <v>3051</v>
      </c>
      <c r="S755" t="str">
        <f t="shared" si="81"/>
        <v>Education</v>
      </c>
      <c r="T755">
        <v>771</v>
      </c>
      <c r="U755">
        <f t="shared" si="82"/>
        <v>771</v>
      </c>
      <c r="V755">
        <v>7</v>
      </c>
      <c r="W755" t="s">
        <v>3052</v>
      </c>
      <c r="X755" s="3" t="s">
        <v>3686</v>
      </c>
      <c r="Y755" s="3">
        <f t="shared" si="83"/>
        <v>45117</v>
      </c>
      <c r="Z755">
        <v>9.0499999999999997E-2</v>
      </c>
    </row>
    <row r="756" spans="1:26" x14ac:dyDescent="0.35">
      <c r="A756" t="s">
        <v>765</v>
      </c>
      <c r="B756" t="str">
        <f t="shared" si="77"/>
        <v>OK</v>
      </c>
      <c r="C756" t="s">
        <v>2254</v>
      </c>
      <c r="D756" s="2">
        <v>31</v>
      </c>
      <c r="E756">
        <f>IF(OR(D756&lt;18, D756&gt;100),AD755,D756)</f>
        <v>31</v>
      </c>
      <c r="F756" t="s">
        <v>2990</v>
      </c>
      <c r="G756" t="str">
        <f t="shared" si="78"/>
        <v>Male</v>
      </c>
      <c r="H756" t="s">
        <v>3002</v>
      </c>
      <c r="I756" t="s">
        <v>3018</v>
      </c>
      <c r="K756" t="str">
        <f t="shared" si="79"/>
        <v>Business Owner</v>
      </c>
      <c r="L756">
        <v>25</v>
      </c>
      <c r="M756">
        <v>2334174</v>
      </c>
      <c r="N756">
        <f t="shared" si="80"/>
        <v>2334174</v>
      </c>
      <c r="O756">
        <v>293586</v>
      </c>
      <c r="P756">
        <v>9.14</v>
      </c>
      <c r="Q756">
        <v>60</v>
      </c>
      <c r="R756" t="s">
        <v>3051</v>
      </c>
      <c r="S756" t="str">
        <f t="shared" si="81"/>
        <v>Education</v>
      </c>
      <c r="T756">
        <v>395</v>
      </c>
      <c r="U756">
        <f t="shared" si="82"/>
        <v>395</v>
      </c>
      <c r="V756">
        <v>1</v>
      </c>
      <c r="W756" t="s">
        <v>3056</v>
      </c>
      <c r="X756" s="3" t="s">
        <v>3341</v>
      </c>
      <c r="Y756" s="3">
        <f t="shared" si="83"/>
        <v>44337</v>
      </c>
      <c r="Z756">
        <v>0.1258</v>
      </c>
    </row>
    <row r="757" spans="1:26" x14ac:dyDescent="0.35">
      <c r="A757" t="s">
        <v>766</v>
      </c>
      <c r="B757" t="str">
        <f t="shared" si="77"/>
        <v>OK</v>
      </c>
      <c r="C757" t="s">
        <v>2255</v>
      </c>
      <c r="D757" s="2">
        <v>24</v>
      </c>
      <c r="E757">
        <f>IF(OR(D757&lt;18, D757&gt;100),AD756,D757)</f>
        <v>24</v>
      </c>
      <c r="F757" t="s">
        <v>2990</v>
      </c>
      <c r="G757" t="str">
        <f t="shared" si="78"/>
        <v>Male</v>
      </c>
      <c r="H757" t="s">
        <v>2999</v>
      </c>
      <c r="I757" t="s">
        <v>3019</v>
      </c>
      <c r="K757" t="str">
        <f t="shared" si="79"/>
        <v>Employed</v>
      </c>
      <c r="L757">
        <v>22</v>
      </c>
      <c r="M757">
        <v>2140584</v>
      </c>
      <c r="N757">
        <f t="shared" si="80"/>
        <v>2140584</v>
      </c>
      <c r="O757">
        <v>296815</v>
      </c>
      <c r="P757">
        <v>10.75</v>
      </c>
      <c r="Q757">
        <v>12</v>
      </c>
      <c r="R757" t="s">
        <v>3047</v>
      </c>
      <c r="S757" t="str">
        <f t="shared" si="81"/>
        <v>Personal</v>
      </c>
      <c r="T757">
        <v>390</v>
      </c>
      <c r="U757">
        <f t="shared" si="82"/>
        <v>390</v>
      </c>
      <c r="V757">
        <v>6</v>
      </c>
      <c r="W757" t="s">
        <v>3055</v>
      </c>
      <c r="X757" s="3" t="s">
        <v>3687</v>
      </c>
      <c r="Y757" s="3">
        <f t="shared" si="83"/>
        <v>45009</v>
      </c>
      <c r="Z757">
        <v>0.13869999999999999</v>
      </c>
    </row>
    <row r="758" spans="1:26" x14ac:dyDescent="0.35">
      <c r="A758" t="s">
        <v>767</v>
      </c>
      <c r="B758" t="str">
        <f t="shared" si="77"/>
        <v>OK</v>
      </c>
      <c r="C758" t="s">
        <v>2256</v>
      </c>
      <c r="D758" s="2">
        <v>63</v>
      </c>
      <c r="E758">
        <f>IF(OR(D758&lt;18, D758&gt;100),AD757,D758)</f>
        <v>63</v>
      </c>
      <c r="F758" t="s">
        <v>2990</v>
      </c>
      <c r="G758" t="str">
        <f t="shared" si="78"/>
        <v>Male</v>
      </c>
      <c r="H758" t="s">
        <v>3006</v>
      </c>
      <c r="I758" t="s">
        <v>3018</v>
      </c>
      <c r="K758" t="str">
        <f t="shared" si="79"/>
        <v>Business Owner</v>
      </c>
      <c r="L758">
        <v>4</v>
      </c>
      <c r="M758">
        <v>488449</v>
      </c>
      <c r="N758">
        <f t="shared" si="80"/>
        <v>488449</v>
      </c>
      <c r="O758">
        <v>138094</v>
      </c>
      <c r="P758">
        <v>24.57</v>
      </c>
      <c r="Q758">
        <v>36</v>
      </c>
      <c r="R758" t="s">
        <v>3051</v>
      </c>
      <c r="S758" t="str">
        <f t="shared" si="81"/>
        <v>Education</v>
      </c>
      <c r="T758">
        <v>359</v>
      </c>
      <c r="U758">
        <f t="shared" si="82"/>
        <v>359</v>
      </c>
      <c r="V758">
        <v>2</v>
      </c>
      <c r="W758" t="s">
        <v>3053</v>
      </c>
      <c r="X758" s="3" t="s">
        <v>3688</v>
      </c>
      <c r="Y758" s="3">
        <f t="shared" si="83"/>
        <v>45251</v>
      </c>
      <c r="Z758">
        <v>0.28270000000000001</v>
      </c>
    </row>
    <row r="759" spans="1:26" x14ac:dyDescent="0.35">
      <c r="A759" t="s">
        <v>768</v>
      </c>
      <c r="B759" t="str">
        <f t="shared" si="77"/>
        <v>OK</v>
      </c>
      <c r="C759" t="s">
        <v>2257</v>
      </c>
      <c r="D759" s="2">
        <v>35</v>
      </c>
      <c r="E759">
        <f>IF(OR(D759&lt;18, D759&gt;100),AD758,D759)</f>
        <v>35</v>
      </c>
      <c r="F759" t="s">
        <v>2990</v>
      </c>
      <c r="G759" t="str">
        <f t="shared" si="78"/>
        <v>Male</v>
      </c>
      <c r="H759" t="s">
        <v>3007</v>
      </c>
      <c r="I759" t="s">
        <v>3021</v>
      </c>
      <c r="K759" t="str">
        <f t="shared" si="79"/>
        <v>Unemployed</v>
      </c>
      <c r="L759">
        <v>18</v>
      </c>
      <c r="M759">
        <v>1579872</v>
      </c>
      <c r="N759">
        <f t="shared" si="80"/>
        <v>1579872</v>
      </c>
      <c r="O759">
        <v>365740</v>
      </c>
      <c r="P759">
        <v>18.88</v>
      </c>
      <c r="Q759">
        <v>48</v>
      </c>
      <c r="R759" t="s">
        <v>3048</v>
      </c>
      <c r="S759" t="str">
        <f t="shared" si="81"/>
        <v>Home Improvement</v>
      </c>
      <c r="T759">
        <v>492</v>
      </c>
      <c r="U759">
        <f t="shared" si="82"/>
        <v>492</v>
      </c>
      <c r="V759">
        <v>3</v>
      </c>
      <c r="W759" t="s">
        <v>3056</v>
      </c>
      <c r="X759" s="3" t="s">
        <v>3325</v>
      </c>
      <c r="Y759" s="3">
        <f t="shared" si="83"/>
        <v>44867</v>
      </c>
      <c r="Z759">
        <v>0.23150000000000001</v>
      </c>
    </row>
    <row r="760" spans="1:26" x14ac:dyDescent="0.35">
      <c r="A760" t="s">
        <v>769</v>
      </c>
      <c r="B760" t="str">
        <f t="shared" si="77"/>
        <v>OK</v>
      </c>
      <c r="C760" t="s">
        <v>2258</v>
      </c>
      <c r="D760" s="2">
        <v>46</v>
      </c>
      <c r="E760">
        <f>IF(OR(D760&lt;18, D760&gt;100),AD759,D760)</f>
        <v>46</v>
      </c>
      <c r="F760" t="s">
        <v>2992</v>
      </c>
      <c r="G760" t="str">
        <f t="shared" si="78"/>
        <v>Female</v>
      </c>
      <c r="H760" t="s">
        <v>3006</v>
      </c>
      <c r="I760" t="s">
        <v>3018</v>
      </c>
      <c r="K760" t="str">
        <f t="shared" si="79"/>
        <v>Business Owner</v>
      </c>
      <c r="L760">
        <v>5</v>
      </c>
      <c r="M760">
        <v>2139925</v>
      </c>
      <c r="N760">
        <f t="shared" si="80"/>
        <v>2139925</v>
      </c>
      <c r="O760">
        <v>757242</v>
      </c>
      <c r="P760">
        <v>19.61</v>
      </c>
      <c r="Q760">
        <v>24</v>
      </c>
      <c r="R760" t="s">
        <v>3050</v>
      </c>
      <c r="S760" t="str">
        <f t="shared" si="81"/>
        <v>Agriculture</v>
      </c>
      <c r="T760">
        <v>567</v>
      </c>
      <c r="U760">
        <f t="shared" si="82"/>
        <v>567</v>
      </c>
      <c r="V760">
        <v>0</v>
      </c>
      <c r="W760" t="s">
        <v>3054</v>
      </c>
      <c r="X760" s="3" t="s">
        <v>3297</v>
      </c>
      <c r="Y760" s="3">
        <f t="shared" si="83"/>
        <v>44762</v>
      </c>
      <c r="Z760">
        <v>0.35389999999999999</v>
      </c>
    </row>
    <row r="761" spans="1:26" x14ac:dyDescent="0.35">
      <c r="A761" t="s">
        <v>770</v>
      </c>
      <c r="B761" t="str">
        <f t="shared" si="77"/>
        <v>OK</v>
      </c>
      <c r="C761" t="s">
        <v>2259</v>
      </c>
      <c r="D761" s="2">
        <v>33</v>
      </c>
      <c r="E761">
        <f>IF(OR(D761&lt;18, D761&gt;100),AD760,D761)</f>
        <v>33</v>
      </c>
      <c r="F761" t="s">
        <v>2992</v>
      </c>
      <c r="G761" t="str">
        <f t="shared" si="78"/>
        <v>Female</v>
      </c>
      <c r="H761" t="s">
        <v>2999</v>
      </c>
      <c r="I761" t="s">
        <v>3020</v>
      </c>
      <c r="K761" t="str">
        <f t="shared" si="79"/>
        <v>Self-Employed</v>
      </c>
      <c r="L761">
        <v>24</v>
      </c>
      <c r="M761">
        <v>1372097</v>
      </c>
      <c r="N761">
        <f t="shared" si="80"/>
        <v>1372097</v>
      </c>
      <c r="O761">
        <v>210246</v>
      </c>
      <c r="P761">
        <v>11.9</v>
      </c>
      <c r="Q761">
        <v>36</v>
      </c>
      <c r="R761" t="s">
        <v>3048</v>
      </c>
      <c r="S761" t="str">
        <f t="shared" si="81"/>
        <v>Home Improvement</v>
      </c>
      <c r="T761">
        <v>754</v>
      </c>
      <c r="U761">
        <f t="shared" si="82"/>
        <v>754</v>
      </c>
      <c r="V761">
        <v>7</v>
      </c>
      <c r="W761" t="s">
        <v>3054</v>
      </c>
      <c r="X761" s="3" t="s">
        <v>3689</v>
      </c>
      <c r="Y761" s="3">
        <f t="shared" si="83"/>
        <v>44862</v>
      </c>
      <c r="Z761">
        <v>0.1532</v>
      </c>
    </row>
    <row r="762" spans="1:26" x14ac:dyDescent="0.35">
      <c r="A762" t="s">
        <v>771</v>
      </c>
      <c r="B762" t="str">
        <f t="shared" si="77"/>
        <v>OK</v>
      </c>
      <c r="C762" t="s">
        <v>2260</v>
      </c>
      <c r="D762" s="2">
        <v>45</v>
      </c>
      <c r="E762">
        <f>IF(OR(D762&lt;18, D762&gt;100),AD761,D762)</f>
        <v>45</v>
      </c>
      <c r="F762" t="s">
        <v>2996</v>
      </c>
      <c r="G762" t="str">
        <f t="shared" si="78"/>
        <v>Female</v>
      </c>
      <c r="H762" t="s">
        <v>3003</v>
      </c>
      <c r="I762" t="s">
        <v>3018</v>
      </c>
      <c r="K762" t="str">
        <f t="shared" si="79"/>
        <v>Business Owner</v>
      </c>
      <c r="L762">
        <v>15</v>
      </c>
      <c r="M762">
        <v>868152</v>
      </c>
      <c r="N762">
        <f t="shared" si="80"/>
        <v>868152</v>
      </c>
      <c r="O762">
        <v>631726</v>
      </c>
      <c r="P762">
        <v>16.75</v>
      </c>
      <c r="Q762">
        <v>36</v>
      </c>
      <c r="R762" t="s">
        <v>3050</v>
      </c>
      <c r="S762" t="str">
        <f t="shared" si="81"/>
        <v>Agriculture</v>
      </c>
      <c r="T762">
        <v>810</v>
      </c>
      <c r="U762">
        <f t="shared" si="82"/>
        <v>810</v>
      </c>
      <c r="V762">
        <v>7</v>
      </c>
      <c r="W762" t="s">
        <v>3056</v>
      </c>
      <c r="X762" s="3" t="s">
        <v>3142</v>
      </c>
      <c r="Y762" s="3">
        <f t="shared" si="83"/>
        <v>44937</v>
      </c>
      <c r="Z762">
        <v>0.72770000000000001</v>
      </c>
    </row>
    <row r="763" spans="1:26" x14ac:dyDescent="0.35">
      <c r="A763" t="s">
        <v>772</v>
      </c>
      <c r="B763" t="str">
        <f t="shared" si="77"/>
        <v>OK</v>
      </c>
      <c r="C763" t="s">
        <v>2261</v>
      </c>
      <c r="D763" s="2">
        <v>60</v>
      </c>
      <c r="E763">
        <f>IF(OR(D763&lt;18, D763&gt;100),AD762,D763)</f>
        <v>60</v>
      </c>
      <c r="F763" t="s">
        <v>2992</v>
      </c>
      <c r="G763" t="str">
        <f t="shared" si="78"/>
        <v>Female</v>
      </c>
      <c r="H763" t="s">
        <v>3004</v>
      </c>
      <c r="I763" t="s">
        <v>3020</v>
      </c>
      <c r="K763" t="str">
        <f t="shared" si="79"/>
        <v>Self-Employed</v>
      </c>
      <c r="L763">
        <v>28</v>
      </c>
      <c r="M763">
        <v>1741456</v>
      </c>
      <c r="N763">
        <f t="shared" si="80"/>
        <v>1741456</v>
      </c>
      <c r="O763">
        <v>708332</v>
      </c>
      <c r="P763">
        <v>20.9</v>
      </c>
      <c r="Q763">
        <v>24</v>
      </c>
      <c r="R763" t="s">
        <v>3046</v>
      </c>
      <c r="S763" t="str">
        <f t="shared" si="81"/>
        <v>Medical</v>
      </c>
      <c r="T763">
        <v>638</v>
      </c>
      <c r="U763">
        <f t="shared" si="82"/>
        <v>638</v>
      </c>
      <c r="V763">
        <v>1</v>
      </c>
      <c r="W763" t="s">
        <v>3054</v>
      </c>
      <c r="X763" s="3" t="s">
        <v>3690</v>
      </c>
      <c r="Y763" s="3">
        <f t="shared" si="83"/>
        <v>44236</v>
      </c>
      <c r="Z763">
        <v>0.40670000000000001</v>
      </c>
    </row>
    <row r="764" spans="1:26" x14ac:dyDescent="0.35">
      <c r="A764" t="s">
        <v>773</v>
      </c>
      <c r="B764" t="str">
        <f t="shared" si="77"/>
        <v>OK</v>
      </c>
      <c r="C764" t="s">
        <v>2262</v>
      </c>
      <c r="D764" s="2">
        <v>42</v>
      </c>
      <c r="E764">
        <f>IF(OR(D764&lt;18, D764&gt;100),AD763,D764)</f>
        <v>42</v>
      </c>
      <c r="F764" t="s">
        <v>2990</v>
      </c>
      <c r="G764" t="str">
        <f t="shared" si="78"/>
        <v>Male</v>
      </c>
      <c r="H764" t="s">
        <v>3003</v>
      </c>
      <c r="I764" t="s">
        <v>3018</v>
      </c>
      <c r="K764" t="str">
        <f t="shared" si="79"/>
        <v>Business Owner</v>
      </c>
      <c r="L764">
        <v>14</v>
      </c>
      <c r="M764">
        <v>611374</v>
      </c>
      <c r="N764">
        <f t="shared" si="80"/>
        <v>611374</v>
      </c>
      <c r="O764">
        <v>309508</v>
      </c>
      <c r="P764">
        <v>14.24</v>
      </c>
      <c r="Q764">
        <v>24</v>
      </c>
      <c r="R764" t="s">
        <v>3049</v>
      </c>
      <c r="S764" t="str">
        <f t="shared" si="81"/>
        <v>Business</v>
      </c>
      <c r="T764">
        <v>688</v>
      </c>
      <c r="U764">
        <f t="shared" si="82"/>
        <v>688</v>
      </c>
      <c r="V764">
        <v>0</v>
      </c>
      <c r="W764" t="s">
        <v>3055</v>
      </c>
      <c r="X764" s="3" t="s">
        <v>3249</v>
      </c>
      <c r="Y764" s="3">
        <f t="shared" si="83"/>
        <v>44116</v>
      </c>
      <c r="Z764">
        <v>0.50619999999999998</v>
      </c>
    </row>
    <row r="765" spans="1:26" x14ac:dyDescent="0.35">
      <c r="A765" t="s">
        <v>774</v>
      </c>
      <c r="B765" t="str">
        <f t="shared" si="77"/>
        <v>OK</v>
      </c>
      <c r="C765" t="s">
        <v>2263</v>
      </c>
      <c r="D765" s="2">
        <v>32</v>
      </c>
      <c r="E765">
        <f>IF(OR(D765&lt;18, D765&gt;100),AD764,D765)</f>
        <v>32</v>
      </c>
      <c r="F765" t="s">
        <v>2990</v>
      </c>
      <c r="G765" t="str">
        <f t="shared" si="78"/>
        <v>Male</v>
      </c>
      <c r="H765" t="s">
        <v>3005</v>
      </c>
      <c r="I765" t="s">
        <v>3018</v>
      </c>
      <c r="K765" t="str">
        <f t="shared" si="79"/>
        <v>Business Owner</v>
      </c>
      <c r="L765">
        <v>24</v>
      </c>
      <c r="M765">
        <v>1132246</v>
      </c>
      <c r="N765">
        <f t="shared" si="80"/>
        <v>1132246</v>
      </c>
      <c r="O765">
        <v>424303</v>
      </c>
      <c r="P765">
        <v>20.51</v>
      </c>
      <c r="Q765">
        <v>24</v>
      </c>
      <c r="R765" t="s">
        <v>3049</v>
      </c>
      <c r="S765" t="str">
        <f t="shared" si="81"/>
        <v>Business</v>
      </c>
      <c r="T765">
        <v>734</v>
      </c>
      <c r="U765">
        <f t="shared" si="82"/>
        <v>734</v>
      </c>
      <c r="V765">
        <v>6</v>
      </c>
      <c r="W765" t="s">
        <v>3053</v>
      </c>
      <c r="X765" s="3" t="s">
        <v>3681</v>
      </c>
      <c r="Y765" s="3">
        <f t="shared" si="83"/>
        <v>45137</v>
      </c>
      <c r="Z765">
        <v>0.37469999999999998</v>
      </c>
    </row>
    <row r="766" spans="1:26" x14ac:dyDescent="0.35">
      <c r="A766" t="s">
        <v>775</v>
      </c>
      <c r="B766" t="str">
        <f t="shared" ref="B766:B829" si="84">IF(A766="", "MISSING", "OK")</f>
        <v>OK</v>
      </c>
      <c r="C766" t="s">
        <v>2264</v>
      </c>
      <c r="D766" s="2">
        <v>28</v>
      </c>
      <c r="E766">
        <f>IF(OR(D766&lt;18, D766&gt;100),AD765,D766)</f>
        <v>28</v>
      </c>
      <c r="F766" t="s">
        <v>2992</v>
      </c>
      <c r="G766" t="str">
        <f t="shared" si="78"/>
        <v>Female</v>
      </c>
      <c r="H766" t="s">
        <v>3006</v>
      </c>
      <c r="I766" t="s">
        <v>3021</v>
      </c>
      <c r="K766" t="str">
        <f t="shared" si="79"/>
        <v>Unemployed</v>
      </c>
      <c r="L766">
        <v>4</v>
      </c>
      <c r="M766">
        <v>1613441</v>
      </c>
      <c r="N766">
        <f t="shared" si="80"/>
        <v>1613441</v>
      </c>
      <c r="O766">
        <v>106346</v>
      </c>
      <c r="P766">
        <v>16.22</v>
      </c>
      <c r="Q766">
        <v>60</v>
      </c>
      <c r="R766" t="s">
        <v>3047</v>
      </c>
      <c r="S766" t="str">
        <f t="shared" si="81"/>
        <v>Personal</v>
      </c>
      <c r="T766">
        <v>999</v>
      </c>
      <c r="U766">
        <f t="shared" si="82"/>
        <v>999</v>
      </c>
      <c r="V766">
        <v>6</v>
      </c>
      <c r="W766" t="s">
        <v>3057</v>
      </c>
      <c r="X766" s="3" t="s">
        <v>3691</v>
      </c>
      <c r="Y766" s="3">
        <f t="shared" si="83"/>
        <v>44491</v>
      </c>
      <c r="Z766">
        <v>6.59E-2</v>
      </c>
    </row>
    <row r="767" spans="1:26" x14ac:dyDescent="0.35">
      <c r="A767" t="s">
        <v>776</v>
      </c>
      <c r="B767" t="str">
        <f t="shared" si="84"/>
        <v>OK</v>
      </c>
      <c r="C767" t="s">
        <v>2265</v>
      </c>
      <c r="D767" s="2">
        <v>55</v>
      </c>
      <c r="E767">
        <f>IF(OR(D767&lt;18, D767&gt;100),AD766,D767)</f>
        <v>55</v>
      </c>
      <c r="F767" t="s">
        <v>2992</v>
      </c>
      <c r="G767" t="str">
        <f t="shared" si="78"/>
        <v>Female</v>
      </c>
      <c r="H767" t="s">
        <v>3004</v>
      </c>
      <c r="I767" t="s">
        <v>3018</v>
      </c>
      <c r="K767" t="str">
        <f t="shared" si="79"/>
        <v>Business Owner</v>
      </c>
      <c r="L767">
        <v>26</v>
      </c>
      <c r="M767">
        <v>676762</v>
      </c>
      <c r="N767">
        <f t="shared" si="80"/>
        <v>676762</v>
      </c>
      <c r="O767">
        <v>305713</v>
      </c>
      <c r="P767">
        <v>24.75</v>
      </c>
      <c r="Q767">
        <v>24</v>
      </c>
      <c r="R767" t="s">
        <v>3050</v>
      </c>
      <c r="S767" t="str">
        <f t="shared" si="81"/>
        <v>Agriculture</v>
      </c>
      <c r="T767">
        <v>787</v>
      </c>
      <c r="U767">
        <f t="shared" si="82"/>
        <v>787</v>
      </c>
      <c r="V767">
        <v>0</v>
      </c>
      <c r="W767" t="s">
        <v>3055</v>
      </c>
      <c r="X767" s="3" t="s">
        <v>3429</v>
      </c>
      <c r="Y767" s="3">
        <f t="shared" si="83"/>
        <v>44054</v>
      </c>
      <c r="Z767">
        <v>0.45169999999999999</v>
      </c>
    </row>
    <row r="768" spans="1:26" x14ac:dyDescent="0.35">
      <c r="A768" t="s">
        <v>777</v>
      </c>
      <c r="B768" t="str">
        <f t="shared" si="84"/>
        <v>OK</v>
      </c>
      <c r="C768" t="s">
        <v>2266</v>
      </c>
      <c r="D768" s="2">
        <v>53</v>
      </c>
      <c r="E768">
        <f>IF(OR(D768&lt;18, D768&gt;100),AD767,D768)</f>
        <v>53</v>
      </c>
      <c r="F768" t="s">
        <v>2990</v>
      </c>
      <c r="G768" t="str">
        <f t="shared" si="78"/>
        <v>Male</v>
      </c>
      <c r="H768" t="s">
        <v>3006</v>
      </c>
      <c r="I768" t="s">
        <v>3019</v>
      </c>
      <c r="K768" t="str">
        <f t="shared" si="79"/>
        <v>Employed</v>
      </c>
      <c r="L768">
        <v>0</v>
      </c>
      <c r="M768">
        <v>2166062</v>
      </c>
      <c r="N768">
        <f t="shared" si="80"/>
        <v>2166062</v>
      </c>
      <c r="O768">
        <v>631985</v>
      </c>
      <c r="P768">
        <v>13.63</v>
      </c>
      <c r="Q768">
        <v>36</v>
      </c>
      <c r="R768" t="s">
        <v>3051</v>
      </c>
      <c r="S768" t="str">
        <f t="shared" si="81"/>
        <v>Education</v>
      </c>
      <c r="T768">
        <v>322</v>
      </c>
      <c r="U768">
        <f t="shared" si="82"/>
        <v>322</v>
      </c>
      <c r="V768">
        <v>1</v>
      </c>
      <c r="W768" t="s">
        <v>3060</v>
      </c>
      <c r="X768" s="3" t="s">
        <v>3692</v>
      </c>
      <c r="Y768" s="3">
        <f t="shared" si="83"/>
        <v>45173</v>
      </c>
      <c r="Z768">
        <v>0.2918</v>
      </c>
    </row>
    <row r="769" spans="1:26" x14ac:dyDescent="0.35">
      <c r="A769" t="s">
        <v>778</v>
      </c>
      <c r="B769" t="str">
        <f t="shared" si="84"/>
        <v>OK</v>
      </c>
      <c r="C769" t="s">
        <v>2267</v>
      </c>
      <c r="D769" s="2">
        <v>48</v>
      </c>
      <c r="E769">
        <f>IF(OR(D769&lt;18, D769&gt;100),AD768,D769)</f>
        <v>48</v>
      </c>
      <c r="F769" t="s">
        <v>2990</v>
      </c>
      <c r="G769" t="str">
        <f t="shared" si="78"/>
        <v>Male</v>
      </c>
      <c r="H769" t="s">
        <v>2998</v>
      </c>
      <c r="I769" t="s">
        <v>3019</v>
      </c>
      <c r="K769" t="str">
        <f t="shared" si="79"/>
        <v>Employed</v>
      </c>
      <c r="L769">
        <v>23</v>
      </c>
      <c r="M769">
        <v>722601</v>
      </c>
      <c r="N769">
        <f t="shared" si="80"/>
        <v>722601</v>
      </c>
      <c r="O769">
        <v>28024</v>
      </c>
      <c r="P769">
        <v>23.65</v>
      </c>
      <c r="Q769">
        <v>60</v>
      </c>
      <c r="R769" t="s">
        <v>3051</v>
      </c>
      <c r="S769" t="str">
        <f t="shared" si="81"/>
        <v>Education</v>
      </c>
      <c r="T769">
        <v>699</v>
      </c>
      <c r="U769">
        <f t="shared" si="82"/>
        <v>699</v>
      </c>
      <c r="V769">
        <v>5</v>
      </c>
      <c r="W769" t="s">
        <v>3054</v>
      </c>
      <c r="X769" s="3" t="s">
        <v>3693</v>
      </c>
      <c r="Y769" s="3">
        <f t="shared" si="83"/>
        <v>45267</v>
      </c>
      <c r="Z769">
        <v>3.8800000000000001E-2</v>
      </c>
    </row>
    <row r="770" spans="1:26" x14ac:dyDescent="0.35">
      <c r="A770" t="s">
        <v>779</v>
      </c>
      <c r="B770" t="str">
        <f t="shared" si="84"/>
        <v>OK</v>
      </c>
      <c r="C770" t="s">
        <v>2268</v>
      </c>
      <c r="D770" s="2">
        <v>32</v>
      </c>
      <c r="E770">
        <f>IF(OR(D770&lt;18, D770&gt;100),AD769,D770)</f>
        <v>32</v>
      </c>
      <c r="F770" t="s">
        <v>2992</v>
      </c>
      <c r="G770" t="str">
        <f t="shared" si="78"/>
        <v>Female</v>
      </c>
      <c r="H770" t="s">
        <v>2998</v>
      </c>
      <c r="I770" t="s">
        <v>3021</v>
      </c>
      <c r="K770" t="str">
        <f t="shared" si="79"/>
        <v>Unemployed</v>
      </c>
      <c r="L770">
        <v>25</v>
      </c>
      <c r="M770">
        <v>1368554</v>
      </c>
      <c r="N770">
        <f t="shared" si="80"/>
        <v>1368554</v>
      </c>
      <c r="O770">
        <v>499336</v>
      </c>
      <c r="P770">
        <v>15.84</v>
      </c>
      <c r="Q770">
        <v>24</v>
      </c>
      <c r="R770" t="s">
        <v>3047</v>
      </c>
      <c r="S770" t="str">
        <f t="shared" si="81"/>
        <v>Personal</v>
      </c>
      <c r="T770">
        <v>770</v>
      </c>
      <c r="U770">
        <f t="shared" si="82"/>
        <v>770</v>
      </c>
      <c r="V770">
        <v>0</v>
      </c>
      <c r="W770" t="s">
        <v>3054</v>
      </c>
      <c r="X770" s="3" t="s">
        <v>3694</v>
      </c>
      <c r="Y770" s="3">
        <f t="shared" si="83"/>
        <v>43935</v>
      </c>
      <c r="Z770">
        <v>0.3649</v>
      </c>
    </row>
    <row r="771" spans="1:26" x14ac:dyDescent="0.35">
      <c r="A771" t="s">
        <v>780</v>
      </c>
      <c r="B771" t="str">
        <f t="shared" si="84"/>
        <v>OK</v>
      </c>
      <c r="C771" t="s">
        <v>2269</v>
      </c>
      <c r="D771" s="2">
        <v>37</v>
      </c>
      <c r="E771">
        <f>IF(OR(D771&lt;18, D771&gt;100),AD770,D771)</f>
        <v>37</v>
      </c>
      <c r="F771" t="s">
        <v>2992</v>
      </c>
      <c r="G771" t="str">
        <f t="shared" ref="G771:G834" si="85">IF(F771="", "Unknown", IF(OR(F771="F", F771="FEMALE", F771="Female"), "Female", IF(OR(F771="M", F771="MALE", F771="Male"), "Male", "Other")))</f>
        <v>Female</v>
      </c>
      <c r="H771" t="s">
        <v>2998</v>
      </c>
      <c r="I771" t="s">
        <v>3019</v>
      </c>
      <c r="K771" t="str">
        <f t="shared" ref="K771:K834" si="86">IF(I771="", "Unknown", I771)</f>
        <v>Employed</v>
      </c>
      <c r="L771">
        <v>24</v>
      </c>
      <c r="M771">
        <v>1467087</v>
      </c>
      <c r="N771">
        <f t="shared" ref="N771:N834" si="87">IF(OR(M771="",M771&lt;0),$AD$3,M771)</f>
        <v>1467087</v>
      </c>
      <c r="O771">
        <v>183187</v>
      </c>
      <c r="P771">
        <v>9.76</v>
      </c>
      <c r="Q771">
        <v>36</v>
      </c>
      <c r="R771" t="s">
        <v>3047</v>
      </c>
      <c r="S771" t="str">
        <f t="shared" ref="S771:S834" si="88">IF(R771="", "Unknown", R771)</f>
        <v>Personal</v>
      </c>
      <c r="T771">
        <v>524</v>
      </c>
      <c r="U771">
        <f t="shared" ref="U771:U834" si="89">IF(OR(T771="",T771&gt;999),$AD$2,T771)</f>
        <v>524</v>
      </c>
      <c r="V771">
        <v>1</v>
      </c>
      <c r="W771" t="s">
        <v>3052</v>
      </c>
      <c r="X771" s="3" t="s">
        <v>3210</v>
      </c>
      <c r="Y771" s="3">
        <f t="shared" ref="Y771:Y833" si="90">IF(ISNUMBER(X771), X771, DATEVALUE(X771))</f>
        <v>44453</v>
      </c>
      <c r="Z771">
        <v>0.1249</v>
      </c>
    </row>
    <row r="772" spans="1:26" x14ac:dyDescent="0.35">
      <c r="A772" t="s">
        <v>781</v>
      </c>
      <c r="B772" t="str">
        <f t="shared" si="84"/>
        <v>OK</v>
      </c>
      <c r="C772" t="s">
        <v>2270</v>
      </c>
      <c r="D772" s="2">
        <v>42</v>
      </c>
      <c r="E772">
        <f>IF(OR(D772&lt;18, D772&gt;100),AD771,D772)</f>
        <v>42</v>
      </c>
      <c r="F772" t="s">
        <v>2990</v>
      </c>
      <c r="G772" t="str">
        <f t="shared" si="85"/>
        <v>Male</v>
      </c>
      <c r="H772" t="s">
        <v>3003</v>
      </c>
      <c r="I772" t="s">
        <v>3021</v>
      </c>
      <c r="K772" t="str">
        <f t="shared" si="86"/>
        <v>Unemployed</v>
      </c>
      <c r="L772">
        <v>25</v>
      </c>
      <c r="M772">
        <v>869556</v>
      </c>
      <c r="N772">
        <f t="shared" si="87"/>
        <v>869556</v>
      </c>
      <c r="O772">
        <v>578685</v>
      </c>
      <c r="P772">
        <v>8.48</v>
      </c>
      <c r="Q772">
        <v>12</v>
      </c>
      <c r="R772" t="s">
        <v>3047</v>
      </c>
      <c r="S772" t="str">
        <f t="shared" si="88"/>
        <v>Personal</v>
      </c>
      <c r="T772">
        <v>654</v>
      </c>
      <c r="U772">
        <f t="shared" si="89"/>
        <v>654</v>
      </c>
      <c r="V772">
        <v>2</v>
      </c>
      <c r="W772" t="s">
        <v>3053</v>
      </c>
      <c r="X772" s="3" t="s">
        <v>3695</v>
      </c>
      <c r="Y772" s="3">
        <f t="shared" si="90"/>
        <v>44402</v>
      </c>
      <c r="Z772">
        <v>0.66549999999999998</v>
      </c>
    </row>
    <row r="773" spans="1:26" x14ac:dyDescent="0.35">
      <c r="A773" t="s">
        <v>782</v>
      </c>
      <c r="B773" t="str">
        <f t="shared" si="84"/>
        <v>OK</v>
      </c>
      <c r="C773" t="s">
        <v>2271</v>
      </c>
      <c r="D773" s="2">
        <v>33</v>
      </c>
      <c r="E773">
        <f>IF(OR(D773&lt;18, D773&gt;100),AD772,D773)</f>
        <v>33</v>
      </c>
      <c r="F773" t="s">
        <v>2992</v>
      </c>
      <c r="G773" t="str">
        <f t="shared" si="85"/>
        <v>Female</v>
      </c>
      <c r="H773" t="s">
        <v>3004</v>
      </c>
      <c r="I773" t="s">
        <v>3019</v>
      </c>
      <c r="K773" t="str">
        <f t="shared" si="86"/>
        <v>Employed</v>
      </c>
      <c r="L773">
        <v>29</v>
      </c>
      <c r="M773">
        <v>1481367</v>
      </c>
      <c r="N773">
        <f t="shared" si="87"/>
        <v>1481367</v>
      </c>
      <c r="O773">
        <v>284237</v>
      </c>
      <c r="P773">
        <v>16.84</v>
      </c>
      <c r="Q773">
        <v>24</v>
      </c>
      <c r="R773" t="s">
        <v>3046</v>
      </c>
      <c r="S773" t="str">
        <f t="shared" si="88"/>
        <v>Medical</v>
      </c>
      <c r="T773">
        <v>620</v>
      </c>
      <c r="U773">
        <f t="shared" si="89"/>
        <v>620</v>
      </c>
      <c r="V773">
        <v>5</v>
      </c>
      <c r="W773" t="s">
        <v>3057</v>
      </c>
      <c r="X773" s="3" t="s">
        <v>3696</v>
      </c>
      <c r="Y773" s="3">
        <f t="shared" si="90"/>
        <v>44599</v>
      </c>
      <c r="Z773">
        <v>0.19189999999999999</v>
      </c>
    </row>
    <row r="774" spans="1:26" x14ac:dyDescent="0.35">
      <c r="A774" t="s">
        <v>783</v>
      </c>
      <c r="B774" t="str">
        <f t="shared" si="84"/>
        <v>OK</v>
      </c>
      <c r="C774" t="s">
        <v>2272</v>
      </c>
      <c r="D774" s="2">
        <v>45</v>
      </c>
      <c r="E774">
        <f>IF(OR(D774&lt;18, D774&gt;100),AD773,D774)</f>
        <v>45</v>
      </c>
      <c r="F774" t="s">
        <v>2992</v>
      </c>
      <c r="G774" t="str">
        <f t="shared" si="85"/>
        <v>Female</v>
      </c>
      <c r="H774" t="s">
        <v>3006</v>
      </c>
      <c r="I774" t="s">
        <v>3021</v>
      </c>
      <c r="K774" t="str">
        <f t="shared" si="86"/>
        <v>Unemployed</v>
      </c>
      <c r="L774">
        <v>13</v>
      </c>
      <c r="M774">
        <v>-524710</v>
      </c>
      <c r="N774">
        <f t="shared" si="87"/>
        <v>1333224</v>
      </c>
      <c r="O774">
        <v>279480</v>
      </c>
      <c r="P774">
        <v>9.24</v>
      </c>
      <c r="Q774">
        <v>60</v>
      </c>
      <c r="R774" t="s">
        <v>3050</v>
      </c>
      <c r="S774" t="str">
        <f t="shared" si="88"/>
        <v>Agriculture</v>
      </c>
      <c r="T774">
        <v>421</v>
      </c>
      <c r="U774">
        <f t="shared" si="89"/>
        <v>421</v>
      </c>
      <c r="V774">
        <v>3</v>
      </c>
      <c r="W774" t="s">
        <v>3056</v>
      </c>
      <c r="X774" s="3" t="s">
        <v>3187</v>
      </c>
      <c r="Y774" s="3">
        <f t="shared" si="90"/>
        <v>44078</v>
      </c>
      <c r="Z774">
        <v>0.53259999999999996</v>
      </c>
    </row>
    <row r="775" spans="1:26" x14ac:dyDescent="0.35">
      <c r="A775" t="s">
        <v>784</v>
      </c>
      <c r="B775" t="str">
        <f t="shared" si="84"/>
        <v>OK</v>
      </c>
      <c r="C775" t="s">
        <v>2273</v>
      </c>
      <c r="D775" s="2">
        <v>25</v>
      </c>
      <c r="E775">
        <f>IF(OR(D775&lt;18, D775&gt;100),AD774,D775)</f>
        <v>25</v>
      </c>
      <c r="F775" t="s">
        <v>2990</v>
      </c>
      <c r="G775" t="str">
        <f t="shared" si="85"/>
        <v>Male</v>
      </c>
      <c r="H775" t="s">
        <v>3003</v>
      </c>
      <c r="I775" t="s">
        <v>3021</v>
      </c>
      <c r="K775" t="str">
        <f t="shared" si="86"/>
        <v>Unemployed</v>
      </c>
      <c r="L775">
        <v>28</v>
      </c>
      <c r="M775">
        <v>423373</v>
      </c>
      <c r="N775">
        <f t="shared" si="87"/>
        <v>423373</v>
      </c>
      <c r="O775">
        <v>508906</v>
      </c>
      <c r="P775">
        <v>15.45</v>
      </c>
      <c r="Q775">
        <v>24</v>
      </c>
      <c r="R775" t="s">
        <v>3048</v>
      </c>
      <c r="S775" t="str">
        <f t="shared" si="88"/>
        <v>Home Improvement</v>
      </c>
      <c r="T775">
        <v>848</v>
      </c>
      <c r="U775">
        <f t="shared" si="89"/>
        <v>848</v>
      </c>
      <c r="V775">
        <v>5</v>
      </c>
      <c r="W775" t="s">
        <v>3054</v>
      </c>
      <c r="X775" s="3" t="s">
        <v>3518</v>
      </c>
      <c r="Y775" s="3">
        <f t="shared" si="90"/>
        <v>44572</v>
      </c>
      <c r="Z775">
        <v>1.202</v>
      </c>
    </row>
    <row r="776" spans="1:26" x14ac:dyDescent="0.35">
      <c r="A776" t="s">
        <v>785</v>
      </c>
      <c r="B776" t="str">
        <f t="shared" si="84"/>
        <v>OK</v>
      </c>
      <c r="C776" t="s">
        <v>2274</v>
      </c>
      <c r="D776" s="2">
        <v>62</v>
      </c>
      <c r="E776">
        <f>IF(OR(D776&lt;18, D776&gt;100),AD775,D776)</f>
        <v>62</v>
      </c>
      <c r="F776" t="s">
        <v>2992</v>
      </c>
      <c r="G776" t="str">
        <f t="shared" si="85"/>
        <v>Female</v>
      </c>
      <c r="H776" t="s">
        <v>3007</v>
      </c>
      <c r="I776" t="s">
        <v>3020</v>
      </c>
      <c r="K776" t="str">
        <f t="shared" si="86"/>
        <v>Self-Employed</v>
      </c>
      <c r="L776">
        <v>23</v>
      </c>
      <c r="N776">
        <f t="shared" si="87"/>
        <v>1333224</v>
      </c>
      <c r="O776">
        <v>485590</v>
      </c>
      <c r="P776">
        <v>20.71</v>
      </c>
      <c r="Q776">
        <v>24</v>
      </c>
      <c r="R776" t="s">
        <v>3048</v>
      </c>
      <c r="S776" t="str">
        <f t="shared" si="88"/>
        <v>Home Improvement</v>
      </c>
      <c r="T776">
        <v>330</v>
      </c>
      <c r="U776">
        <f t="shared" si="89"/>
        <v>330</v>
      </c>
      <c r="V776">
        <v>5</v>
      </c>
      <c r="W776" t="s">
        <v>3057</v>
      </c>
      <c r="X776" s="3" t="s">
        <v>3071</v>
      </c>
      <c r="Y776" s="3">
        <f t="shared" si="90"/>
        <v>44154</v>
      </c>
      <c r="Z776">
        <v>0.46639999999999998</v>
      </c>
    </row>
    <row r="777" spans="1:26" x14ac:dyDescent="0.35">
      <c r="A777" t="s">
        <v>786</v>
      </c>
      <c r="B777" t="str">
        <f t="shared" si="84"/>
        <v>OK</v>
      </c>
      <c r="C777" t="s">
        <v>2275</v>
      </c>
      <c r="D777" s="2">
        <v>34</v>
      </c>
      <c r="E777">
        <f>IF(OR(D777&lt;18, D777&gt;100),AD776,D777)</f>
        <v>34</v>
      </c>
      <c r="F777" t="s">
        <v>2992</v>
      </c>
      <c r="G777" t="str">
        <f t="shared" si="85"/>
        <v>Female</v>
      </c>
      <c r="H777" t="s">
        <v>3006</v>
      </c>
      <c r="I777" t="s">
        <v>3018</v>
      </c>
      <c r="K777" t="str">
        <f t="shared" si="86"/>
        <v>Business Owner</v>
      </c>
      <c r="L777">
        <v>12</v>
      </c>
      <c r="M777">
        <v>630930</v>
      </c>
      <c r="N777">
        <f t="shared" si="87"/>
        <v>630930</v>
      </c>
      <c r="O777">
        <v>195121</v>
      </c>
      <c r="P777">
        <v>26.66</v>
      </c>
      <c r="Q777">
        <v>48</v>
      </c>
      <c r="R777" t="s">
        <v>3050</v>
      </c>
      <c r="S777" t="str">
        <f t="shared" si="88"/>
        <v>Agriculture</v>
      </c>
      <c r="T777">
        <v>509</v>
      </c>
      <c r="U777">
        <f t="shared" si="89"/>
        <v>509</v>
      </c>
      <c r="V777">
        <v>6</v>
      </c>
      <c r="W777" t="s">
        <v>3054</v>
      </c>
      <c r="X777" s="3" t="s">
        <v>3069</v>
      </c>
      <c r="Y777" s="3">
        <f t="shared" si="90"/>
        <v>44610</v>
      </c>
      <c r="Z777">
        <v>0.30930000000000002</v>
      </c>
    </row>
    <row r="778" spans="1:26" x14ac:dyDescent="0.35">
      <c r="A778" t="s">
        <v>787</v>
      </c>
      <c r="B778" t="str">
        <f t="shared" si="84"/>
        <v>OK</v>
      </c>
      <c r="C778" t="s">
        <v>2276</v>
      </c>
      <c r="D778" s="2">
        <v>58</v>
      </c>
      <c r="E778">
        <f>IF(OR(D778&lt;18, D778&gt;100),AD777,D778)</f>
        <v>58</v>
      </c>
      <c r="F778" t="s">
        <v>2992</v>
      </c>
      <c r="G778" t="str">
        <f t="shared" si="85"/>
        <v>Female</v>
      </c>
      <c r="H778" t="s">
        <v>3007</v>
      </c>
      <c r="I778" t="s">
        <v>3019</v>
      </c>
      <c r="K778" t="str">
        <f t="shared" si="86"/>
        <v>Employed</v>
      </c>
      <c r="L778">
        <v>14</v>
      </c>
      <c r="M778">
        <v>267468</v>
      </c>
      <c r="N778">
        <f t="shared" si="87"/>
        <v>267468</v>
      </c>
      <c r="O778">
        <v>565932</v>
      </c>
      <c r="P778">
        <v>9.93</v>
      </c>
      <c r="Q778">
        <v>60</v>
      </c>
      <c r="R778" t="s">
        <v>3051</v>
      </c>
      <c r="S778" t="str">
        <f t="shared" si="88"/>
        <v>Education</v>
      </c>
      <c r="T778">
        <v>592</v>
      </c>
      <c r="U778">
        <f t="shared" si="89"/>
        <v>592</v>
      </c>
      <c r="V778">
        <v>0</v>
      </c>
      <c r="W778" t="s">
        <v>3052</v>
      </c>
      <c r="X778" s="3" t="s">
        <v>3697</v>
      </c>
      <c r="Y778" s="3">
        <f t="shared" si="90"/>
        <v>44877</v>
      </c>
      <c r="Z778">
        <v>2.1158999999999999</v>
      </c>
    </row>
    <row r="779" spans="1:26" x14ac:dyDescent="0.35">
      <c r="A779" t="s">
        <v>788</v>
      </c>
      <c r="B779" t="str">
        <f t="shared" si="84"/>
        <v>OK</v>
      </c>
      <c r="C779" t="s">
        <v>2277</v>
      </c>
      <c r="D779" s="2">
        <v>54</v>
      </c>
      <c r="E779">
        <f>IF(OR(D779&lt;18, D779&gt;100),AD778,D779)</f>
        <v>54</v>
      </c>
      <c r="G779" t="str">
        <f t="shared" si="85"/>
        <v>Unknown</v>
      </c>
      <c r="H779" t="s">
        <v>3000</v>
      </c>
      <c r="K779" t="str">
        <f t="shared" si="86"/>
        <v>Unknown</v>
      </c>
      <c r="L779">
        <v>6</v>
      </c>
      <c r="M779">
        <v>1045363</v>
      </c>
      <c r="N779">
        <f t="shared" si="87"/>
        <v>1045363</v>
      </c>
      <c r="O779">
        <v>53340</v>
      </c>
      <c r="P779">
        <v>26.35</v>
      </c>
      <c r="Q779">
        <v>12</v>
      </c>
      <c r="R779" t="s">
        <v>3049</v>
      </c>
      <c r="S779" t="str">
        <f t="shared" si="88"/>
        <v>Business</v>
      </c>
      <c r="T779">
        <v>695</v>
      </c>
      <c r="U779">
        <f t="shared" si="89"/>
        <v>695</v>
      </c>
      <c r="V779">
        <v>0</v>
      </c>
      <c r="W779" t="s">
        <v>3052</v>
      </c>
      <c r="X779" s="3" t="s">
        <v>3698</v>
      </c>
      <c r="Y779" s="3">
        <f t="shared" si="90"/>
        <v>44353</v>
      </c>
      <c r="Z779">
        <v>5.0999999999999997E-2</v>
      </c>
    </row>
    <row r="780" spans="1:26" x14ac:dyDescent="0.35">
      <c r="A780" t="s">
        <v>789</v>
      </c>
      <c r="B780" t="str">
        <f t="shared" si="84"/>
        <v>OK</v>
      </c>
      <c r="C780" t="s">
        <v>2278</v>
      </c>
      <c r="D780" s="2">
        <v>31</v>
      </c>
      <c r="E780">
        <f>IF(OR(D780&lt;18, D780&gt;100),AD779,D780)</f>
        <v>31</v>
      </c>
      <c r="F780" t="s">
        <v>2990</v>
      </c>
      <c r="G780" t="str">
        <f t="shared" si="85"/>
        <v>Male</v>
      </c>
      <c r="H780" t="s">
        <v>2999</v>
      </c>
      <c r="I780" t="s">
        <v>3019</v>
      </c>
      <c r="K780" t="str">
        <f t="shared" si="86"/>
        <v>Employed</v>
      </c>
      <c r="L780">
        <v>27</v>
      </c>
      <c r="M780">
        <v>1578616</v>
      </c>
      <c r="N780">
        <f t="shared" si="87"/>
        <v>1578616</v>
      </c>
      <c r="O780">
        <v>689277</v>
      </c>
      <c r="P780">
        <v>8.4</v>
      </c>
      <c r="Q780">
        <v>12</v>
      </c>
      <c r="R780" t="s">
        <v>3050</v>
      </c>
      <c r="S780" t="str">
        <f t="shared" si="88"/>
        <v>Agriculture</v>
      </c>
      <c r="T780">
        <v>372</v>
      </c>
      <c r="U780">
        <f t="shared" si="89"/>
        <v>372</v>
      </c>
      <c r="V780">
        <v>2</v>
      </c>
      <c r="W780" t="s">
        <v>3056</v>
      </c>
      <c r="X780" s="3" t="s">
        <v>3699</v>
      </c>
      <c r="Y780" s="3">
        <f t="shared" si="90"/>
        <v>44753</v>
      </c>
      <c r="Z780">
        <v>0.43659999999999999</v>
      </c>
    </row>
    <row r="781" spans="1:26" x14ac:dyDescent="0.35">
      <c r="A781" t="s">
        <v>790</v>
      </c>
      <c r="B781" t="str">
        <f t="shared" si="84"/>
        <v>OK</v>
      </c>
      <c r="C781" t="s">
        <v>2279</v>
      </c>
      <c r="D781" s="2">
        <v>45</v>
      </c>
      <c r="E781">
        <f>IF(OR(D781&lt;18, D781&gt;100),AD780,D781)</f>
        <v>45</v>
      </c>
      <c r="F781" t="s">
        <v>2990</v>
      </c>
      <c r="G781" t="str">
        <f t="shared" si="85"/>
        <v>Male</v>
      </c>
      <c r="H781" t="s">
        <v>3003</v>
      </c>
      <c r="I781" t="s">
        <v>3021</v>
      </c>
      <c r="K781" t="str">
        <f t="shared" si="86"/>
        <v>Unemployed</v>
      </c>
      <c r="L781">
        <v>23</v>
      </c>
      <c r="M781">
        <v>2011094</v>
      </c>
      <c r="N781">
        <f t="shared" si="87"/>
        <v>2011094</v>
      </c>
      <c r="O781">
        <v>416981</v>
      </c>
      <c r="P781">
        <v>26.81</v>
      </c>
      <c r="Q781">
        <v>60</v>
      </c>
      <c r="R781" t="s">
        <v>3050</v>
      </c>
      <c r="S781" t="str">
        <f t="shared" si="88"/>
        <v>Agriculture</v>
      </c>
      <c r="U781">
        <f t="shared" si="89"/>
        <v>556</v>
      </c>
      <c r="V781">
        <v>4</v>
      </c>
      <c r="W781" t="s">
        <v>3054</v>
      </c>
      <c r="X781" s="3" t="s">
        <v>3700</v>
      </c>
      <c r="Y781" s="3">
        <f t="shared" si="90"/>
        <v>44254</v>
      </c>
      <c r="Z781">
        <v>0.20730000000000001</v>
      </c>
    </row>
    <row r="782" spans="1:26" x14ac:dyDescent="0.35">
      <c r="A782" t="s">
        <v>791</v>
      </c>
      <c r="B782" t="str">
        <f t="shared" si="84"/>
        <v>OK</v>
      </c>
      <c r="C782" t="s">
        <v>2280</v>
      </c>
      <c r="D782" s="2">
        <v>54</v>
      </c>
      <c r="E782">
        <f>IF(OR(D782&lt;18, D782&gt;100),AD781,D782)</f>
        <v>54</v>
      </c>
      <c r="F782" t="s">
        <v>2990</v>
      </c>
      <c r="G782" t="str">
        <f t="shared" si="85"/>
        <v>Male</v>
      </c>
      <c r="H782" t="s">
        <v>3008</v>
      </c>
      <c r="I782" t="s">
        <v>3019</v>
      </c>
      <c r="K782" t="str">
        <f t="shared" si="86"/>
        <v>Employed</v>
      </c>
      <c r="L782">
        <v>2</v>
      </c>
      <c r="M782">
        <v>1032746</v>
      </c>
      <c r="N782">
        <f t="shared" si="87"/>
        <v>1032746</v>
      </c>
      <c r="O782">
        <v>465093</v>
      </c>
      <c r="P782">
        <v>12.97</v>
      </c>
      <c r="Q782">
        <v>36</v>
      </c>
      <c r="R782" t="s">
        <v>3049</v>
      </c>
      <c r="S782" t="str">
        <f t="shared" si="88"/>
        <v>Business</v>
      </c>
      <c r="T782">
        <v>663</v>
      </c>
      <c r="U782">
        <f t="shared" si="89"/>
        <v>663</v>
      </c>
      <c r="V782">
        <v>1</v>
      </c>
      <c r="W782" t="s">
        <v>3055</v>
      </c>
      <c r="X782" s="3" t="s">
        <v>3701</v>
      </c>
      <c r="Y782" s="3">
        <f t="shared" si="90"/>
        <v>45002</v>
      </c>
      <c r="Z782">
        <v>0.45029999999999998</v>
      </c>
    </row>
    <row r="783" spans="1:26" x14ac:dyDescent="0.35">
      <c r="A783" t="s">
        <v>792</v>
      </c>
      <c r="B783" t="str">
        <f t="shared" si="84"/>
        <v>OK</v>
      </c>
      <c r="C783" t="s">
        <v>2281</v>
      </c>
      <c r="D783" s="2">
        <v>55</v>
      </c>
      <c r="E783">
        <f>IF(OR(D783&lt;18, D783&gt;100),AD782,D783)</f>
        <v>55</v>
      </c>
      <c r="F783" t="s">
        <v>2992</v>
      </c>
      <c r="G783" t="str">
        <f t="shared" si="85"/>
        <v>Female</v>
      </c>
      <c r="H783" t="s">
        <v>3004</v>
      </c>
      <c r="I783" t="s">
        <v>3021</v>
      </c>
      <c r="K783" t="str">
        <f t="shared" si="86"/>
        <v>Unemployed</v>
      </c>
      <c r="L783">
        <v>20</v>
      </c>
      <c r="M783">
        <v>584772</v>
      </c>
      <c r="N783">
        <f t="shared" si="87"/>
        <v>584772</v>
      </c>
      <c r="O783">
        <v>488947</v>
      </c>
      <c r="P783">
        <v>14.69</v>
      </c>
      <c r="Q783">
        <v>12</v>
      </c>
      <c r="R783" t="s">
        <v>3048</v>
      </c>
      <c r="S783" t="str">
        <f t="shared" si="88"/>
        <v>Home Improvement</v>
      </c>
      <c r="T783">
        <v>721</v>
      </c>
      <c r="U783">
        <f t="shared" si="89"/>
        <v>721</v>
      </c>
      <c r="V783">
        <v>5</v>
      </c>
      <c r="W783" t="s">
        <v>3054</v>
      </c>
      <c r="X783" s="3" t="s">
        <v>3702</v>
      </c>
      <c r="Y783" s="3">
        <f t="shared" si="90"/>
        <v>44050</v>
      </c>
      <c r="Z783">
        <v>0.83609999999999995</v>
      </c>
    </row>
    <row r="784" spans="1:26" x14ac:dyDescent="0.35">
      <c r="A784" t="s">
        <v>793</v>
      </c>
      <c r="B784" t="str">
        <f t="shared" si="84"/>
        <v>OK</v>
      </c>
      <c r="C784" t="s">
        <v>2282</v>
      </c>
      <c r="D784" s="2">
        <v>26</v>
      </c>
      <c r="E784">
        <f>IF(OR(D784&lt;18, D784&gt;100),AD783,D784)</f>
        <v>26</v>
      </c>
      <c r="F784" t="s">
        <v>2992</v>
      </c>
      <c r="G784" t="str">
        <f t="shared" si="85"/>
        <v>Female</v>
      </c>
      <c r="H784" t="s">
        <v>2998</v>
      </c>
      <c r="I784" t="s">
        <v>3019</v>
      </c>
      <c r="K784" t="str">
        <f t="shared" si="86"/>
        <v>Employed</v>
      </c>
      <c r="L784">
        <v>7</v>
      </c>
      <c r="M784">
        <v>1334424</v>
      </c>
      <c r="N784">
        <f t="shared" si="87"/>
        <v>1334424</v>
      </c>
      <c r="O784">
        <v>130130</v>
      </c>
      <c r="P784">
        <v>15.64</v>
      </c>
      <c r="Q784">
        <v>36</v>
      </c>
      <c r="R784" t="s">
        <v>3051</v>
      </c>
      <c r="S784" t="str">
        <f t="shared" si="88"/>
        <v>Education</v>
      </c>
      <c r="T784">
        <v>686</v>
      </c>
      <c r="U784">
        <f t="shared" si="89"/>
        <v>686</v>
      </c>
      <c r="V784">
        <v>7</v>
      </c>
      <c r="W784" t="s">
        <v>3056</v>
      </c>
      <c r="X784" s="3" t="s">
        <v>3703</v>
      </c>
      <c r="Y784" s="3">
        <f t="shared" si="90"/>
        <v>44443</v>
      </c>
      <c r="Z784">
        <v>9.7500000000000003E-2</v>
      </c>
    </row>
    <row r="785" spans="1:26" x14ac:dyDescent="0.35">
      <c r="A785" t="s">
        <v>794</v>
      </c>
      <c r="B785" t="str">
        <f t="shared" si="84"/>
        <v>OK</v>
      </c>
      <c r="C785" t="s">
        <v>2283</v>
      </c>
      <c r="D785" s="2">
        <v>41</v>
      </c>
      <c r="E785">
        <f>IF(OR(D785&lt;18, D785&gt;100),AD784,D785)</f>
        <v>41</v>
      </c>
      <c r="F785" t="s">
        <v>2990</v>
      </c>
      <c r="G785" t="str">
        <f t="shared" si="85"/>
        <v>Male</v>
      </c>
      <c r="H785" t="s">
        <v>2999</v>
      </c>
      <c r="I785" t="s">
        <v>3018</v>
      </c>
      <c r="K785" t="str">
        <f t="shared" si="86"/>
        <v>Business Owner</v>
      </c>
      <c r="L785">
        <v>23</v>
      </c>
      <c r="M785">
        <v>1872128</v>
      </c>
      <c r="N785">
        <f t="shared" si="87"/>
        <v>1872128</v>
      </c>
      <c r="O785">
        <v>621891</v>
      </c>
      <c r="P785">
        <v>22.58</v>
      </c>
      <c r="Q785">
        <v>60</v>
      </c>
      <c r="R785" t="s">
        <v>3046</v>
      </c>
      <c r="S785" t="str">
        <f t="shared" si="88"/>
        <v>Medical</v>
      </c>
      <c r="T785">
        <v>364</v>
      </c>
      <c r="U785">
        <f t="shared" si="89"/>
        <v>364</v>
      </c>
      <c r="V785">
        <v>6</v>
      </c>
      <c r="W785" t="s">
        <v>3057</v>
      </c>
      <c r="X785" s="3" t="s">
        <v>3226</v>
      </c>
      <c r="Y785" s="3">
        <f t="shared" si="90"/>
        <v>45218</v>
      </c>
      <c r="Z785">
        <v>0.3322</v>
      </c>
    </row>
    <row r="786" spans="1:26" x14ac:dyDescent="0.35">
      <c r="A786" t="s">
        <v>795</v>
      </c>
      <c r="B786" t="str">
        <f t="shared" si="84"/>
        <v>OK</v>
      </c>
      <c r="C786" t="s">
        <v>2284</v>
      </c>
      <c r="D786" s="2">
        <v>63</v>
      </c>
      <c r="E786">
        <f>IF(OR(D786&lt;18, D786&gt;100),AD785,D786)</f>
        <v>63</v>
      </c>
      <c r="F786" t="s">
        <v>2992</v>
      </c>
      <c r="G786" t="str">
        <f t="shared" si="85"/>
        <v>Female</v>
      </c>
      <c r="H786" t="s">
        <v>2999</v>
      </c>
      <c r="I786" t="s">
        <v>3018</v>
      </c>
      <c r="K786" t="str">
        <f t="shared" si="86"/>
        <v>Business Owner</v>
      </c>
      <c r="L786">
        <v>13</v>
      </c>
      <c r="M786">
        <v>794805</v>
      </c>
      <c r="N786">
        <f t="shared" si="87"/>
        <v>794805</v>
      </c>
      <c r="O786">
        <v>577564</v>
      </c>
      <c r="P786">
        <v>9.6999999999999993</v>
      </c>
      <c r="Q786">
        <v>60</v>
      </c>
      <c r="R786" t="s">
        <v>3048</v>
      </c>
      <c r="S786" t="str">
        <f t="shared" si="88"/>
        <v>Home Improvement</v>
      </c>
      <c r="T786">
        <v>0</v>
      </c>
      <c r="U786">
        <f t="shared" si="89"/>
        <v>0</v>
      </c>
      <c r="V786">
        <v>5</v>
      </c>
      <c r="W786" t="s">
        <v>3057</v>
      </c>
      <c r="X786" s="3" t="s">
        <v>3704</v>
      </c>
      <c r="Y786" s="3">
        <f t="shared" si="90"/>
        <v>45073</v>
      </c>
      <c r="Z786">
        <v>0.72670000000000001</v>
      </c>
    </row>
    <row r="787" spans="1:26" x14ac:dyDescent="0.35">
      <c r="A787" t="s">
        <v>796</v>
      </c>
      <c r="B787" t="str">
        <f t="shared" si="84"/>
        <v>OK</v>
      </c>
      <c r="C787" t="s">
        <v>2285</v>
      </c>
      <c r="D787" s="2">
        <v>59</v>
      </c>
      <c r="E787">
        <f>IF(OR(D787&lt;18, D787&gt;100),AD786,D787)</f>
        <v>59</v>
      </c>
      <c r="F787" t="s">
        <v>2990</v>
      </c>
      <c r="G787" t="str">
        <f t="shared" si="85"/>
        <v>Male</v>
      </c>
      <c r="H787" t="s">
        <v>3007</v>
      </c>
      <c r="I787" t="s">
        <v>3020</v>
      </c>
      <c r="K787" t="str">
        <f t="shared" si="86"/>
        <v>Self-Employed</v>
      </c>
      <c r="L787">
        <v>6</v>
      </c>
      <c r="M787">
        <v>356076</v>
      </c>
      <c r="N787">
        <f t="shared" si="87"/>
        <v>356076</v>
      </c>
      <c r="O787">
        <v>277803</v>
      </c>
      <c r="P787">
        <v>26.05</v>
      </c>
      <c r="Q787">
        <v>12</v>
      </c>
      <c r="R787" t="s">
        <v>3046</v>
      </c>
      <c r="S787" t="str">
        <f t="shared" si="88"/>
        <v>Medical</v>
      </c>
      <c r="T787">
        <v>691</v>
      </c>
      <c r="U787">
        <f t="shared" si="89"/>
        <v>691</v>
      </c>
      <c r="V787">
        <v>6</v>
      </c>
      <c r="W787" t="s">
        <v>3057</v>
      </c>
      <c r="X787" s="3" t="s">
        <v>3563</v>
      </c>
      <c r="Y787" s="3">
        <f t="shared" si="90"/>
        <v>44144</v>
      </c>
      <c r="Z787">
        <v>0.7802</v>
      </c>
    </row>
    <row r="788" spans="1:26" x14ac:dyDescent="0.35">
      <c r="A788" t="s">
        <v>797</v>
      </c>
      <c r="B788" t="str">
        <f t="shared" si="84"/>
        <v>OK</v>
      </c>
      <c r="C788" t="s">
        <v>2286</v>
      </c>
      <c r="D788" s="2">
        <v>48</v>
      </c>
      <c r="E788">
        <f>IF(OR(D788&lt;18, D788&gt;100),AD787,D788)</f>
        <v>48</v>
      </c>
      <c r="F788" t="s">
        <v>2990</v>
      </c>
      <c r="G788" t="str">
        <f t="shared" si="85"/>
        <v>Male</v>
      </c>
      <c r="H788" t="s">
        <v>3007</v>
      </c>
      <c r="I788" t="s">
        <v>3021</v>
      </c>
      <c r="K788" t="str">
        <f t="shared" si="86"/>
        <v>Unemployed</v>
      </c>
      <c r="L788">
        <v>24</v>
      </c>
      <c r="M788">
        <v>2104401</v>
      </c>
      <c r="N788">
        <f t="shared" si="87"/>
        <v>2104401</v>
      </c>
      <c r="O788">
        <v>549739</v>
      </c>
      <c r="P788">
        <v>14.92</v>
      </c>
      <c r="Q788">
        <v>12</v>
      </c>
      <c r="R788" t="s">
        <v>3051</v>
      </c>
      <c r="S788" t="str">
        <f t="shared" si="88"/>
        <v>Education</v>
      </c>
      <c r="T788">
        <v>443</v>
      </c>
      <c r="U788">
        <f t="shared" si="89"/>
        <v>443</v>
      </c>
      <c r="V788">
        <v>5</v>
      </c>
      <c r="W788" t="s">
        <v>3057</v>
      </c>
      <c r="X788" s="3" t="s">
        <v>3168</v>
      </c>
      <c r="Y788" s="3">
        <f t="shared" si="90"/>
        <v>44473</v>
      </c>
      <c r="Z788">
        <v>0.26119999999999999</v>
      </c>
    </row>
    <row r="789" spans="1:26" x14ac:dyDescent="0.35">
      <c r="A789" t="s">
        <v>798</v>
      </c>
      <c r="B789" t="str">
        <f t="shared" si="84"/>
        <v>OK</v>
      </c>
      <c r="C789" t="s">
        <v>2287</v>
      </c>
      <c r="D789" s="2">
        <v>43</v>
      </c>
      <c r="E789">
        <f>IF(OR(D789&lt;18, D789&gt;100),AD788,D789)</f>
        <v>43</v>
      </c>
      <c r="F789" t="s">
        <v>2992</v>
      </c>
      <c r="G789" t="str">
        <f t="shared" si="85"/>
        <v>Female</v>
      </c>
      <c r="H789" t="s">
        <v>3003</v>
      </c>
      <c r="I789" t="s">
        <v>3021</v>
      </c>
      <c r="K789" t="str">
        <f t="shared" si="86"/>
        <v>Unemployed</v>
      </c>
      <c r="L789">
        <v>9</v>
      </c>
      <c r="M789">
        <v>1015036</v>
      </c>
      <c r="N789">
        <f t="shared" si="87"/>
        <v>1015036</v>
      </c>
      <c r="O789">
        <v>440343</v>
      </c>
      <c r="P789">
        <v>18.510000000000002</v>
      </c>
      <c r="Q789">
        <v>60</v>
      </c>
      <c r="R789" t="s">
        <v>3046</v>
      </c>
      <c r="S789" t="str">
        <f t="shared" si="88"/>
        <v>Medical</v>
      </c>
      <c r="U789">
        <f t="shared" si="89"/>
        <v>556</v>
      </c>
      <c r="V789">
        <v>6</v>
      </c>
      <c r="W789" t="s">
        <v>3057</v>
      </c>
      <c r="X789" s="3" t="s">
        <v>3705</v>
      </c>
      <c r="Y789" s="3">
        <f t="shared" si="90"/>
        <v>45237</v>
      </c>
      <c r="Z789">
        <v>0.43380000000000002</v>
      </c>
    </row>
    <row r="790" spans="1:26" x14ac:dyDescent="0.35">
      <c r="A790" t="s">
        <v>799</v>
      </c>
      <c r="B790" t="str">
        <f t="shared" si="84"/>
        <v>OK</v>
      </c>
      <c r="C790" t="s">
        <v>2288</v>
      </c>
      <c r="D790" s="2">
        <v>44</v>
      </c>
      <c r="E790">
        <f>IF(OR(D790&lt;18, D790&gt;100),AD789,D790)</f>
        <v>44</v>
      </c>
      <c r="F790" t="s">
        <v>2992</v>
      </c>
      <c r="G790" t="str">
        <f t="shared" si="85"/>
        <v>Female</v>
      </c>
      <c r="H790" t="s">
        <v>3002</v>
      </c>
      <c r="I790" t="s">
        <v>3021</v>
      </c>
      <c r="K790" t="str">
        <f t="shared" si="86"/>
        <v>Unemployed</v>
      </c>
      <c r="L790">
        <v>18</v>
      </c>
      <c r="M790">
        <v>1192384</v>
      </c>
      <c r="N790">
        <f t="shared" si="87"/>
        <v>1192384</v>
      </c>
      <c r="O790">
        <v>589383</v>
      </c>
      <c r="P790">
        <v>10.52</v>
      </c>
      <c r="Q790">
        <v>36</v>
      </c>
      <c r="R790" t="s">
        <v>3051</v>
      </c>
      <c r="S790" t="str">
        <f t="shared" si="88"/>
        <v>Education</v>
      </c>
      <c r="T790">
        <v>598</v>
      </c>
      <c r="U790">
        <f t="shared" si="89"/>
        <v>598</v>
      </c>
      <c r="V790">
        <v>0</v>
      </c>
      <c r="W790" t="s">
        <v>3057</v>
      </c>
      <c r="X790" s="3" t="s">
        <v>3357</v>
      </c>
      <c r="Y790" s="3">
        <f t="shared" si="90"/>
        <v>44377</v>
      </c>
      <c r="Z790">
        <v>0.49430000000000002</v>
      </c>
    </row>
    <row r="791" spans="1:26" x14ac:dyDescent="0.35">
      <c r="A791" t="s">
        <v>800</v>
      </c>
      <c r="B791" t="str">
        <f t="shared" si="84"/>
        <v>OK</v>
      </c>
      <c r="C791" t="s">
        <v>2289</v>
      </c>
      <c r="D791" s="2">
        <v>59</v>
      </c>
      <c r="E791">
        <f>IF(OR(D791&lt;18, D791&gt;100),AD790,D791)</f>
        <v>59</v>
      </c>
      <c r="F791" t="s">
        <v>2992</v>
      </c>
      <c r="G791" t="str">
        <f t="shared" si="85"/>
        <v>Female</v>
      </c>
      <c r="H791" t="s">
        <v>2999</v>
      </c>
      <c r="I791" t="s">
        <v>3019</v>
      </c>
      <c r="K791" t="str">
        <f t="shared" si="86"/>
        <v>Employed</v>
      </c>
      <c r="L791">
        <v>9</v>
      </c>
      <c r="M791">
        <v>1995111</v>
      </c>
      <c r="N791">
        <f t="shared" si="87"/>
        <v>1995111</v>
      </c>
      <c r="O791">
        <v>527235</v>
      </c>
      <c r="P791">
        <v>27.11</v>
      </c>
      <c r="Q791">
        <v>60</v>
      </c>
      <c r="R791" t="s">
        <v>3047</v>
      </c>
      <c r="S791" t="str">
        <f t="shared" si="88"/>
        <v>Personal</v>
      </c>
      <c r="T791">
        <v>581</v>
      </c>
      <c r="U791">
        <f t="shared" si="89"/>
        <v>581</v>
      </c>
      <c r="V791">
        <v>1</v>
      </c>
      <c r="W791" t="s">
        <v>3053</v>
      </c>
      <c r="X791" s="3" t="s">
        <v>3263</v>
      </c>
      <c r="Y791" s="3">
        <f t="shared" si="90"/>
        <v>45227</v>
      </c>
      <c r="Z791">
        <v>0.26429999999999998</v>
      </c>
    </row>
    <row r="792" spans="1:26" x14ac:dyDescent="0.35">
      <c r="A792" t="s">
        <v>801</v>
      </c>
      <c r="B792" t="str">
        <f t="shared" si="84"/>
        <v>OK</v>
      </c>
      <c r="C792" t="s">
        <v>2290</v>
      </c>
      <c r="D792" s="2">
        <v>44</v>
      </c>
      <c r="E792">
        <f>IF(OR(D792&lt;18, D792&gt;100),AD791,D792)</f>
        <v>44</v>
      </c>
      <c r="F792" t="s">
        <v>2992</v>
      </c>
      <c r="G792" t="str">
        <f t="shared" si="85"/>
        <v>Female</v>
      </c>
      <c r="H792" t="s">
        <v>3002</v>
      </c>
      <c r="I792" t="s">
        <v>3018</v>
      </c>
      <c r="K792" t="str">
        <f t="shared" si="86"/>
        <v>Business Owner</v>
      </c>
      <c r="L792">
        <v>12</v>
      </c>
      <c r="M792">
        <v>2361913</v>
      </c>
      <c r="N792">
        <f t="shared" si="87"/>
        <v>2361913</v>
      </c>
      <c r="O792">
        <v>315599</v>
      </c>
      <c r="P792">
        <v>11.72</v>
      </c>
      <c r="Q792">
        <v>48</v>
      </c>
      <c r="R792" t="s">
        <v>3050</v>
      </c>
      <c r="S792" t="str">
        <f t="shared" si="88"/>
        <v>Agriculture</v>
      </c>
      <c r="T792">
        <v>340</v>
      </c>
      <c r="U792">
        <f t="shared" si="89"/>
        <v>340</v>
      </c>
      <c r="V792">
        <v>2</v>
      </c>
      <c r="W792" t="s">
        <v>3056</v>
      </c>
      <c r="X792" s="3" t="s">
        <v>3706</v>
      </c>
      <c r="Y792" s="3">
        <f t="shared" si="90"/>
        <v>43836</v>
      </c>
      <c r="Z792">
        <v>0.1336</v>
      </c>
    </row>
    <row r="793" spans="1:26" x14ac:dyDescent="0.35">
      <c r="A793" t="s">
        <v>802</v>
      </c>
      <c r="B793" t="str">
        <f t="shared" si="84"/>
        <v>OK</v>
      </c>
      <c r="C793" t="s">
        <v>2291</v>
      </c>
      <c r="D793" s="2">
        <v>56</v>
      </c>
      <c r="E793">
        <f>IF(OR(D793&lt;18, D793&gt;100),AD792,D793)</f>
        <v>56</v>
      </c>
      <c r="F793" t="s">
        <v>2990</v>
      </c>
      <c r="G793" t="str">
        <f t="shared" si="85"/>
        <v>Male</v>
      </c>
      <c r="H793" t="s">
        <v>3002</v>
      </c>
      <c r="I793" t="s">
        <v>3021</v>
      </c>
      <c r="K793" t="str">
        <f t="shared" si="86"/>
        <v>Unemployed</v>
      </c>
      <c r="L793">
        <v>7</v>
      </c>
      <c r="M793">
        <v>478871</v>
      </c>
      <c r="N793">
        <f t="shared" si="87"/>
        <v>478871</v>
      </c>
      <c r="O793">
        <v>451722</v>
      </c>
      <c r="P793">
        <v>9.19</v>
      </c>
      <c r="Q793">
        <v>12</v>
      </c>
      <c r="R793" t="s">
        <v>3047</v>
      </c>
      <c r="S793" t="str">
        <f t="shared" si="88"/>
        <v>Personal</v>
      </c>
      <c r="T793">
        <v>672</v>
      </c>
      <c r="U793">
        <f t="shared" si="89"/>
        <v>672</v>
      </c>
      <c r="V793">
        <v>0</v>
      </c>
      <c r="W793" t="s">
        <v>3056</v>
      </c>
      <c r="X793" s="3" t="s">
        <v>3707</v>
      </c>
      <c r="Y793" s="3">
        <f t="shared" si="90"/>
        <v>43953</v>
      </c>
      <c r="Z793">
        <v>0.94330000000000003</v>
      </c>
    </row>
    <row r="794" spans="1:26" x14ac:dyDescent="0.35">
      <c r="A794" t="s">
        <v>803</v>
      </c>
      <c r="B794" t="str">
        <f t="shared" si="84"/>
        <v>OK</v>
      </c>
      <c r="C794" t="s">
        <v>2292</v>
      </c>
      <c r="D794" s="2">
        <v>38</v>
      </c>
      <c r="E794">
        <f>IF(OR(D794&lt;18, D794&gt;100),AD793,D794)</f>
        <v>38</v>
      </c>
      <c r="F794" t="s">
        <v>2990</v>
      </c>
      <c r="G794" t="str">
        <f t="shared" si="85"/>
        <v>Male</v>
      </c>
      <c r="H794" t="s">
        <v>3001</v>
      </c>
      <c r="I794" t="s">
        <v>3018</v>
      </c>
      <c r="K794" t="str">
        <f t="shared" si="86"/>
        <v>Business Owner</v>
      </c>
      <c r="L794">
        <v>27</v>
      </c>
      <c r="M794">
        <v>1343950</v>
      </c>
      <c r="N794">
        <f t="shared" si="87"/>
        <v>1343950</v>
      </c>
      <c r="O794">
        <v>714489</v>
      </c>
      <c r="P794">
        <v>11.47</v>
      </c>
      <c r="Q794">
        <v>60</v>
      </c>
      <c r="R794" t="s">
        <v>3046</v>
      </c>
      <c r="S794" t="str">
        <f t="shared" si="88"/>
        <v>Medical</v>
      </c>
      <c r="T794">
        <v>321</v>
      </c>
      <c r="U794">
        <f t="shared" si="89"/>
        <v>321</v>
      </c>
      <c r="V794">
        <v>3</v>
      </c>
      <c r="W794" t="s">
        <v>3052</v>
      </c>
      <c r="X794" s="3" t="s">
        <v>3471</v>
      </c>
      <c r="Y794" s="3">
        <f t="shared" si="90"/>
        <v>45203</v>
      </c>
      <c r="Z794">
        <v>0.53159999999999996</v>
      </c>
    </row>
    <row r="795" spans="1:26" x14ac:dyDescent="0.35">
      <c r="A795" t="s">
        <v>804</v>
      </c>
      <c r="B795" t="str">
        <f t="shared" si="84"/>
        <v>OK</v>
      </c>
      <c r="C795" t="s">
        <v>2293</v>
      </c>
      <c r="D795" s="2">
        <v>33</v>
      </c>
      <c r="E795">
        <f>IF(OR(D795&lt;18, D795&gt;100),AD794,D795)</f>
        <v>33</v>
      </c>
      <c r="F795" t="s">
        <v>2990</v>
      </c>
      <c r="G795" t="str">
        <f t="shared" si="85"/>
        <v>Male</v>
      </c>
      <c r="H795" t="s">
        <v>3003</v>
      </c>
      <c r="I795" t="s">
        <v>3018</v>
      </c>
      <c r="K795" t="str">
        <f t="shared" si="86"/>
        <v>Business Owner</v>
      </c>
      <c r="L795">
        <v>15</v>
      </c>
      <c r="M795">
        <v>490375</v>
      </c>
      <c r="N795">
        <f t="shared" si="87"/>
        <v>490375</v>
      </c>
      <c r="O795">
        <v>739785</v>
      </c>
      <c r="P795">
        <v>13.44</v>
      </c>
      <c r="Q795">
        <v>12</v>
      </c>
      <c r="R795" t="s">
        <v>3049</v>
      </c>
      <c r="S795" t="str">
        <f t="shared" si="88"/>
        <v>Business</v>
      </c>
      <c r="T795">
        <v>400</v>
      </c>
      <c r="U795">
        <f t="shared" si="89"/>
        <v>400</v>
      </c>
      <c r="V795">
        <v>6</v>
      </c>
      <c r="W795" t="s">
        <v>3054</v>
      </c>
      <c r="X795" s="3" t="s">
        <v>3168</v>
      </c>
      <c r="Y795" s="3">
        <f t="shared" si="90"/>
        <v>44473</v>
      </c>
      <c r="Z795">
        <v>1.5085999999999999</v>
      </c>
    </row>
    <row r="796" spans="1:26" x14ac:dyDescent="0.35">
      <c r="A796" t="s">
        <v>805</v>
      </c>
      <c r="B796" t="str">
        <f t="shared" si="84"/>
        <v>OK</v>
      </c>
      <c r="C796" t="s">
        <v>2294</v>
      </c>
      <c r="D796" s="2">
        <v>54</v>
      </c>
      <c r="E796">
        <f>IF(OR(D796&lt;18, D796&gt;100),AD795,D796)</f>
        <v>54</v>
      </c>
      <c r="F796" t="s">
        <v>2992</v>
      </c>
      <c r="G796" t="str">
        <f t="shared" si="85"/>
        <v>Female</v>
      </c>
      <c r="H796" t="s">
        <v>3002</v>
      </c>
      <c r="I796" t="s">
        <v>3019</v>
      </c>
      <c r="K796" t="str">
        <f t="shared" si="86"/>
        <v>Employed</v>
      </c>
      <c r="L796">
        <v>12</v>
      </c>
      <c r="N796">
        <f t="shared" si="87"/>
        <v>1333224</v>
      </c>
      <c r="O796">
        <v>459503</v>
      </c>
      <c r="P796">
        <v>10.82</v>
      </c>
      <c r="Q796">
        <v>48</v>
      </c>
      <c r="R796" t="s">
        <v>3051</v>
      </c>
      <c r="S796" t="str">
        <f t="shared" si="88"/>
        <v>Education</v>
      </c>
      <c r="T796">
        <v>750</v>
      </c>
      <c r="U796">
        <f t="shared" si="89"/>
        <v>750</v>
      </c>
      <c r="V796">
        <v>6</v>
      </c>
      <c r="W796" t="s">
        <v>3056</v>
      </c>
      <c r="X796" s="3" t="s">
        <v>3708</v>
      </c>
      <c r="Y796" s="3">
        <f t="shared" si="90"/>
        <v>45100</v>
      </c>
      <c r="Z796">
        <v>0.27010000000000001</v>
      </c>
    </row>
    <row r="797" spans="1:26" x14ac:dyDescent="0.35">
      <c r="A797" t="s">
        <v>806</v>
      </c>
      <c r="B797" t="str">
        <f t="shared" si="84"/>
        <v>OK</v>
      </c>
      <c r="C797" t="s">
        <v>2295</v>
      </c>
      <c r="D797" s="2">
        <v>52</v>
      </c>
      <c r="E797">
        <f>IF(OR(D797&lt;18, D797&gt;100),AD796,D797)</f>
        <v>52</v>
      </c>
      <c r="F797" t="s">
        <v>2992</v>
      </c>
      <c r="G797" t="str">
        <f t="shared" si="85"/>
        <v>Female</v>
      </c>
      <c r="H797" t="s">
        <v>3001</v>
      </c>
      <c r="I797" t="s">
        <v>3018</v>
      </c>
      <c r="K797" t="str">
        <f t="shared" si="86"/>
        <v>Business Owner</v>
      </c>
      <c r="L797">
        <v>22</v>
      </c>
      <c r="M797">
        <v>1955767</v>
      </c>
      <c r="N797">
        <f t="shared" si="87"/>
        <v>1955767</v>
      </c>
      <c r="O797">
        <v>261133</v>
      </c>
      <c r="P797">
        <v>23.59</v>
      </c>
      <c r="Q797">
        <v>12</v>
      </c>
      <c r="R797" t="s">
        <v>3050</v>
      </c>
      <c r="S797" t="str">
        <f t="shared" si="88"/>
        <v>Agriculture</v>
      </c>
      <c r="T797">
        <v>607</v>
      </c>
      <c r="U797">
        <f t="shared" si="89"/>
        <v>607</v>
      </c>
      <c r="V797">
        <v>4</v>
      </c>
      <c r="W797" t="s">
        <v>3057</v>
      </c>
      <c r="X797" s="3" t="s">
        <v>3368</v>
      </c>
      <c r="Y797" s="3">
        <f t="shared" si="90"/>
        <v>45102</v>
      </c>
      <c r="Z797">
        <v>0.13350000000000001</v>
      </c>
    </row>
    <row r="798" spans="1:26" x14ac:dyDescent="0.35">
      <c r="A798" t="s">
        <v>807</v>
      </c>
      <c r="B798" t="str">
        <f t="shared" si="84"/>
        <v>OK</v>
      </c>
      <c r="C798" t="s">
        <v>2296</v>
      </c>
      <c r="D798" s="2">
        <v>53</v>
      </c>
      <c r="E798">
        <f>IF(OR(D798&lt;18, D798&gt;100),AD797,D798)</f>
        <v>53</v>
      </c>
      <c r="F798" t="s">
        <v>2992</v>
      </c>
      <c r="G798" t="str">
        <f t="shared" si="85"/>
        <v>Female</v>
      </c>
      <c r="H798" t="s">
        <v>3005</v>
      </c>
      <c r="I798" t="s">
        <v>3019</v>
      </c>
      <c r="K798" t="str">
        <f t="shared" si="86"/>
        <v>Employed</v>
      </c>
      <c r="L798">
        <v>5</v>
      </c>
      <c r="M798">
        <v>2122811</v>
      </c>
      <c r="N798">
        <f t="shared" si="87"/>
        <v>2122811</v>
      </c>
      <c r="O798">
        <v>672845</v>
      </c>
      <c r="P798">
        <v>20.71</v>
      </c>
      <c r="Q798">
        <v>60</v>
      </c>
      <c r="R798" t="s">
        <v>3050</v>
      </c>
      <c r="S798" t="str">
        <f t="shared" si="88"/>
        <v>Agriculture</v>
      </c>
      <c r="T798">
        <v>426</v>
      </c>
      <c r="U798">
        <f t="shared" si="89"/>
        <v>426</v>
      </c>
      <c r="V798">
        <v>0</v>
      </c>
      <c r="W798" t="s">
        <v>3052</v>
      </c>
      <c r="X798" s="3" t="s">
        <v>3648</v>
      </c>
      <c r="Y798" s="3">
        <f t="shared" si="90"/>
        <v>43861</v>
      </c>
      <c r="Z798">
        <v>0.317</v>
      </c>
    </row>
    <row r="799" spans="1:26" x14ac:dyDescent="0.35">
      <c r="A799" t="s">
        <v>808</v>
      </c>
      <c r="B799" t="str">
        <f t="shared" si="84"/>
        <v>OK</v>
      </c>
      <c r="C799" t="s">
        <v>2297</v>
      </c>
      <c r="D799" s="2">
        <v>36</v>
      </c>
      <c r="E799">
        <f>IF(OR(D799&lt;18, D799&gt;100),AD798,D799)</f>
        <v>36</v>
      </c>
      <c r="F799" t="s">
        <v>2990</v>
      </c>
      <c r="G799" t="str">
        <f t="shared" si="85"/>
        <v>Male</v>
      </c>
      <c r="H799" t="s">
        <v>2998</v>
      </c>
      <c r="I799" t="s">
        <v>3019</v>
      </c>
      <c r="K799" t="str">
        <f t="shared" si="86"/>
        <v>Employed</v>
      </c>
      <c r="L799">
        <v>13</v>
      </c>
      <c r="M799">
        <v>2118762</v>
      </c>
      <c r="N799">
        <f t="shared" si="87"/>
        <v>2118762</v>
      </c>
      <c r="O799">
        <v>522648</v>
      </c>
      <c r="P799">
        <v>8.81</v>
      </c>
      <c r="Q799">
        <v>12</v>
      </c>
      <c r="R799" t="s">
        <v>3046</v>
      </c>
      <c r="S799" t="str">
        <f t="shared" si="88"/>
        <v>Medical</v>
      </c>
      <c r="T799">
        <v>475</v>
      </c>
      <c r="U799">
        <f t="shared" si="89"/>
        <v>475</v>
      </c>
      <c r="V799">
        <v>5</v>
      </c>
      <c r="W799" t="s">
        <v>3055</v>
      </c>
      <c r="X799" s="3" t="s">
        <v>3709</v>
      </c>
      <c r="Y799" s="3">
        <f t="shared" si="90"/>
        <v>44035</v>
      </c>
      <c r="Z799">
        <v>0.2467</v>
      </c>
    </row>
    <row r="800" spans="1:26" x14ac:dyDescent="0.35">
      <c r="A800" t="s">
        <v>809</v>
      </c>
      <c r="B800" t="str">
        <f t="shared" si="84"/>
        <v>OK</v>
      </c>
      <c r="C800" t="s">
        <v>2298</v>
      </c>
      <c r="D800" s="2">
        <v>23</v>
      </c>
      <c r="E800">
        <f>IF(OR(D800&lt;18, D800&gt;100),AD799,D800)</f>
        <v>23</v>
      </c>
      <c r="F800" t="s">
        <v>2990</v>
      </c>
      <c r="G800" t="str">
        <f t="shared" si="85"/>
        <v>Male</v>
      </c>
      <c r="H800" t="s">
        <v>3004</v>
      </c>
      <c r="I800" t="s">
        <v>3018</v>
      </c>
      <c r="K800" t="str">
        <f t="shared" si="86"/>
        <v>Business Owner</v>
      </c>
      <c r="L800">
        <v>11</v>
      </c>
      <c r="M800">
        <v>802605</v>
      </c>
      <c r="N800">
        <f t="shared" si="87"/>
        <v>802605</v>
      </c>
      <c r="O800">
        <v>618506</v>
      </c>
      <c r="P800">
        <v>15.47</v>
      </c>
      <c r="Q800">
        <v>60</v>
      </c>
      <c r="R800" t="s">
        <v>3049</v>
      </c>
      <c r="S800" t="str">
        <f t="shared" si="88"/>
        <v>Business</v>
      </c>
      <c r="T800">
        <v>842</v>
      </c>
      <c r="U800">
        <f t="shared" si="89"/>
        <v>842</v>
      </c>
      <c r="V800">
        <v>6</v>
      </c>
      <c r="W800" t="s">
        <v>3057</v>
      </c>
      <c r="X800" s="3" t="s">
        <v>3710</v>
      </c>
      <c r="Y800" s="3">
        <f t="shared" si="90"/>
        <v>45169</v>
      </c>
      <c r="Z800">
        <v>0.77059999999999995</v>
      </c>
    </row>
    <row r="801" spans="1:26" x14ac:dyDescent="0.35">
      <c r="A801" t="s">
        <v>810</v>
      </c>
      <c r="B801" t="str">
        <f t="shared" si="84"/>
        <v>OK</v>
      </c>
      <c r="C801" t="s">
        <v>2299</v>
      </c>
      <c r="D801" s="2">
        <v>37</v>
      </c>
      <c r="E801">
        <f>IF(OR(D801&lt;18, D801&gt;100),AD800,D801)</f>
        <v>37</v>
      </c>
      <c r="F801" t="s">
        <v>2992</v>
      </c>
      <c r="G801" t="str">
        <f t="shared" si="85"/>
        <v>Female</v>
      </c>
      <c r="H801" t="s">
        <v>3005</v>
      </c>
      <c r="I801" t="s">
        <v>3018</v>
      </c>
      <c r="K801" t="str">
        <f t="shared" si="86"/>
        <v>Business Owner</v>
      </c>
      <c r="L801">
        <v>2</v>
      </c>
      <c r="M801">
        <v>1258560</v>
      </c>
      <c r="N801">
        <f t="shared" si="87"/>
        <v>1258560</v>
      </c>
      <c r="O801">
        <v>367235</v>
      </c>
      <c r="P801">
        <v>20.65</v>
      </c>
      <c r="Q801">
        <v>60</v>
      </c>
      <c r="R801" t="s">
        <v>3050</v>
      </c>
      <c r="S801" t="str">
        <f t="shared" si="88"/>
        <v>Agriculture</v>
      </c>
      <c r="T801">
        <v>731</v>
      </c>
      <c r="U801">
        <f t="shared" si="89"/>
        <v>731</v>
      </c>
      <c r="V801">
        <v>3</v>
      </c>
      <c r="W801" t="s">
        <v>3053</v>
      </c>
      <c r="X801" s="3" t="s">
        <v>3449</v>
      </c>
      <c r="Y801" s="3">
        <f t="shared" si="90"/>
        <v>44238</v>
      </c>
      <c r="Z801">
        <v>0.2918</v>
      </c>
    </row>
    <row r="802" spans="1:26" x14ac:dyDescent="0.35">
      <c r="A802" t="s">
        <v>811</v>
      </c>
      <c r="B802" t="str">
        <f t="shared" si="84"/>
        <v>OK</v>
      </c>
      <c r="C802" t="s">
        <v>2300</v>
      </c>
      <c r="D802" s="2">
        <v>23</v>
      </c>
      <c r="E802">
        <f>IF(OR(D802&lt;18, D802&gt;100),AD801,D802)</f>
        <v>23</v>
      </c>
      <c r="F802" t="s">
        <v>2990</v>
      </c>
      <c r="G802" t="str">
        <f t="shared" si="85"/>
        <v>Male</v>
      </c>
      <c r="H802" t="s">
        <v>3017</v>
      </c>
      <c r="I802" t="s">
        <v>3019</v>
      </c>
      <c r="K802" t="str">
        <f t="shared" si="86"/>
        <v>Employed</v>
      </c>
      <c r="L802">
        <v>0</v>
      </c>
      <c r="N802">
        <f t="shared" si="87"/>
        <v>1333224</v>
      </c>
      <c r="O802">
        <v>167745</v>
      </c>
      <c r="P802">
        <v>21.65</v>
      </c>
      <c r="Q802">
        <v>48</v>
      </c>
      <c r="R802" t="s">
        <v>3050</v>
      </c>
      <c r="S802" t="str">
        <f t="shared" si="88"/>
        <v>Agriculture</v>
      </c>
      <c r="T802">
        <v>848</v>
      </c>
      <c r="U802">
        <f t="shared" si="89"/>
        <v>848</v>
      </c>
      <c r="V802">
        <v>7</v>
      </c>
      <c r="W802" t="s">
        <v>3053</v>
      </c>
      <c r="X802" s="3" t="s">
        <v>3711</v>
      </c>
      <c r="Y802" s="3">
        <f t="shared" si="90"/>
        <v>44239</v>
      </c>
      <c r="Z802">
        <v>0.43480000000000002</v>
      </c>
    </row>
    <row r="803" spans="1:26" x14ac:dyDescent="0.35">
      <c r="A803" t="s">
        <v>812</v>
      </c>
      <c r="B803" t="str">
        <f t="shared" si="84"/>
        <v>OK</v>
      </c>
      <c r="C803" t="s">
        <v>2301</v>
      </c>
      <c r="D803" s="2">
        <v>31</v>
      </c>
      <c r="E803">
        <f>IF(OR(D803&lt;18, D803&gt;100),AD802,D803)</f>
        <v>31</v>
      </c>
      <c r="F803" t="s">
        <v>2990</v>
      </c>
      <c r="G803" t="str">
        <f t="shared" si="85"/>
        <v>Male</v>
      </c>
      <c r="H803" t="s">
        <v>3000</v>
      </c>
      <c r="I803" t="s">
        <v>3020</v>
      </c>
      <c r="K803" t="str">
        <f t="shared" si="86"/>
        <v>Self-Employed</v>
      </c>
      <c r="L803">
        <v>9</v>
      </c>
      <c r="M803">
        <v>1849211</v>
      </c>
      <c r="N803">
        <f t="shared" si="87"/>
        <v>1849211</v>
      </c>
      <c r="O803">
        <v>580897</v>
      </c>
      <c r="P803">
        <v>22.7</v>
      </c>
      <c r="Q803">
        <v>24</v>
      </c>
      <c r="R803" t="s">
        <v>3046</v>
      </c>
      <c r="S803" t="str">
        <f t="shared" si="88"/>
        <v>Medical</v>
      </c>
      <c r="T803">
        <v>535</v>
      </c>
      <c r="U803">
        <f t="shared" si="89"/>
        <v>535</v>
      </c>
      <c r="V803">
        <v>0</v>
      </c>
      <c r="W803" t="s">
        <v>3054</v>
      </c>
      <c r="X803" s="3" t="s">
        <v>3712</v>
      </c>
      <c r="Y803" s="3">
        <f t="shared" si="90"/>
        <v>44856</v>
      </c>
      <c r="Z803">
        <v>0.31409999999999999</v>
      </c>
    </row>
    <row r="804" spans="1:26" x14ac:dyDescent="0.35">
      <c r="A804" t="s">
        <v>813</v>
      </c>
      <c r="B804" t="str">
        <f t="shared" si="84"/>
        <v>OK</v>
      </c>
      <c r="C804" t="s">
        <v>2302</v>
      </c>
      <c r="D804" s="2">
        <v>37</v>
      </c>
      <c r="E804">
        <f>IF(OR(D804&lt;18, D804&gt;100),AD803,D804)</f>
        <v>37</v>
      </c>
      <c r="F804" t="s">
        <v>2990</v>
      </c>
      <c r="G804" t="str">
        <f t="shared" si="85"/>
        <v>Male</v>
      </c>
      <c r="H804" t="s">
        <v>3009</v>
      </c>
      <c r="I804" t="s">
        <v>3021</v>
      </c>
      <c r="K804" t="str">
        <f t="shared" si="86"/>
        <v>Unemployed</v>
      </c>
      <c r="L804">
        <v>25</v>
      </c>
      <c r="M804">
        <v>899407</v>
      </c>
      <c r="N804">
        <f t="shared" si="87"/>
        <v>899407</v>
      </c>
      <c r="O804">
        <v>457651</v>
      </c>
      <c r="P804">
        <v>11.23</v>
      </c>
      <c r="Q804">
        <v>12</v>
      </c>
      <c r="S804" t="str">
        <f t="shared" si="88"/>
        <v>Unknown</v>
      </c>
      <c r="T804">
        <v>799</v>
      </c>
      <c r="U804">
        <f t="shared" si="89"/>
        <v>799</v>
      </c>
      <c r="V804">
        <v>4</v>
      </c>
      <c r="W804" t="s">
        <v>3054</v>
      </c>
      <c r="X804" s="3" t="s">
        <v>3372</v>
      </c>
      <c r="Y804" s="3">
        <f t="shared" si="90"/>
        <v>44220</v>
      </c>
      <c r="Z804">
        <v>0.50880000000000003</v>
      </c>
    </row>
    <row r="805" spans="1:26" x14ac:dyDescent="0.35">
      <c r="A805" t="s">
        <v>814</v>
      </c>
      <c r="B805" t="str">
        <f t="shared" si="84"/>
        <v>OK</v>
      </c>
      <c r="C805" t="s">
        <v>2303</v>
      </c>
      <c r="D805" s="2">
        <v>28</v>
      </c>
      <c r="E805">
        <f>IF(OR(D805&lt;18, D805&gt;100),AD804,D805)</f>
        <v>28</v>
      </c>
      <c r="F805" t="s">
        <v>2990</v>
      </c>
      <c r="G805" t="str">
        <f t="shared" si="85"/>
        <v>Male</v>
      </c>
      <c r="H805" t="s">
        <v>3006</v>
      </c>
      <c r="I805" t="s">
        <v>3020</v>
      </c>
      <c r="K805" t="str">
        <f t="shared" si="86"/>
        <v>Self-Employed</v>
      </c>
      <c r="L805">
        <v>25</v>
      </c>
      <c r="M805">
        <v>1898224</v>
      </c>
      <c r="N805">
        <f t="shared" si="87"/>
        <v>1898224</v>
      </c>
      <c r="O805">
        <v>598328</v>
      </c>
      <c r="P805">
        <v>24.54</v>
      </c>
      <c r="Q805">
        <v>60</v>
      </c>
      <c r="R805" t="s">
        <v>3050</v>
      </c>
      <c r="S805" t="str">
        <f t="shared" si="88"/>
        <v>Agriculture</v>
      </c>
      <c r="T805">
        <v>653</v>
      </c>
      <c r="U805">
        <f t="shared" si="89"/>
        <v>653</v>
      </c>
      <c r="V805">
        <v>1</v>
      </c>
      <c r="W805" t="s">
        <v>3053</v>
      </c>
      <c r="X805" s="3" t="s">
        <v>3713</v>
      </c>
      <c r="Y805" s="3">
        <f t="shared" si="90"/>
        <v>44383</v>
      </c>
      <c r="Z805">
        <v>0.31519999999999998</v>
      </c>
    </row>
    <row r="806" spans="1:26" x14ac:dyDescent="0.35">
      <c r="A806" t="s">
        <v>815</v>
      </c>
      <c r="B806" t="str">
        <f t="shared" si="84"/>
        <v>OK</v>
      </c>
      <c r="C806" t="s">
        <v>2304</v>
      </c>
      <c r="D806" s="2">
        <v>53</v>
      </c>
      <c r="E806">
        <f>IF(OR(D806&lt;18, D806&gt;100),AD805,D806)</f>
        <v>53</v>
      </c>
      <c r="F806" t="s">
        <v>2990</v>
      </c>
      <c r="G806" t="str">
        <f t="shared" si="85"/>
        <v>Male</v>
      </c>
      <c r="H806" t="s">
        <v>3001</v>
      </c>
      <c r="I806" t="s">
        <v>3021</v>
      </c>
      <c r="K806" t="str">
        <f t="shared" si="86"/>
        <v>Unemployed</v>
      </c>
      <c r="L806">
        <v>22</v>
      </c>
      <c r="M806">
        <v>1768878</v>
      </c>
      <c r="N806">
        <f t="shared" si="87"/>
        <v>1768878</v>
      </c>
      <c r="O806">
        <v>564279</v>
      </c>
      <c r="P806">
        <v>14.49</v>
      </c>
      <c r="Q806">
        <v>48</v>
      </c>
      <c r="R806" t="s">
        <v>3049</v>
      </c>
      <c r="S806" t="str">
        <f t="shared" si="88"/>
        <v>Business</v>
      </c>
      <c r="T806">
        <v>306</v>
      </c>
      <c r="U806">
        <f t="shared" si="89"/>
        <v>306</v>
      </c>
      <c r="V806">
        <v>1</v>
      </c>
      <c r="W806" t="s">
        <v>3052</v>
      </c>
      <c r="X806" s="3" t="s">
        <v>3073</v>
      </c>
      <c r="Y806" s="3">
        <f t="shared" si="90"/>
        <v>44614</v>
      </c>
      <c r="Z806">
        <v>0.31900000000000001</v>
      </c>
    </row>
    <row r="807" spans="1:26" x14ac:dyDescent="0.35">
      <c r="A807" t="s">
        <v>816</v>
      </c>
      <c r="B807" t="str">
        <f t="shared" si="84"/>
        <v>OK</v>
      </c>
      <c r="C807" t="s">
        <v>2305</v>
      </c>
      <c r="D807" s="2">
        <v>48</v>
      </c>
      <c r="E807">
        <f>IF(OR(D807&lt;18, D807&gt;100),AD806,D807)</f>
        <v>48</v>
      </c>
      <c r="F807" t="s">
        <v>2990</v>
      </c>
      <c r="G807" t="str">
        <f t="shared" si="85"/>
        <v>Male</v>
      </c>
      <c r="H807" t="s">
        <v>3005</v>
      </c>
      <c r="I807" t="s">
        <v>3019</v>
      </c>
      <c r="K807" t="str">
        <f t="shared" si="86"/>
        <v>Employed</v>
      </c>
      <c r="L807">
        <v>5</v>
      </c>
      <c r="M807">
        <v>544359</v>
      </c>
      <c r="N807">
        <f t="shared" si="87"/>
        <v>544359</v>
      </c>
      <c r="O807">
        <v>406721</v>
      </c>
      <c r="P807">
        <v>8.65</v>
      </c>
      <c r="Q807">
        <v>12</v>
      </c>
      <c r="R807" t="s">
        <v>3048</v>
      </c>
      <c r="S807" t="str">
        <f t="shared" si="88"/>
        <v>Home Improvement</v>
      </c>
      <c r="T807">
        <v>541</v>
      </c>
      <c r="U807">
        <f t="shared" si="89"/>
        <v>541</v>
      </c>
      <c r="V807">
        <v>4</v>
      </c>
      <c r="W807" t="s">
        <v>3052</v>
      </c>
      <c r="X807" s="3" t="s">
        <v>3714</v>
      </c>
      <c r="Y807" s="3">
        <f t="shared" si="90"/>
        <v>44093</v>
      </c>
      <c r="Z807">
        <v>0.74719999999999998</v>
      </c>
    </row>
    <row r="808" spans="1:26" x14ac:dyDescent="0.35">
      <c r="A808" t="s">
        <v>817</v>
      </c>
      <c r="B808" t="str">
        <f t="shared" si="84"/>
        <v>OK</v>
      </c>
      <c r="C808" t="s">
        <v>2306</v>
      </c>
      <c r="D808" s="2">
        <v>52</v>
      </c>
      <c r="E808">
        <f>IF(OR(D808&lt;18, D808&gt;100),AD807,D808)</f>
        <v>52</v>
      </c>
      <c r="F808" t="s">
        <v>2992</v>
      </c>
      <c r="G808" t="str">
        <f t="shared" si="85"/>
        <v>Female</v>
      </c>
      <c r="H808" t="s">
        <v>3004</v>
      </c>
      <c r="I808" t="s">
        <v>3018</v>
      </c>
      <c r="K808" t="str">
        <f t="shared" si="86"/>
        <v>Business Owner</v>
      </c>
      <c r="L808">
        <v>27</v>
      </c>
      <c r="M808">
        <v>2171083</v>
      </c>
      <c r="N808">
        <f t="shared" si="87"/>
        <v>2171083</v>
      </c>
      <c r="O808">
        <v>301755</v>
      </c>
      <c r="P808">
        <v>8.2200000000000006</v>
      </c>
      <c r="Q808">
        <v>12</v>
      </c>
      <c r="R808" t="s">
        <v>3048</v>
      </c>
      <c r="S808" t="str">
        <f t="shared" si="88"/>
        <v>Home Improvement</v>
      </c>
      <c r="T808">
        <v>491</v>
      </c>
      <c r="U808">
        <f t="shared" si="89"/>
        <v>491</v>
      </c>
      <c r="V808">
        <v>3</v>
      </c>
      <c r="W808" t="s">
        <v>3057</v>
      </c>
      <c r="X808" s="3" t="s">
        <v>3715</v>
      </c>
      <c r="Y808" s="3">
        <f t="shared" si="90"/>
        <v>44574</v>
      </c>
      <c r="Z808">
        <v>0.13900000000000001</v>
      </c>
    </row>
    <row r="809" spans="1:26" x14ac:dyDescent="0.35">
      <c r="A809" t="s">
        <v>818</v>
      </c>
      <c r="B809" t="str">
        <f t="shared" si="84"/>
        <v>OK</v>
      </c>
      <c r="C809" t="s">
        <v>2307</v>
      </c>
      <c r="D809" s="2">
        <v>57</v>
      </c>
      <c r="E809">
        <f>IF(OR(D809&lt;18, D809&gt;100),AD808,D809)</f>
        <v>57</v>
      </c>
      <c r="F809" t="s">
        <v>2990</v>
      </c>
      <c r="G809" t="str">
        <f t="shared" si="85"/>
        <v>Male</v>
      </c>
      <c r="H809" t="s">
        <v>3002</v>
      </c>
      <c r="I809" t="s">
        <v>3019</v>
      </c>
      <c r="K809" t="str">
        <f t="shared" si="86"/>
        <v>Employed</v>
      </c>
      <c r="L809">
        <v>8</v>
      </c>
      <c r="M809">
        <v>399055</v>
      </c>
      <c r="N809">
        <f t="shared" si="87"/>
        <v>399055</v>
      </c>
      <c r="O809">
        <v>267536</v>
      </c>
      <c r="P809">
        <v>12.97</v>
      </c>
      <c r="Q809">
        <v>24</v>
      </c>
      <c r="R809" t="s">
        <v>3046</v>
      </c>
      <c r="S809" t="str">
        <f t="shared" si="88"/>
        <v>Medical</v>
      </c>
      <c r="T809">
        <v>664</v>
      </c>
      <c r="U809">
        <f t="shared" si="89"/>
        <v>664</v>
      </c>
      <c r="V809">
        <v>7</v>
      </c>
      <c r="W809" t="s">
        <v>3054</v>
      </c>
      <c r="X809" s="3" t="s">
        <v>3716</v>
      </c>
      <c r="Y809" s="3">
        <f t="shared" si="90"/>
        <v>45241</v>
      </c>
      <c r="Z809">
        <v>0.6704</v>
      </c>
    </row>
    <row r="810" spans="1:26" x14ac:dyDescent="0.35">
      <c r="A810" t="s">
        <v>819</v>
      </c>
      <c r="B810" t="str">
        <f t="shared" si="84"/>
        <v>OK</v>
      </c>
      <c r="C810" t="s">
        <v>2308</v>
      </c>
      <c r="D810" s="2">
        <v>21</v>
      </c>
      <c r="E810">
        <f>IF(OR(D810&lt;18, D810&gt;100),AD809,D810)</f>
        <v>21</v>
      </c>
      <c r="F810" t="s">
        <v>2992</v>
      </c>
      <c r="G810" t="str">
        <f t="shared" si="85"/>
        <v>Female</v>
      </c>
      <c r="H810" t="s">
        <v>3008</v>
      </c>
      <c r="I810" t="s">
        <v>3020</v>
      </c>
      <c r="K810" t="str">
        <f t="shared" si="86"/>
        <v>Self-Employed</v>
      </c>
      <c r="L810">
        <v>5</v>
      </c>
      <c r="M810">
        <v>1432078</v>
      </c>
      <c r="N810">
        <f t="shared" si="87"/>
        <v>1432078</v>
      </c>
      <c r="O810">
        <v>0</v>
      </c>
      <c r="P810">
        <v>13.95</v>
      </c>
      <c r="Q810">
        <v>48</v>
      </c>
      <c r="R810" t="s">
        <v>3051</v>
      </c>
      <c r="S810" t="str">
        <f t="shared" si="88"/>
        <v>Education</v>
      </c>
      <c r="T810">
        <v>585</v>
      </c>
      <c r="U810">
        <f t="shared" si="89"/>
        <v>585</v>
      </c>
      <c r="V810">
        <v>0</v>
      </c>
      <c r="W810" t="s">
        <v>3056</v>
      </c>
      <c r="X810" s="3" t="s">
        <v>3717</v>
      </c>
      <c r="Y810" s="3">
        <f t="shared" si="90"/>
        <v>44514</v>
      </c>
      <c r="Z810">
        <v>3.8100000000000002E-2</v>
      </c>
    </row>
    <row r="811" spans="1:26" x14ac:dyDescent="0.35">
      <c r="A811" t="s">
        <v>820</v>
      </c>
      <c r="B811" t="str">
        <f t="shared" si="84"/>
        <v>OK</v>
      </c>
      <c r="C811" t="s">
        <v>2309</v>
      </c>
      <c r="D811" s="2">
        <v>25</v>
      </c>
      <c r="E811">
        <f>IF(OR(D811&lt;18, D811&gt;100),AD810,D811)</f>
        <v>25</v>
      </c>
      <c r="F811" t="s">
        <v>2992</v>
      </c>
      <c r="G811" t="str">
        <f t="shared" si="85"/>
        <v>Female</v>
      </c>
      <c r="H811" t="s">
        <v>3001</v>
      </c>
      <c r="I811" t="s">
        <v>3021</v>
      </c>
      <c r="K811" t="str">
        <f t="shared" si="86"/>
        <v>Unemployed</v>
      </c>
      <c r="L811">
        <v>18</v>
      </c>
      <c r="M811">
        <v>1425077</v>
      </c>
      <c r="N811">
        <f t="shared" si="87"/>
        <v>1425077</v>
      </c>
      <c r="O811">
        <v>193423</v>
      </c>
      <c r="P811">
        <v>25.01</v>
      </c>
      <c r="Q811">
        <v>24</v>
      </c>
      <c r="R811" t="s">
        <v>3051</v>
      </c>
      <c r="S811" t="str">
        <f t="shared" si="88"/>
        <v>Education</v>
      </c>
      <c r="T811">
        <v>684</v>
      </c>
      <c r="U811">
        <f t="shared" si="89"/>
        <v>684</v>
      </c>
      <c r="V811">
        <v>0</v>
      </c>
      <c r="W811" t="s">
        <v>3053</v>
      </c>
      <c r="X811" s="3" t="s">
        <v>3110</v>
      </c>
      <c r="Y811" s="3">
        <f t="shared" si="90"/>
        <v>44342</v>
      </c>
      <c r="Z811">
        <v>0.13569999999999999</v>
      </c>
    </row>
    <row r="812" spans="1:26" x14ac:dyDescent="0.35">
      <c r="A812" t="s">
        <v>821</v>
      </c>
      <c r="B812" t="str">
        <f t="shared" si="84"/>
        <v>OK</v>
      </c>
      <c r="C812" t="s">
        <v>2310</v>
      </c>
      <c r="D812" s="2">
        <v>32</v>
      </c>
      <c r="E812">
        <f>IF(OR(D812&lt;18, D812&gt;100),AD811,D812)</f>
        <v>32</v>
      </c>
      <c r="F812" t="s">
        <v>2990</v>
      </c>
      <c r="G812" t="str">
        <f t="shared" si="85"/>
        <v>Male</v>
      </c>
      <c r="H812" t="s">
        <v>3005</v>
      </c>
      <c r="I812" t="s">
        <v>3018</v>
      </c>
      <c r="K812" t="str">
        <f t="shared" si="86"/>
        <v>Business Owner</v>
      </c>
      <c r="L812">
        <v>1</v>
      </c>
      <c r="M812">
        <v>440116</v>
      </c>
      <c r="N812">
        <f t="shared" si="87"/>
        <v>440116</v>
      </c>
      <c r="O812">
        <v>133688</v>
      </c>
      <c r="P812">
        <v>26.77</v>
      </c>
      <c r="Q812">
        <v>48</v>
      </c>
      <c r="R812" t="s">
        <v>3051</v>
      </c>
      <c r="S812" t="str">
        <f t="shared" si="88"/>
        <v>Education</v>
      </c>
      <c r="T812">
        <v>834</v>
      </c>
      <c r="U812">
        <f t="shared" si="89"/>
        <v>834</v>
      </c>
      <c r="V812">
        <v>4</v>
      </c>
      <c r="W812" t="s">
        <v>3052</v>
      </c>
      <c r="X812" s="3" t="s">
        <v>3163</v>
      </c>
      <c r="Y812" s="3">
        <f t="shared" si="90"/>
        <v>44029</v>
      </c>
      <c r="Z812">
        <v>0.30380000000000001</v>
      </c>
    </row>
    <row r="813" spans="1:26" x14ac:dyDescent="0.35">
      <c r="A813" t="s">
        <v>822</v>
      </c>
      <c r="B813" t="str">
        <f t="shared" si="84"/>
        <v>OK</v>
      </c>
      <c r="C813" t="s">
        <v>2311</v>
      </c>
      <c r="D813" s="2">
        <v>46</v>
      </c>
      <c r="E813">
        <f>IF(OR(D813&lt;18, D813&gt;100),AD812,D813)</f>
        <v>46</v>
      </c>
      <c r="F813" t="s">
        <v>2992</v>
      </c>
      <c r="G813" t="str">
        <f t="shared" si="85"/>
        <v>Female</v>
      </c>
      <c r="H813" t="s">
        <v>3005</v>
      </c>
      <c r="I813" t="s">
        <v>3019</v>
      </c>
      <c r="K813" t="str">
        <f t="shared" si="86"/>
        <v>Employed</v>
      </c>
      <c r="L813">
        <v>20</v>
      </c>
      <c r="M813">
        <v>2067106</v>
      </c>
      <c r="N813">
        <f t="shared" si="87"/>
        <v>2067106</v>
      </c>
      <c r="O813">
        <v>389836</v>
      </c>
      <c r="P813">
        <v>16.93</v>
      </c>
      <c r="Q813">
        <v>48</v>
      </c>
      <c r="R813" t="s">
        <v>3051</v>
      </c>
      <c r="S813" t="str">
        <f t="shared" si="88"/>
        <v>Education</v>
      </c>
      <c r="T813">
        <v>537</v>
      </c>
      <c r="U813">
        <f t="shared" si="89"/>
        <v>537</v>
      </c>
      <c r="V813">
        <v>1</v>
      </c>
      <c r="W813" t="s">
        <v>3052</v>
      </c>
      <c r="X813" s="3" t="s">
        <v>3563</v>
      </c>
      <c r="Y813" s="3">
        <f t="shared" si="90"/>
        <v>44144</v>
      </c>
      <c r="Z813">
        <v>0.18859999999999999</v>
      </c>
    </row>
    <row r="814" spans="1:26" x14ac:dyDescent="0.35">
      <c r="A814" t="s">
        <v>823</v>
      </c>
      <c r="B814" t="str">
        <f t="shared" si="84"/>
        <v>OK</v>
      </c>
      <c r="C814" t="s">
        <v>2312</v>
      </c>
      <c r="D814" s="2">
        <v>49</v>
      </c>
      <c r="E814">
        <f>IF(OR(D814&lt;18, D814&gt;100),AD813,D814)</f>
        <v>49</v>
      </c>
      <c r="F814" t="s">
        <v>2990</v>
      </c>
      <c r="G814" t="str">
        <f t="shared" si="85"/>
        <v>Male</v>
      </c>
      <c r="H814" t="s">
        <v>3000</v>
      </c>
      <c r="I814" t="s">
        <v>3019</v>
      </c>
      <c r="K814" t="str">
        <f t="shared" si="86"/>
        <v>Employed</v>
      </c>
      <c r="L814">
        <v>13</v>
      </c>
      <c r="M814">
        <v>1404744</v>
      </c>
      <c r="N814">
        <f t="shared" si="87"/>
        <v>1404744</v>
      </c>
      <c r="O814">
        <v>505097</v>
      </c>
      <c r="P814">
        <v>25.73</v>
      </c>
      <c r="Q814">
        <v>24</v>
      </c>
      <c r="R814" t="s">
        <v>3046</v>
      </c>
      <c r="S814" t="str">
        <f t="shared" si="88"/>
        <v>Medical</v>
      </c>
      <c r="T814">
        <v>732</v>
      </c>
      <c r="U814">
        <f t="shared" si="89"/>
        <v>732</v>
      </c>
      <c r="V814">
        <v>5</v>
      </c>
      <c r="W814" t="s">
        <v>3055</v>
      </c>
      <c r="X814" s="3" t="s">
        <v>3587</v>
      </c>
      <c r="Y814" s="3">
        <f t="shared" si="90"/>
        <v>44068</v>
      </c>
      <c r="Z814">
        <v>0.35959999999999998</v>
      </c>
    </row>
    <row r="815" spans="1:26" x14ac:dyDescent="0.35">
      <c r="A815" t="s">
        <v>824</v>
      </c>
      <c r="B815" t="str">
        <f t="shared" si="84"/>
        <v>OK</v>
      </c>
      <c r="C815" t="s">
        <v>2313</v>
      </c>
      <c r="D815" s="2">
        <v>40</v>
      </c>
      <c r="E815">
        <f>IF(OR(D815&lt;18, D815&gt;100),AD814,D815)</f>
        <v>40</v>
      </c>
      <c r="F815" t="s">
        <v>2990</v>
      </c>
      <c r="G815" t="str">
        <f t="shared" si="85"/>
        <v>Male</v>
      </c>
      <c r="H815" t="s">
        <v>3002</v>
      </c>
      <c r="I815" t="s">
        <v>3021</v>
      </c>
      <c r="K815" t="str">
        <f t="shared" si="86"/>
        <v>Unemployed</v>
      </c>
      <c r="L815">
        <v>16</v>
      </c>
      <c r="M815">
        <v>1251860</v>
      </c>
      <c r="N815">
        <f t="shared" si="87"/>
        <v>1251860</v>
      </c>
      <c r="O815">
        <v>710796</v>
      </c>
      <c r="P815">
        <v>21.9</v>
      </c>
      <c r="Q815">
        <v>48</v>
      </c>
      <c r="R815" t="s">
        <v>3051</v>
      </c>
      <c r="S815" t="str">
        <f t="shared" si="88"/>
        <v>Education</v>
      </c>
      <c r="T815">
        <v>357</v>
      </c>
      <c r="U815">
        <f t="shared" si="89"/>
        <v>357</v>
      </c>
      <c r="V815">
        <v>0</v>
      </c>
      <c r="W815" t="s">
        <v>3057</v>
      </c>
      <c r="X815" s="3" t="s">
        <v>3231</v>
      </c>
      <c r="Y815" s="3">
        <f t="shared" si="90"/>
        <v>45038</v>
      </c>
      <c r="Z815">
        <v>0.56779999999999997</v>
      </c>
    </row>
    <row r="816" spans="1:26" x14ac:dyDescent="0.35">
      <c r="A816" t="s">
        <v>825</v>
      </c>
      <c r="B816" t="str">
        <f t="shared" si="84"/>
        <v>OK</v>
      </c>
      <c r="C816" t="s">
        <v>2314</v>
      </c>
      <c r="D816" s="2">
        <v>26</v>
      </c>
      <c r="E816">
        <f>IF(OR(D816&lt;18, D816&gt;100),AD815,D816)</f>
        <v>26</v>
      </c>
      <c r="F816" t="s">
        <v>2992</v>
      </c>
      <c r="G816" t="str">
        <f t="shared" si="85"/>
        <v>Female</v>
      </c>
      <c r="H816" t="s">
        <v>3005</v>
      </c>
      <c r="I816" t="s">
        <v>3020</v>
      </c>
      <c r="K816" t="str">
        <f t="shared" si="86"/>
        <v>Self-Employed</v>
      </c>
      <c r="L816">
        <v>19</v>
      </c>
      <c r="M816">
        <v>2353408</v>
      </c>
      <c r="N816">
        <f t="shared" si="87"/>
        <v>2353408</v>
      </c>
      <c r="O816">
        <v>205194</v>
      </c>
      <c r="P816">
        <v>26.99</v>
      </c>
      <c r="Q816">
        <v>60</v>
      </c>
      <c r="R816" t="s">
        <v>3051</v>
      </c>
      <c r="S816" t="str">
        <f t="shared" si="88"/>
        <v>Education</v>
      </c>
      <c r="T816">
        <v>310</v>
      </c>
      <c r="U816">
        <f t="shared" si="89"/>
        <v>310</v>
      </c>
      <c r="V816">
        <v>5</v>
      </c>
      <c r="W816" t="s">
        <v>3055</v>
      </c>
      <c r="X816" s="3" t="s">
        <v>3718</v>
      </c>
      <c r="Y816" s="3">
        <f t="shared" si="90"/>
        <v>44918</v>
      </c>
      <c r="Z816">
        <v>8.72E-2</v>
      </c>
    </row>
    <row r="817" spans="1:26" x14ac:dyDescent="0.35">
      <c r="A817" t="s">
        <v>826</v>
      </c>
      <c r="B817" t="str">
        <f t="shared" si="84"/>
        <v>OK</v>
      </c>
      <c r="C817" t="s">
        <v>2315</v>
      </c>
      <c r="D817" s="2">
        <v>58</v>
      </c>
      <c r="E817">
        <f>IF(OR(D817&lt;18, D817&gt;100),AD816,D817)</f>
        <v>58</v>
      </c>
      <c r="F817" t="s">
        <v>2992</v>
      </c>
      <c r="G817" t="str">
        <f t="shared" si="85"/>
        <v>Female</v>
      </c>
      <c r="H817" t="s">
        <v>2999</v>
      </c>
      <c r="I817" t="s">
        <v>3021</v>
      </c>
      <c r="K817" t="str">
        <f t="shared" si="86"/>
        <v>Unemployed</v>
      </c>
      <c r="L817">
        <v>24</v>
      </c>
      <c r="M817">
        <v>1432557</v>
      </c>
      <c r="N817">
        <f t="shared" si="87"/>
        <v>1432557</v>
      </c>
      <c r="O817">
        <v>112268</v>
      </c>
      <c r="P817">
        <v>16.05</v>
      </c>
      <c r="Q817">
        <v>24</v>
      </c>
      <c r="R817" t="s">
        <v>3047</v>
      </c>
      <c r="S817" t="str">
        <f t="shared" si="88"/>
        <v>Personal</v>
      </c>
      <c r="T817">
        <v>429</v>
      </c>
      <c r="U817">
        <f t="shared" si="89"/>
        <v>429</v>
      </c>
      <c r="V817">
        <v>2</v>
      </c>
      <c r="W817" t="s">
        <v>3056</v>
      </c>
      <c r="X817" s="3" t="s">
        <v>3359</v>
      </c>
      <c r="Y817" s="3">
        <f t="shared" si="90"/>
        <v>44022</v>
      </c>
      <c r="Z817">
        <v>7.8399999999999997E-2</v>
      </c>
    </row>
    <row r="818" spans="1:26" x14ac:dyDescent="0.35">
      <c r="A818" t="s">
        <v>827</v>
      </c>
      <c r="B818" t="str">
        <f t="shared" si="84"/>
        <v>OK</v>
      </c>
      <c r="C818" t="s">
        <v>2316</v>
      </c>
      <c r="D818" s="2">
        <v>31</v>
      </c>
      <c r="E818">
        <f>IF(OR(D818&lt;18, D818&gt;100),AD817,D818)</f>
        <v>31</v>
      </c>
      <c r="F818" t="s">
        <v>2990</v>
      </c>
      <c r="G818" t="str">
        <f t="shared" si="85"/>
        <v>Male</v>
      </c>
      <c r="H818" t="s">
        <v>2999</v>
      </c>
      <c r="I818" t="s">
        <v>3018</v>
      </c>
      <c r="K818" t="str">
        <f t="shared" si="86"/>
        <v>Business Owner</v>
      </c>
      <c r="L818">
        <v>15</v>
      </c>
      <c r="M818">
        <v>693313</v>
      </c>
      <c r="N818">
        <f t="shared" si="87"/>
        <v>693313</v>
      </c>
      <c r="O818">
        <v>615333</v>
      </c>
      <c r="P818">
        <v>9.0500000000000007</v>
      </c>
      <c r="Q818">
        <v>36</v>
      </c>
      <c r="R818" t="s">
        <v>3047</v>
      </c>
      <c r="S818" t="str">
        <f t="shared" si="88"/>
        <v>Personal</v>
      </c>
      <c r="T818">
        <v>630</v>
      </c>
      <c r="U818">
        <f t="shared" si="89"/>
        <v>630</v>
      </c>
      <c r="V818">
        <v>7</v>
      </c>
      <c r="W818" t="s">
        <v>3052</v>
      </c>
      <c r="X818" s="3" t="s">
        <v>3466</v>
      </c>
      <c r="Y818" s="3">
        <f t="shared" si="90"/>
        <v>44769</v>
      </c>
      <c r="Z818">
        <v>0.88749999999999996</v>
      </c>
    </row>
    <row r="819" spans="1:26" x14ac:dyDescent="0.35">
      <c r="A819" t="s">
        <v>828</v>
      </c>
      <c r="B819" t="str">
        <f t="shared" si="84"/>
        <v>OK</v>
      </c>
      <c r="C819" t="s">
        <v>2317</v>
      </c>
      <c r="D819" s="2">
        <v>50</v>
      </c>
      <c r="E819">
        <f>IF(OR(D819&lt;18, D819&gt;100),AD818,D819)</f>
        <v>50</v>
      </c>
      <c r="F819" t="s">
        <v>2990</v>
      </c>
      <c r="G819" t="str">
        <f t="shared" si="85"/>
        <v>Male</v>
      </c>
      <c r="H819" t="s">
        <v>3007</v>
      </c>
      <c r="I819" t="s">
        <v>3021</v>
      </c>
      <c r="K819" t="str">
        <f t="shared" si="86"/>
        <v>Unemployed</v>
      </c>
      <c r="L819">
        <v>27</v>
      </c>
      <c r="M819">
        <v>1372931</v>
      </c>
      <c r="N819">
        <f t="shared" si="87"/>
        <v>1372931</v>
      </c>
      <c r="O819">
        <v>223561</v>
      </c>
      <c r="P819">
        <v>10.47</v>
      </c>
      <c r="Q819">
        <v>24</v>
      </c>
      <c r="R819" t="s">
        <v>3046</v>
      </c>
      <c r="S819" t="str">
        <f t="shared" si="88"/>
        <v>Medical</v>
      </c>
      <c r="T819">
        <v>795</v>
      </c>
      <c r="U819">
        <f t="shared" si="89"/>
        <v>795</v>
      </c>
      <c r="V819">
        <v>2</v>
      </c>
      <c r="W819" t="s">
        <v>3053</v>
      </c>
      <c r="X819" s="3" t="s">
        <v>3719</v>
      </c>
      <c r="Y819" s="3">
        <f t="shared" si="90"/>
        <v>43960</v>
      </c>
      <c r="Z819">
        <v>0.1628</v>
      </c>
    </row>
    <row r="820" spans="1:26" x14ac:dyDescent="0.35">
      <c r="A820" t="s">
        <v>829</v>
      </c>
      <c r="B820" t="str">
        <f t="shared" si="84"/>
        <v>OK</v>
      </c>
      <c r="C820" t="s">
        <v>2318</v>
      </c>
      <c r="D820" s="2">
        <v>36</v>
      </c>
      <c r="E820">
        <f>IF(OR(D820&lt;18, D820&gt;100),AD819,D820)</f>
        <v>36</v>
      </c>
      <c r="F820" t="s">
        <v>2992</v>
      </c>
      <c r="G820" t="str">
        <f t="shared" si="85"/>
        <v>Female</v>
      </c>
      <c r="H820" t="s">
        <v>3001</v>
      </c>
      <c r="I820" t="s">
        <v>3021</v>
      </c>
      <c r="K820" t="str">
        <f t="shared" si="86"/>
        <v>Unemployed</v>
      </c>
      <c r="L820">
        <v>19</v>
      </c>
      <c r="M820">
        <v>1411619</v>
      </c>
      <c r="N820">
        <f t="shared" si="87"/>
        <v>1411619</v>
      </c>
      <c r="O820">
        <v>720033</v>
      </c>
      <c r="P820">
        <v>22.38</v>
      </c>
      <c r="Q820">
        <v>24</v>
      </c>
      <c r="R820" t="s">
        <v>3046</v>
      </c>
      <c r="S820" t="str">
        <f t="shared" si="88"/>
        <v>Medical</v>
      </c>
      <c r="T820">
        <v>692</v>
      </c>
      <c r="U820">
        <f t="shared" si="89"/>
        <v>692</v>
      </c>
      <c r="V820">
        <v>1</v>
      </c>
      <c r="W820" t="s">
        <v>3055</v>
      </c>
      <c r="X820" s="3" t="s">
        <v>3720</v>
      </c>
      <c r="Y820" s="3">
        <f t="shared" si="90"/>
        <v>44565</v>
      </c>
      <c r="Z820">
        <v>0.5101</v>
      </c>
    </row>
    <row r="821" spans="1:26" x14ac:dyDescent="0.35">
      <c r="A821" t="s">
        <v>830</v>
      </c>
      <c r="B821" t="str">
        <f t="shared" si="84"/>
        <v>OK</v>
      </c>
      <c r="C821" t="s">
        <v>2319</v>
      </c>
      <c r="D821" s="2">
        <v>23</v>
      </c>
      <c r="E821">
        <f>IF(OR(D821&lt;18, D821&gt;100),AD820,D821)</f>
        <v>23</v>
      </c>
      <c r="F821" t="s">
        <v>2992</v>
      </c>
      <c r="G821" t="str">
        <f t="shared" si="85"/>
        <v>Female</v>
      </c>
      <c r="H821" t="s">
        <v>2998</v>
      </c>
      <c r="I821" t="s">
        <v>3020</v>
      </c>
      <c r="K821" t="str">
        <f t="shared" si="86"/>
        <v>Self-Employed</v>
      </c>
      <c r="L821">
        <v>13</v>
      </c>
      <c r="M821">
        <v>1144918</v>
      </c>
      <c r="N821">
        <f t="shared" si="87"/>
        <v>1144918</v>
      </c>
      <c r="O821">
        <v>620541</v>
      </c>
      <c r="P821">
        <v>11.42</v>
      </c>
      <c r="Q821">
        <v>48</v>
      </c>
      <c r="R821" t="s">
        <v>3049</v>
      </c>
      <c r="S821" t="str">
        <f t="shared" si="88"/>
        <v>Business</v>
      </c>
      <c r="T821">
        <v>668</v>
      </c>
      <c r="U821">
        <f t="shared" si="89"/>
        <v>668</v>
      </c>
      <c r="V821">
        <v>6</v>
      </c>
      <c r="W821" t="s">
        <v>3053</v>
      </c>
      <c r="X821" s="3" t="s">
        <v>3721</v>
      </c>
      <c r="Y821" s="3">
        <f t="shared" si="90"/>
        <v>45016</v>
      </c>
      <c r="Z821">
        <v>0.54200000000000004</v>
      </c>
    </row>
    <row r="822" spans="1:26" x14ac:dyDescent="0.35">
      <c r="A822" t="s">
        <v>831</v>
      </c>
      <c r="B822" t="str">
        <f t="shared" si="84"/>
        <v>OK</v>
      </c>
      <c r="C822" t="s">
        <v>2320</v>
      </c>
      <c r="D822" s="2">
        <v>41</v>
      </c>
      <c r="E822">
        <f>IF(OR(D822&lt;18, D822&gt;100),AD821,D822)</f>
        <v>41</v>
      </c>
      <c r="F822" t="s">
        <v>2992</v>
      </c>
      <c r="G822" t="str">
        <f t="shared" si="85"/>
        <v>Female</v>
      </c>
      <c r="H822" t="s">
        <v>3007</v>
      </c>
      <c r="I822" t="s">
        <v>3019</v>
      </c>
      <c r="K822" t="str">
        <f t="shared" si="86"/>
        <v>Employed</v>
      </c>
      <c r="L822">
        <v>7</v>
      </c>
      <c r="M822">
        <v>1810668</v>
      </c>
      <c r="N822">
        <f t="shared" si="87"/>
        <v>1810668</v>
      </c>
      <c r="O822">
        <v>358089</v>
      </c>
      <c r="P822">
        <v>26.92</v>
      </c>
      <c r="Q822">
        <v>36</v>
      </c>
      <c r="R822" t="s">
        <v>3047</v>
      </c>
      <c r="S822" t="str">
        <f t="shared" si="88"/>
        <v>Personal</v>
      </c>
      <c r="T822">
        <v>350</v>
      </c>
      <c r="U822">
        <f t="shared" si="89"/>
        <v>350</v>
      </c>
      <c r="V822">
        <v>7</v>
      </c>
      <c r="W822" t="s">
        <v>3052</v>
      </c>
      <c r="X822" s="3" t="s">
        <v>3722</v>
      </c>
      <c r="Y822" s="3">
        <f t="shared" si="90"/>
        <v>44834</v>
      </c>
      <c r="Z822">
        <v>0.1978</v>
      </c>
    </row>
    <row r="823" spans="1:26" x14ac:dyDescent="0.35">
      <c r="A823" t="s">
        <v>832</v>
      </c>
      <c r="B823" t="str">
        <f t="shared" si="84"/>
        <v>OK</v>
      </c>
      <c r="C823" t="s">
        <v>2321</v>
      </c>
      <c r="D823" s="2">
        <v>57</v>
      </c>
      <c r="E823">
        <f>IF(OR(D823&lt;18, D823&gt;100),AD822,D823)</f>
        <v>57</v>
      </c>
      <c r="F823" t="s">
        <v>2992</v>
      </c>
      <c r="G823" t="str">
        <f t="shared" si="85"/>
        <v>Female</v>
      </c>
      <c r="H823" t="s">
        <v>2999</v>
      </c>
      <c r="I823" t="s">
        <v>3018</v>
      </c>
      <c r="K823" t="str">
        <f t="shared" si="86"/>
        <v>Business Owner</v>
      </c>
      <c r="L823">
        <v>2</v>
      </c>
      <c r="M823">
        <v>1378734</v>
      </c>
      <c r="N823">
        <f t="shared" si="87"/>
        <v>1378734</v>
      </c>
      <c r="O823">
        <v>516915</v>
      </c>
      <c r="P823">
        <v>20.51</v>
      </c>
      <c r="Q823">
        <v>24</v>
      </c>
      <c r="R823" t="s">
        <v>3050</v>
      </c>
      <c r="S823" t="str">
        <f t="shared" si="88"/>
        <v>Agriculture</v>
      </c>
      <c r="T823">
        <v>606</v>
      </c>
      <c r="U823">
        <f t="shared" si="89"/>
        <v>606</v>
      </c>
      <c r="V823">
        <v>7</v>
      </c>
      <c r="W823" t="s">
        <v>3054</v>
      </c>
      <c r="X823" s="3" t="s">
        <v>3235</v>
      </c>
      <c r="Y823" s="3">
        <f t="shared" si="90"/>
        <v>43850</v>
      </c>
      <c r="Z823">
        <v>0.37490000000000001</v>
      </c>
    </row>
    <row r="824" spans="1:26" x14ac:dyDescent="0.35">
      <c r="A824" t="s">
        <v>833</v>
      </c>
      <c r="B824" t="str">
        <f t="shared" si="84"/>
        <v>OK</v>
      </c>
      <c r="C824" t="s">
        <v>2322</v>
      </c>
      <c r="D824" s="2">
        <v>55</v>
      </c>
      <c r="E824">
        <f>IF(OR(D824&lt;18, D824&gt;100),AD823,D824)</f>
        <v>55</v>
      </c>
      <c r="F824" t="s">
        <v>2990</v>
      </c>
      <c r="G824" t="str">
        <f t="shared" si="85"/>
        <v>Male</v>
      </c>
      <c r="H824" t="s">
        <v>3003</v>
      </c>
      <c r="I824" t="s">
        <v>3018</v>
      </c>
      <c r="K824" t="str">
        <f t="shared" si="86"/>
        <v>Business Owner</v>
      </c>
      <c r="L824">
        <v>7</v>
      </c>
      <c r="M824">
        <v>934296</v>
      </c>
      <c r="N824">
        <f t="shared" si="87"/>
        <v>934296</v>
      </c>
      <c r="O824">
        <v>573172</v>
      </c>
      <c r="P824">
        <v>26.01</v>
      </c>
      <c r="Q824">
        <v>12</v>
      </c>
      <c r="R824" t="s">
        <v>3048</v>
      </c>
      <c r="S824" t="str">
        <f t="shared" si="88"/>
        <v>Home Improvement</v>
      </c>
      <c r="T824">
        <v>847</v>
      </c>
      <c r="U824">
        <f t="shared" si="89"/>
        <v>847</v>
      </c>
      <c r="V824">
        <v>7</v>
      </c>
      <c r="W824" t="s">
        <v>3052</v>
      </c>
      <c r="X824" s="3" t="s">
        <v>3723</v>
      </c>
      <c r="Y824" s="3">
        <f t="shared" si="90"/>
        <v>44234</v>
      </c>
      <c r="Z824">
        <v>0.61350000000000005</v>
      </c>
    </row>
    <row r="825" spans="1:26" x14ac:dyDescent="0.35">
      <c r="A825" t="s">
        <v>834</v>
      </c>
      <c r="B825" t="str">
        <f t="shared" si="84"/>
        <v>OK</v>
      </c>
      <c r="C825" t="s">
        <v>2323</v>
      </c>
      <c r="D825" s="2">
        <v>57</v>
      </c>
      <c r="E825">
        <f>IF(OR(D825&lt;18, D825&gt;100),AD824,D825)</f>
        <v>57</v>
      </c>
      <c r="F825" t="s">
        <v>2992</v>
      </c>
      <c r="G825" t="str">
        <f t="shared" si="85"/>
        <v>Female</v>
      </c>
      <c r="H825" t="s">
        <v>3002</v>
      </c>
      <c r="I825" t="s">
        <v>3020</v>
      </c>
      <c r="K825" t="str">
        <f t="shared" si="86"/>
        <v>Self-Employed</v>
      </c>
      <c r="L825">
        <v>28</v>
      </c>
      <c r="M825">
        <v>1437669</v>
      </c>
      <c r="N825">
        <f t="shared" si="87"/>
        <v>1437669</v>
      </c>
      <c r="O825">
        <v>49345</v>
      </c>
      <c r="P825">
        <v>12.62</v>
      </c>
      <c r="Q825">
        <v>24</v>
      </c>
      <c r="R825" t="s">
        <v>3047</v>
      </c>
      <c r="S825" t="str">
        <f t="shared" si="88"/>
        <v>Personal</v>
      </c>
      <c r="T825">
        <v>455</v>
      </c>
      <c r="U825">
        <f t="shared" si="89"/>
        <v>455</v>
      </c>
      <c r="V825">
        <v>6</v>
      </c>
      <c r="W825" t="s">
        <v>3055</v>
      </c>
      <c r="X825" s="3" t="s">
        <v>3247</v>
      </c>
      <c r="Y825" s="3">
        <f t="shared" si="90"/>
        <v>44263</v>
      </c>
      <c r="Z825">
        <v>3.4299999999999997E-2</v>
      </c>
    </row>
    <row r="826" spans="1:26" x14ac:dyDescent="0.35">
      <c r="A826" t="s">
        <v>835</v>
      </c>
      <c r="B826" t="str">
        <f t="shared" si="84"/>
        <v>OK</v>
      </c>
      <c r="C826" t="s">
        <v>2202</v>
      </c>
      <c r="D826" s="2">
        <v>21</v>
      </c>
      <c r="E826">
        <f>IF(OR(D826&lt;18, D826&gt;100),AD825,D826)</f>
        <v>21</v>
      </c>
      <c r="F826" t="s">
        <v>2992</v>
      </c>
      <c r="G826" t="str">
        <f t="shared" si="85"/>
        <v>Female</v>
      </c>
      <c r="H826" t="s">
        <v>3000</v>
      </c>
      <c r="I826" t="s">
        <v>3021</v>
      </c>
      <c r="K826" t="str">
        <f t="shared" si="86"/>
        <v>Unemployed</v>
      </c>
      <c r="L826">
        <v>12</v>
      </c>
      <c r="M826">
        <v>2100379</v>
      </c>
      <c r="N826">
        <f t="shared" si="87"/>
        <v>2100379</v>
      </c>
      <c r="O826">
        <v>201429</v>
      </c>
      <c r="P826">
        <v>27.11</v>
      </c>
      <c r="Q826">
        <v>12</v>
      </c>
      <c r="R826" t="s">
        <v>3046</v>
      </c>
      <c r="S826" t="str">
        <f t="shared" si="88"/>
        <v>Medical</v>
      </c>
      <c r="T826">
        <v>531</v>
      </c>
      <c r="U826">
        <f t="shared" si="89"/>
        <v>531</v>
      </c>
      <c r="V826">
        <v>3</v>
      </c>
      <c r="W826" t="s">
        <v>3054</v>
      </c>
      <c r="X826" s="3" t="s">
        <v>3724</v>
      </c>
      <c r="Y826" s="3">
        <f t="shared" si="90"/>
        <v>44830</v>
      </c>
      <c r="Z826">
        <v>9.5899999999999999E-2</v>
      </c>
    </row>
    <row r="827" spans="1:26" x14ac:dyDescent="0.35">
      <c r="A827" t="s">
        <v>836</v>
      </c>
      <c r="B827" t="str">
        <f t="shared" si="84"/>
        <v>OK</v>
      </c>
      <c r="C827" t="s">
        <v>2324</v>
      </c>
      <c r="D827" s="2">
        <v>41</v>
      </c>
      <c r="E827">
        <f>IF(OR(D827&lt;18, D827&gt;100),AD826,D827)</f>
        <v>41</v>
      </c>
      <c r="F827" t="s">
        <v>2990</v>
      </c>
      <c r="G827" t="str">
        <f t="shared" si="85"/>
        <v>Male</v>
      </c>
      <c r="H827" t="s">
        <v>3003</v>
      </c>
      <c r="I827" t="s">
        <v>3021</v>
      </c>
      <c r="K827" t="str">
        <f t="shared" si="86"/>
        <v>Unemployed</v>
      </c>
      <c r="L827">
        <v>11</v>
      </c>
      <c r="M827">
        <v>2165957</v>
      </c>
      <c r="N827">
        <f t="shared" si="87"/>
        <v>2165957</v>
      </c>
      <c r="O827">
        <v>493918</v>
      </c>
      <c r="P827">
        <v>15.83</v>
      </c>
      <c r="Q827">
        <v>60</v>
      </c>
      <c r="R827" t="s">
        <v>3049</v>
      </c>
      <c r="S827" t="str">
        <f t="shared" si="88"/>
        <v>Business</v>
      </c>
      <c r="T827">
        <v>590</v>
      </c>
      <c r="U827">
        <f t="shared" si="89"/>
        <v>590</v>
      </c>
      <c r="V827">
        <v>1</v>
      </c>
      <c r="W827" t="s">
        <v>3053</v>
      </c>
      <c r="X827" s="3" t="s">
        <v>3609</v>
      </c>
      <c r="Y827" s="3">
        <f t="shared" si="90"/>
        <v>44551</v>
      </c>
      <c r="Z827">
        <v>0.22800000000000001</v>
      </c>
    </row>
    <row r="828" spans="1:26" x14ac:dyDescent="0.35">
      <c r="A828" t="s">
        <v>837</v>
      </c>
      <c r="B828" t="str">
        <f t="shared" si="84"/>
        <v>OK</v>
      </c>
      <c r="C828" t="s">
        <v>2325</v>
      </c>
      <c r="D828" s="2">
        <v>44</v>
      </c>
      <c r="E828">
        <f>IF(OR(D828&lt;18, D828&gt;100),AD827,D828)</f>
        <v>44</v>
      </c>
      <c r="F828" t="s">
        <v>2992</v>
      </c>
      <c r="G828" t="str">
        <f t="shared" si="85"/>
        <v>Female</v>
      </c>
      <c r="H828" t="s">
        <v>2999</v>
      </c>
      <c r="I828" t="s">
        <v>3021</v>
      </c>
      <c r="K828" t="str">
        <f t="shared" si="86"/>
        <v>Unemployed</v>
      </c>
      <c r="L828">
        <v>10</v>
      </c>
      <c r="M828">
        <v>1677618</v>
      </c>
      <c r="N828">
        <f t="shared" si="87"/>
        <v>1677618</v>
      </c>
      <c r="O828">
        <v>495406</v>
      </c>
      <c r="P828">
        <v>27.84</v>
      </c>
      <c r="Q828">
        <v>48</v>
      </c>
      <c r="R828" t="s">
        <v>3051</v>
      </c>
      <c r="S828" t="str">
        <f t="shared" si="88"/>
        <v>Education</v>
      </c>
      <c r="T828">
        <v>639</v>
      </c>
      <c r="U828">
        <f t="shared" si="89"/>
        <v>639</v>
      </c>
      <c r="V828">
        <v>3</v>
      </c>
      <c r="W828" t="s">
        <v>3055</v>
      </c>
      <c r="X828" s="3" t="s">
        <v>3725</v>
      </c>
      <c r="Y828" s="3">
        <f t="shared" si="90"/>
        <v>44675</v>
      </c>
      <c r="Z828">
        <v>0.29530000000000001</v>
      </c>
    </row>
    <row r="829" spans="1:26" x14ac:dyDescent="0.35">
      <c r="A829" t="s">
        <v>838</v>
      </c>
      <c r="B829" t="str">
        <f t="shared" si="84"/>
        <v>OK</v>
      </c>
      <c r="C829" t="s">
        <v>2326</v>
      </c>
      <c r="D829" s="2">
        <v>35</v>
      </c>
      <c r="E829">
        <f>IF(OR(D829&lt;18, D829&gt;100),AD828,D829)</f>
        <v>35</v>
      </c>
      <c r="F829" t="s">
        <v>2990</v>
      </c>
      <c r="G829" t="str">
        <f t="shared" si="85"/>
        <v>Male</v>
      </c>
      <c r="H829" t="s">
        <v>3006</v>
      </c>
      <c r="I829" t="s">
        <v>3021</v>
      </c>
      <c r="K829" t="str">
        <f t="shared" si="86"/>
        <v>Unemployed</v>
      </c>
      <c r="L829">
        <v>24</v>
      </c>
      <c r="M829">
        <v>1899014</v>
      </c>
      <c r="N829">
        <f t="shared" si="87"/>
        <v>1899014</v>
      </c>
      <c r="O829">
        <v>505687</v>
      </c>
      <c r="P829">
        <v>19.989999999999998</v>
      </c>
      <c r="Q829">
        <v>12</v>
      </c>
      <c r="R829" t="s">
        <v>3050</v>
      </c>
      <c r="S829" t="str">
        <f t="shared" si="88"/>
        <v>Agriculture</v>
      </c>
      <c r="T829">
        <v>366</v>
      </c>
      <c r="U829">
        <f t="shared" si="89"/>
        <v>366</v>
      </c>
      <c r="V829">
        <v>4</v>
      </c>
      <c r="W829" t="s">
        <v>3057</v>
      </c>
      <c r="X829" s="3" t="s">
        <v>3726</v>
      </c>
      <c r="Y829" s="3">
        <f t="shared" si="90"/>
        <v>44198</v>
      </c>
      <c r="Z829">
        <v>0.26629999999999998</v>
      </c>
    </row>
    <row r="830" spans="1:26" x14ac:dyDescent="0.35">
      <c r="A830" t="s">
        <v>839</v>
      </c>
      <c r="B830" t="str">
        <f t="shared" ref="B830:B893" si="91">IF(A830="", "MISSING", "OK")</f>
        <v>OK</v>
      </c>
      <c r="C830" t="s">
        <v>2327</v>
      </c>
      <c r="D830" s="2">
        <v>45</v>
      </c>
      <c r="E830">
        <f>IF(OR(D830&lt;18, D830&gt;100),AD829,D830)</f>
        <v>45</v>
      </c>
      <c r="F830" t="s">
        <v>2992</v>
      </c>
      <c r="G830" t="str">
        <f t="shared" si="85"/>
        <v>Female</v>
      </c>
      <c r="H830" t="s">
        <v>2998</v>
      </c>
      <c r="I830" t="s">
        <v>3018</v>
      </c>
      <c r="K830" t="str">
        <f t="shared" si="86"/>
        <v>Business Owner</v>
      </c>
      <c r="L830">
        <v>8</v>
      </c>
      <c r="M830">
        <v>2347354</v>
      </c>
      <c r="N830">
        <f t="shared" si="87"/>
        <v>2347354</v>
      </c>
      <c r="O830">
        <v>718730</v>
      </c>
      <c r="P830">
        <v>12.19</v>
      </c>
      <c r="Q830">
        <v>36</v>
      </c>
      <c r="R830" t="s">
        <v>3051</v>
      </c>
      <c r="S830" t="str">
        <f t="shared" si="88"/>
        <v>Education</v>
      </c>
      <c r="T830">
        <v>410</v>
      </c>
      <c r="U830">
        <f t="shared" si="89"/>
        <v>410</v>
      </c>
      <c r="V830">
        <v>6</v>
      </c>
      <c r="W830" t="s">
        <v>3055</v>
      </c>
      <c r="X830" s="3" t="s">
        <v>3727</v>
      </c>
      <c r="Y830" s="3">
        <f t="shared" si="90"/>
        <v>45242</v>
      </c>
      <c r="Z830">
        <v>0.30620000000000003</v>
      </c>
    </row>
    <row r="831" spans="1:26" x14ac:dyDescent="0.35">
      <c r="A831" t="s">
        <v>840</v>
      </c>
      <c r="B831" t="str">
        <f t="shared" si="91"/>
        <v>OK</v>
      </c>
      <c r="C831" t="s">
        <v>2328</v>
      </c>
      <c r="D831" s="2">
        <v>29</v>
      </c>
      <c r="E831">
        <f>IF(OR(D831&lt;18, D831&gt;100),AD830,D831)</f>
        <v>29</v>
      </c>
      <c r="F831" t="s">
        <v>2992</v>
      </c>
      <c r="G831" t="str">
        <f t="shared" si="85"/>
        <v>Female</v>
      </c>
      <c r="H831" t="s">
        <v>3001</v>
      </c>
      <c r="K831" t="str">
        <f t="shared" si="86"/>
        <v>Unknown</v>
      </c>
      <c r="L831">
        <v>15</v>
      </c>
      <c r="M831">
        <v>508821</v>
      </c>
      <c r="N831">
        <f t="shared" si="87"/>
        <v>508821</v>
      </c>
      <c r="O831">
        <v>294336</v>
      </c>
      <c r="P831">
        <v>22.83</v>
      </c>
      <c r="Q831">
        <v>48</v>
      </c>
      <c r="R831" t="s">
        <v>3049</v>
      </c>
      <c r="S831" t="str">
        <f t="shared" si="88"/>
        <v>Business</v>
      </c>
      <c r="T831">
        <v>414</v>
      </c>
      <c r="U831">
        <f t="shared" si="89"/>
        <v>414</v>
      </c>
      <c r="V831">
        <v>7</v>
      </c>
      <c r="W831" t="s">
        <v>3057</v>
      </c>
      <c r="X831" s="3" t="s">
        <v>3728</v>
      </c>
      <c r="Y831" s="3">
        <f t="shared" si="90"/>
        <v>45219</v>
      </c>
      <c r="Z831">
        <v>0.57850000000000001</v>
      </c>
    </row>
    <row r="832" spans="1:26" x14ac:dyDescent="0.35">
      <c r="A832" t="s">
        <v>841</v>
      </c>
      <c r="B832" t="str">
        <f t="shared" si="91"/>
        <v>OK</v>
      </c>
      <c r="C832" t="s">
        <v>2329</v>
      </c>
      <c r="D832" s="2">
        <v>40</v>
      </c>
      <c r="E832">
        <f>IF(OR(D832&lt;18, D832&gt;100),AD831,D832)</f>
        <v>40</v>
      </c>
      <c r="F832" t="s">
        <v>2992</v>
      </c>
      <c r="G832" t="str">
        <f t="shared" si="85"/>
        <v>Female</v>
      </c>
      <c r="H832" t="s">
        <v>3003</v>
      </c>
      <c r="I832" t="s">
        <v>3018</v>
      </c>
      <c r="K832" t="str">
        <f t="shared" si="86"/>
        <v>Business Owner</v>
      </c>
      <c r="L832">
        <v>27</v>
      </c>
      <c r="M832">
        <v>2294785</v>
      </c>
      <c r="N832">
        <f t="shared" si="87"/>
        <v>2294785</v>
      </c>
      <c r="O832">
        <v>391994</v>
      </c>
      <c r="P832">
        <v>10.06</v>
      </c>
      <c r="Q832">
        <v>60</v>
      </c>
      <c r="R832" t="s">
        <v>3050</v>
      </c>
      <c r="S832" t="str">
        <f t="shared" si="88"/>
        <v>Agriculture</v>
      </c>
      <c r="T832">
        <v>445</v>
      </c>
      <c r="U832">
        <f t="shared" si="89"/>
        <v>445</v>
      </c>
      <c r="V832">
        <v>2</v>
      </c>
      <c r="W832" t="s">
        <v>3056</v>
      </c>
      <c r="X832" s="3" t="s">
        <v>3729</v>
      </c>
      <c r="Y832" s="3">
        <f t="shared" si="90"/>
        <v>44339</v>
      </c>
      <c r="Z832">
        <v>0.17080000000000001</v>
      </c>
    </row>
    <row r="833" spans="1:26" x14ac:dyDescent="0.35">
      <c r="A833" t="s">
        <v>842</v>
      </c>
      <c r="B833" t="str">
        <f t="shared" si="91"/>
        <v>OK</v>
      </c>
      <c r="C833" t="s">
        <v>2330</v>
      </c>
      <c r="D833" s="2">
        <v>44</v>
      </c>
      <c r="E833">
        <f>IF(OR(D833&lt;18, D833&gt;100),AD832,D833)</f>
        <v>44</v>
      </c>
      <c r="F833" t="s">
        <v>2992</v>
      </c>
      <c r="G833" t="str">
        <f t="shared" si="85"/>
        <v>Female</v>
      </c>
      <c r="H833" t="s">
        <v>3002</v>
      </c>
      <c r="I833" t="s">
        <v>3021</v>
      </c>
      <c r="K833" t="str">
        <f t="shared" si="86"/>
        <v>Unemployed</v>
      </c>
      <c r="L833">
        <v>29</v>
      </c>
      <c r="M833">
        <v>1726236</v>
      </c>
      <c r="N833">
        <f t="shared" si="87"/>
        <v>1726236</v>
      </c>
      <c r="O833">
        <v>112036</v>
      </c>
      <c r="P833">
        <v>16.25</v>
      </c>
      <c r="Q833">
        <v>60</v>
      </c>
      <c r="R833" t="s">
        <v>3051</v>
      </c>
      <c r="S833" t="str">
        <f t="shared" si="88"/>
        <v>Education</v>
      </c>
      <c r="T833">
        <v>681</v>
      </c>
      <c r="U833">
        <f t="shared" si="89"/>
        <v>681</v>
      </c>
      <c r="V833">
        <v>3</v>
      </c>
      <c r="W833" t="s">
        <v>3056</v>
      </c>
      <c r="X833" s="3" t="s">
        <v>3730</v>
      </c>
      <c r="Y833" s="3">
        <f t="shared" si="90"/>
        <v>44731</v>
      </c>
      <c r="Z833">
        <v>6.4899999999999999E-2</v>
      </c>
    </row>
    <row r="834" spans="1:26" x14ac:dyDescent="0.35">
      <c r="A834" t="s">
        <v>843</v>
      </c>
      <c r="B834" t="str">
        <f t="shared" si="91"/>
        <v>OK</v>
      </c>
      <c r="C834" t="s">
        <v>2331</v>
      </c>
      <c r="D834" s="2">
        <v>44</v>
      </c>
      <c r="E834">
        <f>IF(OR(D834&lt;18, D834&gt;100),AD833,D834)</f>
        <v>44</v>
      </c>
      <c r="F834" t="s">
        <v>2992</v>
      </c>
      <c r="G834" t="str">
        <f t="shared" si="85"/>
        <v>Female</v>
      </c>
      <c r="H834" t="s">
        <v>3004</v>
      </c>
      <c r="I834" t="s">
        <v>3021</v>
      </c>
      <c r="K834" t="str">
        <f t="shared" si="86"/>
        <v>Unemployed</v>
      </c>
      <c r="L834">
        <v>28</v>
      </c>
      <c r="M834">
        <v>671862</v>
      </c>
      <c r="N834">
        <f t="shared" si="87"/>
        <v>671862</v>
      </c>
      <c r="O834">
        <v>548036</v>
      </c>
      <c r="P834">
        <v>16.350000000000001</v>
      </c>
      <c r="Q834">
        <v>60</v>
      </c>
      <c r="R834" t="s">
        <v>3048</v>
      </c>
      <c r="S834" t="str">
        <f t="shared" si="88"/>
        <v>Home Improvement</v>
      </c>
      <c r="T834">
        <v>793</v>
      </c>
      <c r="U834">
        <f t="shared" si="89"/>
        <v>793</v>
      </c>
      <c r="V834">
        <v>5</v>
      </c>
      <c r="W834" t="s">
        <v>3054</v>
      </c>
      <c r="X834" s="3" t="s">
        <v>3731</v>
      </c>
      <c r="Y834" s="3">
        <v>44035</v>
      </c>
      <c r="Z834">
        <v>0.81569999999999998</v>
      </c>
    </row>
    <row r="835" spans="1:26" x14ac:dyDescent="0.35">
      <c r="A835" t="s">
        <v>844</v>
      </c>
      <c r="B835" t="str">
        <f t="shared" si="91"/>
        <v>OK</v>
      </c>
      <c r="C835" t="s">
        <v>2332</v>
      </c>
      <c r="D835" s="2">
        <v>35</v>
      </c>
      <c r="E835">
        <f>IF(OR(D835&lt;18, D835&gt;100),AD834,D835)</f>
        <v>35</v>
      </c>
      <c r="F835" t="s">
        <v>2990</v>
      </c>
      <c r="G835" t="str">
        <f t="shared" ref="G835:G898" si="92">IF(F835="", "Unknown", IF(OR(F835="F", F835="FEMALE", F835="Female"), "Female", IF(OR(F835="M", F835="MALE", F835="Male"), "Male", "Other")))</f>
        <v>Male</v>
      </c>
      <c r="H835" t="s">
        <v>2998</v>
      </c>
      <c r="I835" t="s">
        <v>3021</v>
      </c>
      <c r="K835" t="str">
        <f t="shared" ref="K835:K898" si="93">IF(I835="", "Unknown", I835)</f>
        <v>Unemployed</v>
      </c>
      <c r="L835">
        <v>2</v>
      </c>
      <c r="M835">
        <v>285228</v>
      </c>
      <c r="N835">
        <f t="shared" ref="N835:N898" si="94">IF(OR(M835="",M835&lt;0),$AD$3,M835)</f>
        <v>285228</v>
      </c>
      <c r="O835">
        <v>507030</v>
      </c>
      <c r="P835">
        <v>23.01</v>
      </c>
      <c r="Q835">
        <v>48</v>
      </c>
      <c r="R835" t="s">
        <v>3050</v>
      </c>
      <c r="S835" t="str">
        <f t="shared" ref="S835:S898" si="95">IF(R835="", "Unknown", R835)</f>
        <v>Agriculture</v>
      </c>
      <c r="T835">
        <v>601</v>
      </c>
      <c r="U835">
        <f t="shared" ref="U835:U898" si="96">IF(OR(T835="",T835&gt;999),$AD$2,T835)</f>
        <v>601</v>
      </c>
      <c r="V835">
        <v>5</v>
      </c>
      <c r="W835" t="s">
        <v>3054</v>
      </c>
      <c r="X835" s="3" t="s">
        <v>3732</v>
      </c>
      <c r="Y835" s="3">
        <f t="shared" ref="Y835:Y898" si="97">IF(ISNUMBER(X835), X835, DATEVALUE(X835))</f>
        <v>45260</v>
      </c>
      <c r="Z835">
        <v>1.7776000000000001</v>
      </c>
    </row>
    <row r="836" spans="1:26" x14ac:dyDescent="0.35">
      <c r="A836" t="s">
        <v>845</v>
      </c>
      <c r="B836" t="str">
        <f t="shared" si="91"/>
        <v>OK</v>
      </c>
      <c r="C836" t="s">
        <v>2333</v>
      </c>
      <c r="D836" s="2">
        <v>21</v>
      </c>
      <c r="E836">
        <f>IF(OR(D836&lt;18, D836&gt;100),AD835,D836)</f>
        <v>21</v>
      </c>
      <c r="F836" t="s">
        <v>2992</v>
      </c>
      <c r="G836" t="str">
        <f t="shared" si="92"/>
        <v>Female</v>
      </c>
      <c r="H836" t="s">
        <v>3007</v>
      </c>
      <c r="I836" t="s">
        <v>3018</v>
      </c>
      <c r="K836" t="str">
        <f t="shared" si="93"/>
        <v>Business Owner</v>
      </c>
      <c r="L836">
        <v>9</v>
      </c>
      <c r="M836">
        <v>438517</v>
      </c>
      <c r="N836">
        <f t="shared" si="94"/>
        <v>438517</v>
      </c>
      <c r="O836">
        <v>578969</v>
      </c>
      <c r="P836">
        <v>11.87</v>
      </c>
      <c r="Q836">
        <v>48</v>
      </c>
      <c r="R836" t="s">
        <v>3046</v>
      </c>
      <c r="S836" t="str">
        <f t="shared" si="95"/>
        <v>Medical</v>
      </c>
      <c r="T836">
        <v>387</v>
      </c>
      <c r="U836">
        <f t="shared" si="96"/>
        <v>387</v>
      </c>
      <c r="V836">
        <v>6</v>
      </c>
      <c r="W836" t="s">
        <v>3057</v>
      </c>
      <c r="X836" s="3" t="s">
        <v>3733</v>
      </c>
      <c r="Y836" s="3">
        <f t="shared" si="97"/>
        <v>45130</v>
      </c>
      <c r="Z836">
        <v>1.3203</v>
      </c>
    </row>
    <row r="837" spans="1:26" x14ac:dyDescent="0.35">
      <c r="A837" t="s">
        <v>846</v>
      </c>
      <c r="B837" t="str">
        <f t="shared" si="91"/>
        <v>OK</v>
      </c>
      <c r="C837" t="s">
        <v>2334</v>
      </c>
      <c r="D837" s="2">
        <v>46</v>
      </c>
      <c r="E837">
        <f>IF(OR(D837&lt;18, D837&gt;100),AD836,D837)</f>
        <v>46</v>
      </c>
      <c r="F837" t="s">
        <v>2992</v>
      </c>
      <c r="G837" t="str">
        <f t="shared" si="92"/>
        <v>Female</v>
      </c>
      <c r="H837" t="s">
        <v>3006</v>
      </c>
      <c r="I837" t="s">
        <v>3020</v>
      </c>
      <c r="K837" t="str">
        <f t="shared" si="93"/>
        <v>Self-Employed</v>
      </c>
      <c r="L837">
        <v>28</v>
      </c>
      <c r="M837">
        <v>975928</v>
      </c>
      <c r="N837">
        <f t="shared" si="94"/>
        <v>975928</v>
      </c>
      <c r="O837">
        <v>25039</v>
      </c>
      <c r="P837">
        <v>26.98</v>
      </c>
      <c r="Q837">
        <v>24</v>
      </c>
      <c r="R837" t="s">
        <v>3048</v>
      </c>
      <c r="S837" t="str">
        <f t="shared" si="95"/>
        <v>Home Improvement</v>
      </c>
      <c r="T837">
        <v>791</v>
      </c>
      <c r="U837">
        <f t="shared" si="96"/>
        <v>791</v>
      </c>
      <c r="V837">
        <v>7</v>
      </c>
      <c r="W837" t="s">
        <v>3057</v>
      </c>
      <c r="X837" s="3" t="s">
        <v>3734</v>
      </c>
      <c r="Y837" s="3">
        <f t="shared" si="97"/>
        <v>44384</v>
      </c>
      <c r="Z837">
        <v>2.5700000000000001E-2</v>
      </c>
    </row>
    <row r="838" spans="1:26" x14ac:dyDescent="0.35">
      <c r="A838" t="s">
        <v>847</v>
      </c>
      <c r="B838" t="str">
        <f t="shared" si="91"/>
        <v>OK</v>
      </c>
      <c r="C838" t="s">
        <v>2335</v>
      </c>
      <c r="D838" s="2">
        <v>51</v>
      </c>
      <c r="E838">
        <f>IF(OR(D838&lt;18, D838&gt;100),AD837,D838)</f>
        <v>51</v>
      </c>
      <c r="F838" t="s">
        <v>2992</v>
      </c>
      <c r="G838" t="str">
        <f t="shared" si="92"/>
        <v>Female</v>
      </c>
      <c r="H838" t="s">
        <v>2999</v>
      </c>
      <c r="I838" t="s">
        <v>3021</v>
      </c>
      <c r="K838" t="str">
        <f t="shared" si="93"/>
        <v>Unemployed</v>
      </c>
      <c r="L838">
        <v>4</v>
      </c>
      <c r="M838">
        <v>599065</v>
      </c>
      <c r="N838">
        <f t="shared" si="94"/>
        <v>599065</v>
      </c>
      <c r="O838">
        <v>331573</v>
      </c>
      <c r="P838">
        <v>11.22</v>
      </c>
      <c r="Q838">
        <v>12</v>
      </c>
      <c r="R838" t="s">
        <v>3048</v>
      </c>
      <c r="S838" t="str">
        <f t="shared" si="95"/>
        <v>Home Improvement</v>
      </c>
      <c r="T838">
        <v>524</v>
      </c>
      <c r="U838">
        <f t="shared" si="96"/>
        <v>524</v>
      </c>
      <c r="V838">
        <v>0</v>
      </c>
      <c r="W838" t="s">
        <v>3056</v>
      </c>
      <c r="X838" s="3" t="s">
        <v>3634</v>
      </c>
      <c r="Y838" s="3">
        <f t="shared" si="97"/>
        <v>44101</v>
      </c>
      <c r="Z838">
        <v>0.55349999999999999</v>
      </c>
    </row>
    <row r="839" spans="1:26" x14ac:dyDescent="0.35">
      <c r="A839" t="s">
        <v>848</v>
      </c>
      <c r="B839" t="str">
        <f t="shared" si="91"/>
        <v>OK</v>
      </c>
      <c r="C839" t="s">
        <v>2336</v>
      </c>
      <c r="D839" s="2">
        <v>49</v>
      </c>
      <c r="E839">
        <f>IF(OR(D839&lt;18, D839&gt;100),AD838,D839)</f>
        <v>49</v>
      </c>
      <c r="F839" t="s">
        <v>2992</v>
      </c>
      <c r="G839" t="str">
        <f t="shared" si="92"/>
        <v>Female</v>
      </c>
      <c r="H839" t="s">
        <v>3004</v>
      </c>
      <c r="I839" t="s">
        <v>3020</v>
      </c>
      <c r="K839" t="str">
        <f t="shared" si="93"/>
        <v>Self-Employed</v>
      </c>
      <c r="L839">
        <v>23</v>
      </c>
      <c r="M839">
        <v>1716081</v>
      </c>
      <c r="N839">
        <f t="shared" si="94"/>
        <v>1716081</v>
      </c>
      <c r="O839">
        <v>693623</v>
      </c>
      <c r="P839">
        <v>21.34</v>
      </c>
      <c r="Q839">
        <v>24</v>
      </c>
      <c r="R839" t="s">
        <v>3051</v>
      </c>
      <c r="S839" t="str">
        <f t="shared" si="95"/>
        <v>Education</v>
      </c>
      <c r="T839">
        <v>513</v>
      </c>
      <c r="U839">
        <f t="shared" si="96"/>
        <v>513</v>
      </c>
      <c r="V839">
        <v>6</v>
      </c>
      <c r="W839" t="s">
        <v>3056</v>
      </c>
      <c r="X839" s="3" t="s">
        <v>3735</v>
      </c>
      <c r="Y839" s="3">
        <f t="shared" si="97"/>
        <v>44583</v>
      </c>
      <c r="Z839">
        <v>0.4042</v>
      </c>
    </row>
    <row r="840" spans="1:26" x14ac:dyDescent="0.35">
      <c r="A840" t="s">
        <v>849</v>
      </c>
      <c r="B840" t="str">
        <f t="shared" si="91"/>
        <v>OK</v>
      </c>
      <c r="C840" t="s">
        <v>2337</v>
      </c>
      <c r="D840" s="2">
        <v>54</v>
      </c>
      <c r="E840">
        <f>IF(OR(D840&lt;18, D840&gt;100),AD839,D840)</f>
        <v>54</v>
      </c>
      <c r="F840" t="s">
        <v>2990</v>
      </c>
      <c r="G840" t="str">
        <f t="shared" si="92"/>
        <v>Male</v>
      </c>
      <c r="H840" t="s">
        <v>3006</v>
      </c>
      <c r="I840" t="s">
        <v>3018</v>
      </c>
      <c r="K840" t="str">
        <f t="shared" si="93"/>
        <v>Business Owner</v>
      </c>
      <c r="L840">
        <v>3</v>
      </c>
      <c r="M840">
        <v>2008022</v>
      </c>
      <c r="N840">
        <f t="shared" si="94"/>
        <v>2008022</v>
      </c>
      <c r="O840">
        <v>121948</v>
      </c>
      <c r="P840">
        <v>11.17</v>
      </c>
      <c r="Q840">
        <v>60</v>
      </c>
      <c r="R840" t="s">
        <v>3047</v>
      </c>
      <c r="S840" t="str">
        <f t="shared" si="95"/>
        <v>Personal</v>
      </c>
      <c r="T840">
        <v>702</v>
      </c>
      <c r="U840">
        <f t="shared" si="96"/>
        <v>702</v>
      </c>
      <c r="V840">
        <v>7</v>
      </c>
      <c r="W840" t="s">
        <v>3061</v>
      </c>
      <c r="X840" s="3" t="s">
        <v>3331</v>
      </c>
      <c r="Y840" s="3">
        <f t="shared" si="97"/>
        <v>44964</v>
      </c>
      <c r="Z840">
        <v>6.0699999999999997E-2</v>
      </c>
    </row>
    <row r="841" spans="1:26" x14ac:dyDescent="0.35">
      <c r="A841" t="s">
        <v>850</v>
      </c>
      <c r="B841" t="str">
        <f t="shared" si="91"/>
        <v>OK</v>
      </c>
      <c r="C841" t="s">
        <v>2338</v>
      </c>
      <c r="D841" s="2">
        <v>32</v>
      </c>
      <c r="E841">
        <f>IF(OR(D841&lt;18, D841&gt;100),AD840,D841)</f>
        <v>32</v>
      </c>
      <c r="F841" t="s">
        <v>2992</v>
      </c>
      <c r="G841" t="str">
        <f t="shared" si="92"/>
        <v>Female</v>
      </c>
      <c r="H841" t="s">
        <v>2999</v>
      </c>
      <c r="I841" t="s">
        <v>3021</v>
      </c>
      <c r="K841" t="str">
        <f t="shared" si="93"/>
        <v>Unemployed</v>
      </c>
      <c r="L841">
        <v>27</v>
      </c>
      <c r="M841">
        <v>335683</v>
      </c>
      <c r="N841">
        <f t="shared" si="94"/>
        <v>335683</v>
      </c>
      <c r="O841">
        <v>648889</v>
      </c>
      <c r="P841">
        <v>27.55</v>
      </c>
      <c r="Q841">
        <v>36</v>
      </c>
      <c r="R841" t="s">
        <v>3049</v>
      </c>
      <c r="S841" t="str">
        <f t="shared" si="95"/>
        <v>Business</v>
      </c>
      <c r="T841">
        <v>594</v>
      </c>
      <c r="U841">
        <f t="shared" si="96"/>
        <v>594</v>
      </c>
      <c r="V841">
        <v>7</v>
      </c>
      <c r="W841" t="s">
        <v>3052</v>
      </c>
      <c r="X841" s="3" t="s">
        <v>3736</v>
      </c>
      <c r="Y841" s="3">
        <f t="shared" si="97"/>
        <v>45023</v>
      </c>
      <c r="Z841">
        <v>1.9330000000000001</v>
      </c>
    </row>
    <row r="842" spans="1:26" x14ac:dyDescent="0.35">
      <c r="A842" t="s">
        <v>851</v>
      </c>
      <c r="B842" t="str">
        <f t="shared" si="91"/>
        <v>OK</v>
      </c>
      <c r="C842" t="s">
        <v>2339</v>
      </c>
      <c r="D842" s="2">
        <v>46</v>
      </c>
      <c r="E842">
        <f>IF(OR(D842&lt;18, D842&gt;100),AD841,D842)</f>
        <v>46</v>
      </c>
      <c r="F842" t="s">
        <v>2992</v>
      </c>
      <c r="G842" t="str">
        <f t="shared" si="92"/>
        <v>Female</v>
      </c>
      <c r="H842" t="s">
        <v>3002</v>
      </c>
      <c r="I842" t="s">
        <v>3021</v>
      </c>
      <c r="K842" t="str">
        <f t="shared" si="93"/>
        <v>Unemployed</v>
      </c>
      <c r="L842">
        <v>9</v>
      </c>
      <c r="M842">
        <v>1761420</v>
      </c>
      <c r="N842">
        <f t="shared" si="94"/>
        <v>1761420</v>
      </c>
      <c r="O842">
        <v>731943</v>
      </c>
      <c r="P842">
        <v>22.97</v>
      </c>
      <c r="Q842">
        <v>48</v>
      </c>
      <c r="R842" t="s">
        <v>3046</v>
      </c>
      <c r="S842" t="str">
        <f t="shared" si="95"/>
        <v>Medical</v>
      </c>
      <c r="T842">
        <v>641</v>
      </c>
      <c r="U842">
        <f t="shared" si="96"/>
        <v>641</v>
      </c>
      <c r="V842">
        <v>6</v>
      </c>
      <c r="W842" t="s">
        <v>3054</v>
      </c>
      <c r="X842" s="3" t="s">
        <v>3737</v>
      </c>
      <c r="Y842" s="3">
        <f t="shared" si="97"/>
        <v>45138</v>
      </c>
      <c r="Z842">
        <v>0.41549999999999998</v>
      </c>
    </row>
    <row r="843" spans="1:26" x14ac:dyDescent="0.35">
      <c r="A843" t="s">
        <v>852</v>
      </c>
      <c r="B843" t="str">
        <f t="shared" si="91"/>
        <v>OK</v>
      </c>
      <c r="C843" t="s">
        <v>2340</v>
      </c>
      <c r="D843" s="2">
        <v>23</v>
      </c>
      <c r="E843">
        <f>IF(OR(D843&lt;18, D843&gt;100),AD842,D843)</f>
        <v>23</v>
      </c>
      <c r="F843" t="s">
        <v>2992</v>
      </c>
      <c r="G843" t="str">
        <f t="shared" si="92"/>
        <v>Female</v>
      </c>
      <c r="H843" t="s">
        <v>3002</v>
      </c>
      <c r="I843" t="s">
        <v>3021</v>
      </c>
      <c r="K843" t="str">
        <f t="shared" si="93"/>
        <v>Unemployed</v>
      </c>
      <c r="L843">
        <v>5</v>
      </c>
      <c r="M843">
        <v>1263868</v>
      </c>
      <c r="N843">
        <f t="shared" si="94"/>
        <v>1263868</v>
      </c>
      <c r="O843">
        <v>787344</v>
      </c>
      <c r="P843">
        <v>17.21</v>
      </c>
      <c r="Q843">
        <v>24</v>
      </c>
      <c r="R843" t="s">
        <v>3047</v>
      </c>
      <c r="S843" t="str">
        <f t="shared" si="95"/>
        <v>Personal</v>
      </c>
      <c r="T843">
        <v>758</v>
      </c>
      <c r="U843">
        <f t="shared" si="96"/>
        <v>758</v>
      </c>
      <c r="V843">
        <v>1</v>
      </c>
      <c r="W843" t="s">
        <v>3057</v>
      </c>
      <c r="X843" s="3" t="s">
        <v>3173</v>
      </c>
      <c r="Y843" s="3">
        <f t="shared" si="97"/>
        <v>44763</v>
      </c>
      <c r="Z843">
        <v>0.623</v>
      </c>
    </row>
    <row r="844" spans="1:26" x14ac:dyDescent="0.35">
      <c r="A844" t="s">
        <v>853</v>
      </c>
      <c r="B844" t="str">
        <f t="shared" si="91"/>
        <v>OK</v>
      </c>
      <c r="C844" t="s">
        <v>2341</v>
      </c>
      <c r="D844" s="2">
        <v>54</v>
      </c>
      <c r="E844">
        <f>IF(OR(D844&lt;18, D844&gt;100),AD843,D844)</f>
        <v>54</v>
      </c>
      <c r="F844" t="s">
        <v>2990</v>
      </c>
      <c r="G844" t="str">
        <f t="shared" si="92"/>
        <v>Male</v>
      </c>
      <c r="H844" t="s">
        <v>3006</v>
      </c>
      <c r="I844" t="s">
        <v>3019</v>
      </c>
      <c r="K844" t="str">
        <f t="shared" si="93"/>
        <v>Employed</v>
      </c>
      <c r="L844">
        <v>12</v>
      </c>
      <c r="M844">
        <v>2360338</v>
      </c>
      <c r="N844">
        <f t="shared" si="94"/>
        <v>2360338</v>
      </c>
      <c r="O844">
        <v>399039</v>
      </c>
      <c r="P844">
        <v>20.28</v>
      </c>
      <c r="Q844">
        <v>60</v>
      </c>
      <c r="R844" t="s">
        <v>3049</v>
      </c>
      <c r="S844" t="str">
        <f t="shared" si="95"/>
        <v>Business</v>
      </c>
      <c r="T844">
        <v>527</v>
      </c>
      <c r="U844">
        <f t="shared" si="96"/>
        <v>527</v>
      </c>
      <c r="V844">
        <v>3</v>
      </c>
      <c r="W844" t="s">
        <v>3056</v>
      </c>
      <c r="X844" s="3" t="s">
        <v>3366</v>
      </c>
      <c r="Y844" s="3">
        <f t="shared" si="97"/>
        <v>44728</v>
      </c>
      <c r="Z844">
        <v>0.1691</v>
      </c>
    </row>
    <row r="845" spans="1:26" x14ac:dyDescent="0.35">
      <c r="A845" t="s">
        <v>854</v>
      </c>
      <c r="B845" t="str">
        <f t="shared" si="91"/>
        <v>OK</v>
      </c>
      <c r="C845" t="s">
        <v>2342</v>
      </c>
      <c r="D845" s="2">
        <v>47</v>
      </c>
      <c r="E845">
        <f>IF(OR(D845&lt;18, D845&gt;100),AD844,D845)</f>
        <v>47</v>
      </c>
      <c r="F845" t="s">
        <v>2990</v>
      </c>
      <c r="G845" t="str">
        <f t="shared" si="92"/>
        <v>Male</v>
      </c>
      <c r="H845" t="s">
        <v>3002</v>
      </c>
      <c r="I845" t="s">
        <v>3018</v>
      </c>
      <c r="K845" t="str">
        <f t="shared" si="93"/>
        <v>Business Owner</v>
      </c>
      <c r="L845">
        <v>6</v>
      </c>
      <c r="M845">
        <v>2068806</v>
      </c>
      <c r="N845">
        <f t="shared" si="94"/>
        <v>2068806</v>
      </c>
      <c r="O845">
        <v>265144</v>
      </c>
      <c r="P845">
        <v>16.440000000000001</v>
      </c>
      <c r="Q845">
        <v>60</v>
      </c>
      <c r="R845" t="s">
        <v>3048</v>
      </c>
      <c r="S845" t="str">
        <f t="shared" si="95"/>
        <v>Home Improvement</v>
      </c>
      <c r="U845">
        <f t="shared" si="96"/>
        <v>556</v>
      </c>
      <c r="V845">
        <v>5</v>
      </c>
      <c r="W845" t="s">
        <v>3052</v>
      </c>
      <c r="X845" s="3" t="s">
        <v>3738</v>
      </c>
      <c r="Y845" s="3">
        <f t="shared" si="97"/>
        <v>45284</v>
      </c>
      <c r="Z845">
        <v>0.12820000000000001</v>
      </c>
    </row>
    <row r="846" spans="1:26" x14ac:dyDescent="0.35">
      <c r="A846" t="s">
        <v>855</v>
      </c>
      <c r="B846" t="str">
        <f t="shared" si="91"/>
        <v>OK</v>
      </c>
      <c r="C846" t="s">
        <v>2343</v>
      </c>
      <c r="D846" s="2">
        <v>34</v>
      </c>
      <c r="E846">
        <f>IF(OR(D846&lt;18, D846&gt;100),AD845,D846)</f>
        <v>34</v>
      </c>
      <c r="F846" t="s">
        <v>2990</v>
      </c>
      <c r="G846" t="str">
        <f t="shared" si="92"/>
        <v>Male</v>
      </c>
      <c r="H846" t="s">
        <v>3004</v>
      </c>
      <c r="I846" t="s">
        <v>3021</v>
      </c>
      <c r="K846" t="str">
        <f t="shared" si="93"/>
        <v>Unemployed</v>
      </c>
      <c r="L846">
        <v>11</v>
      </c>
      <c r="M846">
        <v>-1284849</v>
      </c>
      <c r="N846">
        <f t="shared" si="94"/>
        <v>1333224</v>
      </c>
      <c r="O846">
        <v>784629</v>
      </c>
      <c r="P846">
        <v>14.85</v>
      </c>
      <c r="Q846">
        <v>60</v>
      </c>
      <c r="R846" t="s">
        <v>3046</v>
      </c>
      <c r="S846" t="str">
        <f t="shared" si="95"/>
        <v>Medical</v>
      </c>
      <c r="T846">
        <v>404</v>
      </c>
      <c r="U846">
        <f t="shared" si="96"/>
        <v>404</v>
      </c>
      <c r="V846">
        <v>7</v>
      </c>
      <c r="W846" t="s">
        <v>3055</v>
      </c>
      <c r="X846" s="3" t="s">
        <v>3739</v>
      </c>
      <c r="Y846" s="3">
        <f t="shared" si="97"/>
        <v>45258</v>
      </c>
      <c r="Z846">
        <v>0.61070000000000002</v>
      </c>
    </row>
    <row r="847" spans="1:26" x14ac:dyDescent="0.35">
      <c r="A847" t="s">
        <v>856</v>
      </c>
      <c r="B847" t="str">
        <f t="shared" si="91"/>
        <v>OK</v>
      </c>
      <c r="C847" t="s">
        <v>2344</v>
      </c>
      <c r="D847" s="2">
        <v>52</v>
      </c>
      <c r="E847">
        <f>IF(OR(D847&lt;18, D847&gt;100),AD846,D847)</f>
        <v>52</v>
      </c>
      <c r="F847" t="s">
        <v>2990</v>
      </c>
      <c r="G847" t="str">
        <f t="shared" si="92"/>
        <v>Male</v>
      </c>
      <c r="H847" t="s">
        <v>3007</v>
      </c>
      <c r="I847" t="s">
        <v>3018</v>
      </c>
      <c r="K847" t="str">
        <f t="shared" si="93"/>
        <v>Business Owner</v>
      </c>
      <c r="L847">
        <v>11</v>
      </c>
      <c r="M847">
        <v>453146</v>
      </c>
      <c r="N847">
        <f t="shared" si="94"/>
        <v>453146</v>
      </c>
      <c r="O847">
        <v>210121</v>
      </c>
      <c r="P847">
        <v>26.58</v>
      </c>
      <c r="Q847">
        <v>12</v>
      </c>
      <c r="S847" t="str">
        <f t="shared" si="95"/>
        <v>Unknown</v>
      </c>
      <c r="T847">
        <v>682</v>
      </c>
      <c r="U847">
        <f t="shared" si="96"/>
        <v>682</v>
      </c>
      <c r="V847">
        <v>0</v>
      </c>
      <c r="W847" t="s">
        <v>3053</v>
      </c>
      <c r="X847" s="3" t="s">
        <v>3740</v>
      </c>
      <c r="Y847" s="3">
        <f t="shared" si="97"/>
        <v>45058</v>
      </c>
      <c r="Z847">
        <v>0.4637</v>
      </c>
    </row>
    <row r="848" spans="1:26" x14ac:dyDescent="0.35">
      <c r="A848" t="s">
        <v>857</v>
      </c>
      <c r="B848" t="str">
        <f t="shared" si="91"/>
        <v>OK</v>
      </c>
      <c r="C848" t="s">
        <v>2345</v>
      </c>
      <c r="D848" s="2">
        <v>48</v>
      </c>
      <c r="E848">
        <f>IF(OR(D848&lt;18, D848&gt;100),AD847,D848)</f>
        <v>48</v>
      </c>
      <c r="F848" t="s">
        <v>2992</v>
      </c>
      <c r="G848" t="str">
        <f t="shared" si="92"/>
        <v>Female</v>
      </c>
      <c r="H848" t="s">
        <v>2998</v>
      </c>
      <c r="I848" t="s">
        <v>3021</v>
      </c>
      <c r="K848" t="str">
        <f t="shared" si="93"/>
        <v>Unemployed</v>
      </c>
      <c r="L848">
        <v>21</v>
      </c>
      <c r="M848">
        <v>1431011</v>
      </c>
      <c r="N848">
        <f t="shared" si="94"/>
        <v>1431011</v>
      </c>
      <c r="O848">
        <v>497697</v>
      </c>
      <c r="P848">
        <v>14.82</v>
      </c>
      <c r="Q848">
        <v>60</v>
      </c>
      <c r="R848" t="s">
        <v>3049</v>
      </c>
      <c r="S848" t="str">
        <f t="shared" si="95"/>
        <v>Business</v>
      </c>
      <c r="T848">
        <v>803</v>
      </c>
      <c r="U848">
        <f t="shared" si="96"/>
        <v>803</v>
      </c>
      <c r="V848">
        <v>3</v>
      </c>
      <c r="W848" t="s">
        <v>3057</v>
      </c>
      <c r="X848" s="3" t="s">
        <v>3741</v>
      </c>
      <c r="Y848" s="3">
        <f t="shared" si="97"/>
        <v>44745</v>
      </c>
      <c r="Z848">
        <v>0.3478</v>
      </c>
    </row>
    <row r="849" spans="1:26" x14ac:dyDescent="0.35">
      <c r="A849" t="s">
        <v>858</v>
      </c>
      <c r="B849" t="str">
        <f t="shared" si="91"/>
        <v>OK</v>
      </c>
      <c r="C849" t="s">
        <v>2346</v>
      </c>
      <c r="D849" s="2">
        <v>28</v>
      </c>
      <c r="E849">
        <f>IF(OR(D849&lt;18, D849&gt;100),AD848,D849)</f>
        <v>28</v>
      </c>
      <c r="F849" t="s">
        <v>2992</v>
      </c>
      <c r="G849" t="str">
        <f t="shared" si="92"/>
        <v>Female</v>
      </c>
      <c r="H849" t="s">
        <v>3003</v>
      </c>
      <c r="I849" t="s">
        <v>3019</v>
      </c>
      <c r="K849" t="str">
        <f t="shared" si="93"/>
        <v>Employed</v>
      </c>
      <c r="L849">
        <v>7</v>
      </c>
      <c r="M849">
        <v>2175451</v>
      </c>
      <c r="N849">
        <f t="shared" si="94"/>
        <v>2175451</v>
      </c>
      <c r="O849">
        <v>516965</v>
      </c>
      <c r="P849">
        <v>22.68</v>
      </c>
      <c r="Q849">
        <v>36</v>
      </c>
      <c r="R849" t="s">
        <v>3048</v>
      </c>
      <c r="S849" t="str">
        <f t="shared" si="95"/>
        <v>Home Improvement</v>
      </c>
      <c r="T849">
        <v>803</v>
      </c>
      <c r="U849">
        <f t="shared" si="96"/>
        <v>803</v>
      </c>
      <c r="V849">
        <v>4</v>
      </c>
      <c r="W849" t="s">
        <v>3052</v>
      </c>
      <c r="X849" s="3" t="s">
        <v>3742</v>
      </c>
      <c r="Y849" s="3">
        <f t="shared" si="97"/>
        <v>44874</v>
      </c>
      <c r="Z849">
        <v>0.23760000000000001</v>
      </c>
    </row>
    <row r="850" spans="1:26" x14ac:dyDescent="0.35">
      <c r="A850" t="s">
        <v>859</v>
      </c>
      <c r="B850" t="str">
        <f t="shared" si="91"/>
        <v>OK</v>
      </c>
      <c r="C850" t="s">
        <v>2347</v>
      </c>
      <c r="D850" s="2">
        <v>40</v>
      </c>
      <c r="E850">
        <f>IF(OR(D850&lt;18, D850&gt;100),AD849,D850)</f>
        <v>40</v>
      </c>
      <c r="F850" t="s">
        <v>2992</v>
      </c>
      <c r="G850" t="str">
        <f t="shared" si="92"/>
        <v>Female</v>
      </c>
      <c r="H850" t="s">
        <v>3003</v>
      </c>
      <c r="I850" t="s">
        <v>3021</v>
      </c>
      <c r="K850" t="str">
        <f t="shared" si="93"/>
        <v>Unemployed</v>
      </c>
      <c r="L850">
        <v>23</v>
      </c>
      <c r="M850">
        <v>382416</v>
      </c>
      <c r="N850">
        <f t="shared" si="94"/>
        <v>382416</v>
      </c>
      <c r="O850">
        <v>463842</v>
      </c>
      <c r="P850">
        <v>26.18</v>
      </c>
      <c r="Q850">
        <v>36</v>
      </c>
      <c r="R850" t="s">
        <v>3050</v>
      </c>
      <c r="S850" t="str">
        <f t="shared" si="95"/>
        <v>Agriculture</v>
      </c>
      <c r="T850">
        <v>590</v>
      </c>
      <c r="U850">
        <f t="shared" si="96"/>
        <v>590</v>
      </c>
      <c r="V850">
        <v>4</v>
      </c>
      <c r="W850" t="s">
        <v>3054</v>
      </c>
      <c r="X850" s="3" t="s">
        <v>3743</v>
      </c>
      <c r="Y850" s="3">
        <f t="shared" si="97"/>
        <v>44296</v>
      </c>
      <c r="Z850">
        <v>1.2129000000000001</v>
      </c>
    </row>
    <row r="851" spans="1:26" x14ac:dyDescent="0.35">
      <c r="A851" t="s">
        <v>860</v>
      </c>
      <c r="B851" t="str">
        <f t="shared" si="91"/>
        <v>OK</v>
      </c>
      <c r="C851" t="s">
        <v>2348</v>
      </c>
      <c r="D851" s="2">
        <v>22</v>
      </c>
      <c r="E851">
        <f>IF(OR(D851&lt;18, D851&gt;100),AD850,D851)</f>
        <v>22</v>
      </c>
      <c r="F851" t="s">
        <v>2992</v>
      </c>
      <c r="G851" t="str">
        <f t="shared" si="92"/>
        <v>Female</v>
      </c>
      <c r="H851" t="s">
        <v>3007</v>
      </c>
      <c r="I851" t="s">
        <v>3021</v>
      </c>
      <c r="K851" t="str">
        <f t="shared" si="93"/>
        <v>Unemployed</v>
      </c>
      <c r="L851">
        <v>14</v>
      </c>
      <c r="M851">
        <v>1425129</v>
      </c>
      <c r="N851">
        <f t="shared" si="94"/>
        <v>1425129</v>
      </c>
      <c r="O851">
        <v>382916</v>
      </c>
      <c r="P851">
        <v>12.21</v>
      </c>
      <c r="Q851">
        <v>36</v>
      </c>
      <c r="R851" t="s">
        <v>3046</v>
      </c>
      <c r="S851" t="str">
        <f t="shared" si="95"/>
        <v>Medical</v>
      </c>
      <c r="T851">
        <v>467</v>
      </c>
      <c r="U851">
        <f t="shared" si="96"/>
        <v>467</v>
      </c>
      <c r="V851">
        <v>7</v>
      </c>
      <c r="W851" t="s">
        <v>3057</v>
      </c>
      <c r="X851" s="3" t="s">
        <v>3744</v>
      </c>
      <c r="Y851" s="3">
        <f t="shared" si="97"/>
        <v>44198</v>
      </c>
      <c r="Z851">
        <v>0.26869999999999999</v>
      </c>
    </row>
    <row r="852" spans="1:26" x14ac:dyDescent="0.35">
      <c r="A852" t="s">
        <v>861</v>
      </c>
      <c r="B852" t="str">
        <f t="shared" si="91"/>
        <v>OK</v>
      </c>
      <c r="C852" t="s">
        <v>2349</v>
      </c>
      <c r="D852" s="2">
        <v>64</v>
      </c>
      <c r="E852">
        <f>IF(OR(D852&lt;18, D852&gt;100),AD851,D852)</f>
        <v>64</v>
      </c>
      <c r="F852" t="s">
        <v>2992</v>
      </c>
      <c r="G852" t="str">
        <f t="shared" si="92"/>
        <v>Female</v>
      </c>
      <c r="H852" t="s">
        <v>3000</v>
      </c>
      <c r="I852" t="s">
        <v>3019</v>
      </c>
      <c r="K852" t="str">
        <f t="shared" si="93"/>
        <v>Employed</v>
      </c>
      <c r="L852">
        <v>23</v>
      </c>
      <c r="M852">
        <v>2274529</v>
      </c>
      <c r="N852">
        <f t="shared" si="94"/>
        <v>2274529</v>
      </c>
      <c r="O852">
        <v>652413</v>
      </c>
      <c r="P852">
        <v>14.75</v>
      </c>
      <c r="Q852">
        <v>12</v>
      </c>
      <c r="R852" t="s">
        <v>3051</v>
      </c>
      <c r="S852" t="str">
        <f t="shared" si="95"/>
        <v>Education</v>
      </c>
      <c r="T852">
        <v>529</v>
      </c>
      <c r="U852">
        <f t="shared" si="96"/>
        <v>529</v>
      </c>
      <c r="V852">
        <v>2</v>
      </c>
      <c r="W852" t="s">
        <v>3052</v>
      </c>
      <c r="X852" s="3" t="s">
        <v>3190</v>
      </c>
      <c r="Y852" s="3">
        <f t="shared" si="97"/>
        <v>45198</v>
      </c>
      <c r="Z852">
        <v>0.2868</v>
      </c>
    </row>
    <row r="853" spans="1:26" x14ac:dyDescent="0.35">
      <c r="A853" t="s">
        <v>862</v>
      </c>
      <c r="B853" t="str">
        <f t="shared" si="91"/>
        <v>OK</v>
      </c>
      <c r="C853" t="s">
        <v>2350</v>
      </c>
      <c r="D853" s="2">
        <v>57</v>
      </c>
      <c r="E853">
        <f>IF(OR(D853&lt;18, D853&gt;100),AD852,D853)</f>
        <v>57</v>
      </c>
      <c r="F853" t="s">
        <v>2992</v>
      </c>
      <c r="G853" t="str">
        <f t="shared" si="92"/>
        <v>Female</v>
      </c>
      <c r="H853" t="s">
        <v>3001</v>
      </c>
      <c r="I853" t="s">
        <v>3018</v>
      </c>
      <c r="K853" t="str">
        <f t="shared" si="93"/>
        <v>Business Owner</v>
      </c>
      <c r="L853">
        <v>16</v>
      </c>
      <c r="M853">
        <v>795863</v>
      </c>
      <c r="N853">
        <f t="shared" si="94"/>
        <v>795863</v>
      </c>
      <c r="O853">
        <v>43559</v>
      </c>
      <c r="P853">
        <v>27.23</v>
      </c>
      <c r="Q853">
        <v>24</v>
      </c>
      <c r="R853" t="s">
        <v>3049</v>
      </c>
      <c r="S853" t="str">
        <f t="shared" si="95"/>
        <v>Business</v>
      </c>
      <c r="T853">
        <v>574</v>
      </c>
      <c r="U853">
        <f t="shared" si="96"/>
        <v>574</v>
      </c>
      <c r="V853">
        <v>4</v>
      </c>
      <c r="W853" t="s">
        <v>3056</v>
      </c>
      <c r="X853" s="3" t="s">
        <v>3745</v>
      </c>
      <c r="Y853" s="3">
        <f t="shared" si="97"/>
        <v>44918</v>
      </c>
      <c r="Z853">
        <v>5.4699999999999999E-2</v>
      </c>
    </row>
    <row r="854" spans="1:26" x14ac:dyDescent="0.35">
      <c r="A854" t="s">
        <v>863</v>
      </c>
      <c r="B854" t="str">
        <f t="shared" si="91"/>
        <v>OK</v>
      </c>
      <c r="C854" t="s">
        <v>2351</v>
      </c>
      <c r="D854" s="2">
        <v>25</v>
      </c>
      <c r="E854">
        <f>IF(OR(D854&lt;18, D854&gt;100),AD853,D854)</f>
        <v>25</v>
      </c>
      <c r="F854" t="s">
        <v>2992</v>
      </c>
      <c r="G854" t="str">
        <f t="shared" si="92"/>
        <v>Female</v>
      </c>
      <c r="H854" t="s">
        <v>3006</v>
      </c>
      <c r="I854" t="s">
        <v>3021</v>
      </c>
      <c r="K854" t="str">
        <f t="shared" si="93"/>
        <v>Unemployed</v>
      </c>
      <c r="L854">
        <v>18</v>
      </c>
      <c r="M854">
        <v>2063376</v>
      </c>
      <c r="N854">
        <f t="shared" si="94"/>
        <v>2063376</v>
      </c>
      <c r="O854">
        <v>739174</v>
      </c>
      <c r="P854">
        <v>27.77</v>
      </c>
      <c r="Q854">
        <v>24</v>
      </c>
      <c r="R854" t="s">
        <v>3048</v>
      </c>
      <c r="S854" t="str">
        <f t="shared" si="95"/>
        <v>Home Improvement</v>
      </c>
      <c r="T854">
        <v>464</v>
      </c>
      <c r="U854">
        <f t="shared" si="96"/>
        <v>464</v>
      </c>
      <c r="V854">
        <v>6</v>
      </c>
      <c r="W854" t="s">
        <v>3053</v>
      </c>
      <c r="X854" s="3" t="s">
        <v>3746</v>
      </c>
      <c r="Y854" s="3">
        <f t="shared" si="97"/>
        <v>44587</v>
      </c>
      <c r="Z854">
        <v>0.35820000000000002</v>
      </c>
    </row>
    <row r="855" spans="1:26" x14ac:dyDescent="0.35">
      <c r="A855" t="s">
        <v>864</v>
      </c>
      <c r="B855" t="str">
        <f t="shared" si="91"/>
        <v>OK</v>
      </c>
      <c r="C855" t="s">
        <v>2352</v>
      </c>
      <c r="D855" s="2">
        <v>44</v>
      </c>
      <c r="E855">
        <f>IF(OR(D855&lt;18, D855&gt;100),AD854,D855)</f>
        <v>44</v>
      </c>
      <c r="F855" t="s">
        <v>2992</v>
      </c>
      <c r="G855" t="str">
        <f t="shared" si="92"/>
        <v>Female</v>
      </c>
      <c r="H855" t="s">
        <v>3000</v>
      </c>
      <c r="I855" t="s">
        <v>3018</v>
      </c>
      <c r="K855" t="str">
        <f t="shared" si="93"/>
        <v>Business Owner</v>
      </c>
      <c r="L855">
        <v>10</v>
      </c>
      <c r="M855">
        <v>1165132</v>
      </c>
      <c r="N855">
        <f t="shared" si="94"/>
        <v>1165132</v>
      </c>
      <c r="O855">
        <v>313624</v>
      </c>
      <c r="P855">
        <v>16.579999999999998</v>
      </c>
      <c r="Q855">
        <v>60</v>
      </c>
      <c r="R855" t="s">
        <v>3049</v>
      </c>
      <c r="S855" t="str">
        <f t="shared" si="95"/>
        <v>Business</v>
      </c>
      <c r="T855">
        <v>456</v>
      </c>
      <c r="U855">
        <f t="shared" si="96"/>
        <v>456</v>
      </c>
      <c r="V855">
        <v>2</v>
      </c>
      <c r="W855" t="s">
        <v>3052</v>
      </c>
      <c r="X855" s="3" t="s">
        <v>3518</v>
      </c>
      <c r="Y855" s="3">
        <f t="shared" si="97"/>
        <v>44572</v>
      </c>
      <c r="Z855">
        <v>0.26919999999999999</v>
      </c>
    </row>
    <row r="856" spans="1:26" x14ac:dyDescent="0.35">
      <c r="A856" t="s">
        <v>865</v>
      </c>
      <c r="B856" t="str">
        <f t="shared" si="91"/>
        <v>OK</v>
      </c>
      <c r="C856" t="s">
        <v>2353</v>
      </c>
      <c r="D856" s="2">
        <v>57</v>
      </c>
      <c r="E856">
        <f>IF(OR(D856&lt;18, D856&gt;100),AD855,D856)</f>
        <v>57</v>
      </c>
      <c r="F856" t="s">
        <v>2990</v>
      </c>
      <c r="G856" t="str">
        <f t="shared" si="92"/>
        <v>Male</v>
      </c>
      <c r="H856" t="s">
        <v>3000</v>
      </c>
      <c r="I856" t="s">
        <v>3020</v>
      </c>
      <c r="K856" t="str">
        <f t="shared" si="93"/>
        <v>Self-Employed</v>
      </c>
      <c r="L856">
        <v>11</v>
      </c>
      <c r="M856">
        <v>1883377</v>
      </c>
      <c r="N856">
        <f t="shared" si="94"/>
        <v>1883377</v>
      </c>
      <c r="O856">
        <v>282318</v>
      </c>
      <c r="P856">
        <v>14.11</v>
      </c>
      <c r="Q856">
        <v>48</v>
      </c>
      <c r="R856" t="s">
        <v>3049</v>
      </c>
      <c r="S856" t="str">
        <f t="shared" si="95"/>
        <v>Business</v>
      </c>
      <c r="T856">
        <v>577</v>
      </c>
      <c r="U856">
        <f t="shared" si="96"/>
        <v>577</v>
      </c>
      <c r="V856">
        <v>4</v>
      </c>
      <c r="W856" t="s">
        <v>3055</v>
      </c>
      <c r="X856" s="3" t="s">
        <v>3747</v>
      </c>
      <c r="Y856" s="3">
        <f t="shared" si="97"/>
        <v>44517</v>
      </c>
      <c r="Z856">
        <v>0.14990000000000001</v>
      </c>
    </row>
    <row r="857" spans="1:26" x14ac:dyDescent="0.35">
      <c r="A857" t="s">
        <v>866</v>
      </c>
      <c r="B857" t="str">
        <f t="shared" si="91"/>
        <v>OK</v>
      </c>
      <c r="C857" t="s">
        <v>2354</v>
      </c>
      <c r="D857" s="2">
        <v>29</v>
      </c>
      <c r="E857">
        <f>IF(OR(D857&lt;18, D857&gt;100),AD856,D857)</f>
        <v>29</v>
      </c>
      <c r="F857" t="s">
        <v>2992</v>
      </c>
      <c r="G857" t="str">
        <f t="shared" si="92"/>
        <v>Female</v>
      </c>
      <c r="H857" t="s">
        <v>3001</v>
      </c>
      <c r="I857" t="s">
        <v>3019</v>
      </c>
      <c r="K857" t="str">
        <f t="shared" si="93"/>
        <v>Employed</v>
      </c>
      <c r="L857">
        <v>17</v>
      </c>
      <c r="M857">
        <v>821147</v>
      </c>
      <c r="N857">
        <f t="shared" si="94"/>
        <v>821147</v>
      </c>
      <c r="O857">
        <v>295796</v>
      </c>
      <c r="P857">
        <v>17.43</v>
      </c>
      <c r="Q857">
        <v>24</v>
      </c>
      <c r="R857" t="s">
        <v>3051</v>
      </c>
      <c r="S857" t="str">
        <f t="shared" si="95"/>
        <v>Education</v>
      </c>
      <c r="T857">
        <v>593</v>
      </c>
      <c r="U857">
        <f t="shared" si="96"/>
        <v>593</v>
      </c>
      <c r="V857">
        <v>4</v>
      </c>
      <c r="W857" t="s">
        <v>3053</v>
      </c>
      <c r="X857" s="3" t="s">
        <v>3748</v>
      </c>
      <c r="Y857" s="3">
        <f t="shared" si="97"/>
        <v>44225</v>
      </c>
      <c r="Z857">
        <v>0.36020000000000002</v>
      </c>
    </row>
    <row r="858" spans="1:26" x14ac:dyDescent="0.35">
      <c r="A858" t="s">
        <v>867</v>
      </c>
      <c r="B858" t="str">
        <f t="shared" si="91"/>
        <v>OK</v>
      </c>
      <c r="C858" t="s">
        <v>2355</v>
      </c>
      <c r="D858" s="2">
        <v>57</v>
      </c>
      <c r="E858">
        <f>IF(OR(D858&lt;18, D858&gt;100),AD857,D858)</f>
        <v>57</v>
      </c>
      <c r="F858" t="s">
        <v>2992</v>
      </c>
      <c r="G858" t="str">
        <f t="shared" si="92"/>
        <v>Female</v>
      </c>
      <c r="H858" t="s">
        <v>3005</v>
      </c>
      <c r="I858" t="s">
        <v>3018</v>
      </c>
      <c r="K858" t="str">
        <f t="shared" si="93"/>
        <v>Business Owner</v>
      </c>
      <c r="L858">
        <v>20</v>
      </c>
      <c r="M858">
        <v>192115</v>
      </c>
      <c r="N858">
        <f t="shared" si="94"/>
        <v>192115</v>
      </c>
      <c r="O858">
        <v>143765</v>
      </c>
      <c r="P858">
        <v>13.32</v>
      </c>
      <c r="Q858">
        <v>12</v>
      </c>
      <c r="R858" t="s">
        <v>3051</v>
      </c>
      <c r="S858" t="str">
        <f t="shared" si="95"/>
        <v>Education</v>
      </c>
      <c r="T858">
        <v>772</v>
      </c>
      <c r="U858">
        <f t="shared" si="96"/>
        <v>772</v>
      </c>
      <c r="V858">
        <v>7</v>
      </c>
      <c r="W858" t="s">
        <v>3057</v>
      </c>
      <c r="X858" s="3" t="s">
        <v>3745</v>
      </c>
      <c r="Y858" s="3">
        <f t="shared" si="97"/>
        <v>44918</v>
      </c>
      <c r="Z858">
        <v>0.74829999999999997</v>
      </c>
    </row>
    <row r="859" spans="1:26" x14ac:dyDescent="0.35">
      <c r="A859" t="s">
        <v>868</v>
      </c>
      <c r="B859" t="str">
        <f t="shared" si="91"/>
        <v>OK</v>
      </c>
      <c r="C859" t="s">
        <v>2356</v>
      </c>
      <c r="D859" s="2">
        <v>23</v>
      </c>
      <c r="E859">
        <f>IF(OR(D859&lt;18, D859&gt;100),AD858,D859)</f>
        <v>23</v>
      </c>
      <c r="F859" t="s">
        <v>2992</v>
      </c>
      <c r="G859" t="str">
        <f t="shared" si="92"/>
        <v>Female</v>
      </c>
      <c r="H859" t="s">
        <v>3012</v>
      </c>
      <c r="I859" t="s">
        <v>3020</v>
      </c>
      <c r="K859" t="str">
        <f t="shared" si="93"/>
        <v>Self-Employed</v>
      </c>
      <c r="L859">
        <v>14</v>
      </c>
      <c r="M859">
        <v>2120369</v>
      </c>
      <c r="N859">
        <f t="shared" si="94"/>
        <v>2120369</v>
      </c>
      <c r="O859">
        <v>769468</v>
      </c>
      <c r="P859">
        <v>14.56</v>
      </c>
      <c r="Q859">
        <v>48</v>
      </c>
      <c r="R859" t="s">
        <v>3047</v>
      </c>
      <c r="S859" t="str">
        <f t="shared" si="95"/>
        <v>Personal</v>
      </c>
      <c r="T859">
        <v>798</v>
      </c>
      <c r="U859">
        <f t="shared" si="96"/>
        <v>798</v>
      </c>
      <c r="V859">
        <v>4</v>
      </c>
      <c r="W859" t="s">
        <v>3055</v>
      </c>
      <c r="X859" s="3" t="s">
        <v>3749</v>
      </c>
      <c r="Y859" s="3">
        <f t="shared" si="97"/>
        <v>44965</v>
      </c>
      <c r="Z859">
        <v>0.3629</v>
      </c>
    </row>
    <row r="860" spans="1:26" x14ac:dyDescent="0.35">
      <c r="A860" t="s">
        <v>608</v>
      </c>
      <c r="B860" t="str">
        <f t="shared" si="91"/>
        <v>OK</v>
      </c>
      <c r="C860" t="s">
        <v>2097</v>
      </c>
      <c r="D860" s="2">
        <v>25</v>
      </c>
      <c r="E860">
        <f>IF(OR(D860&lt;18, D860&gt;100),AD859,D860)</f>
        <v>25</v>
      </c>
      <c r="F860" t="s">
        <v>2991</v>
      </c>
      <c r="G860" t="str">
        <f t="shared" si="92"/>
        <v>Female</v>
      </c>
      <c r="H860" t="s">
        <v>3003</v>
      </c>
      <c r="I860" t="s">
        <v>3021</v>
      </c>
      <c r="K860" t="str">
        <f t="shared" si="93"/>
        <v>Unemployed</v>
      </c>
      <c r="L860">
        <v>7</v>
      </c>
      <c r="M860">
        <v>2253290</v>
      </c>
      <c r="N860">
        <f t="shared" si="94"/>
        <v>2253290</v>
      </c>
      <c r="O860">
        <v>415204</v>
      </c>
      <c r="P860">
        <v>15.93</v>
      </c>
      <c r="Q860">
        <v>48</v>
      </c>
      <c r="R860" t="s">
        <v>3048</v>
      </c>
      <c r="S860" t="str">
        <f t="shared" si="95"/>
        <v>Home Improvement</v>
      </c>
      <c r="T860">
        <v>709</v>
      </c>
      <c r="U860">
        <f t="shared" si="96"/>
        <v>709</v>
      </c>
      <c r="V860">
        <v>2</v>
      </c>
      <c r="W860" t="s">
        <v>3056</v>
      </c>
      <c r="X860" s="3" t="s">
        <v>3256</v>
      </c>
      <c r="Y860" s="3">
        <f t="shared" si="97"/>
        <v>44519</v>
      </c>
      <c r="Z860">
        <v>0.18429999999999999</v>
      </c>
    </row>
    <row r="861" spans="1:26" x14ac:dyDescent="0.35">
      <c r="A861" t="s">
        <v>869</v>
      </c>
      <c r="B861" t="str">
        <f t="shared" si="91"/>
        <v>OK</v>
      </c>
      <c r="C861" t="s">
        <v>2357</v>
      </c>
      <c r="D861" s="2">
        <v>48</v>
      </c>
      <c r="E861">
        <f>IF(OR(D861&lt;18, D861&gt;100),AD860,D861)</f>
        <v>48</v>
      </c>
      <c r="F861" t="s">
        <v>2990</v>
      </c>
      <c r="G861" t="str">
        <f t="shared" si="92"/>
        <v>Male</v>
      </c>
      <c r="H861" t="s">
        <v>3001</v>
      </c>
      <c r="I861" t="s">
        <v>3018</v>
      </c>
      <c r="K861" t="str">
        <f t="shared" si="93"/>
        <v>Business Owner</v>
      </c>
      <c r="L861">
        <v>16</v>
      </c>
      <c r="M861">
        <v>681174</v>
      </c>
      <c r="N861">
        <f t="shared" si="94"/>
        <v>681174</v>
      </c>
      <c r="O861">
        <v>198048</v>
      </c>
      <c r="P861">
        <v>23.31</v>
      </c>
      <c r="Q861">
        <v>36</v>
      </c>
      <c r="R861" t="s">
        <v>3047</v>
      </c>
      <c r="S861" t="str">
        <f t="shared" si="95"/>
        <v>Personal</v>
      </c>
      <c r="T861">
        <v>751</v>
      </c>
      <c r="U861">
        <f t="shared" si="96"/>
        <v>751</v>
      </c>
      <c r="V861">
        <v>5</v>
      </c>
      <c r="W861" t="s">
        <v>3056</v>
      </c>
      <c r="X861" s="3" t="s">
        <v>3750</v>
      </c>
      <c r="Y861" s="3">
        <f t="shared" si="97"/>
        <v>44511</v>
      </c>
      <c r="Z861">
        <v>0.29070000000000001</v>
      </c>
    </row>
    <row r="862" spans="1:26" x14ac:dyDescent="0.35">
      <c r="A862" t="s">
        <v>870</v>
      </c>
      <c r="B862" t="str">
        <f t="shared" si="91"/>
        <v>OK</v>
      </c>
      <c r="C862" t="s">
        <v>2358</v>
      </c>
      <c r="D862" s="2">
        <v>43</v>
      </c>
      <c r="E862">
        <f>IF(OR(D862&lt;18, D862&gt;100),AD861,D862)</f>
        <v>43</v>
      </c>
      <c r="F862" t="s">
        <v>2990</v>
      </c>
      <c r="G862" t="str">
        <f t="shared" si="92"/>
        <v>Male</v>
      </c>
      <c r="H862" t="s">
        <v>3007</v>
      </c>
      <c r="I862" t="s">
        <v>3018</v>
      </c>
      <c r="K862" t="str">
        <f t="shared" si="93"/>
        <v>Business Owner</v>
      </c>
      <c r="L862">
        <v>27</v>
      </c>
      <c r="M862">
        <v>395400</v>
      </c>
      <c r="N862">
        <f t="shared" si="94"/>
        <v>395400</v>
      </c>
      <c r="O862">
        <v>292872</v>
      </c>
      <c r="P862">
        <v>10.36</v>
      </c>
      <c r="Q862">
        <v>36</v>
      </c>
      <c r="R862" t="s">
        <v>3051</v>
      </c>
      <c r="S862" t="str">
        <f t="shared" si="95"/>
        <v>Education</v>
      </c>
      <c r="T862">
        <v>812</v>
      </c>
      <c r="U862">
        <f t="shared" si="96"/>
        <v>812</v>
      </c>
      <c r="V862">
        <v>5</v>
      </c>
      <c r="W862" t="s">
        <v>3052</v>
      </c>
      <c r="X862" s="3" t="s">
        <v>3608</v>
      </c>
      <c r="Y862" s="3">
        <f t="shared" si="97"/>
        <v>45091</v>
      </c>
      <c r="Z862">
        <v>0.74070000000000003</v>
      </c>
    </row>
    <row r="863" spans="1:26" x14ac:dyDescent="0.35">
      <c r="A863" t="s">
        <v>871</v>
      </c>
      <c r="B863" t="str">
        <f t="shared" si="91"/>
        <v>OK</v>
      </c>
      <c r="C863" t="s">
        <v>2359</v>
      </c>
      <c r="D863" s="2">
        <v>62</v>
      </c>
      <c r="E863">
        <f>IF(OR(D863&lt;18, D863&gt;100),AD862,D863)</f>
        <v>62</v>
      </c>
      <c r="F863" t="s">
        <v>2990</v>
      </c>
      <c r="G863" t="str">
        <f t="shared" si="92"/>
        <v>Male</v>
      </c>
      <c r="H863" t="s">
        <v>3007</v>
      </c>
      <c r="I863" t="s">
        <v>3019</v>
      </c>
      <c r="K863" t="str">
        <f t="shared" si="93"/>
        <v>Employed</v>
      </c>
      <c r="L863">
        <v>11</v>
      </c>
      <c r="M863">
        <v>1257833</v>
      </c>
      <c r="N863">
        <f t="shared" si="94"/>
        <v>1257833</v>
      </c>
      <c r="O863">
        <v>576690</v>
      </c>
      <c r="P863">
        <v>20.3</v>
      </c>
      <c r="Q863">
        <v>24</v>
      </c>
      <c r="S863" t="str">
        <f t="shared" si="95"/>
        <v>Unknown</v>
      </c>
      <c r="T863">
        <v>494</v>
      </c>
      <c r="U863">
        <f t="shared" si="96"/>
        <v>494</v>
      </c>
      <c r="V863">
        <v>3</v>
      </c>
      <c r="W863" t="s">
        <v>3055</v>
      </c>
      <c r="X863" s="3" t="s">
        <v>3751</v>
      </c>
      <c r="Y863" s="3">
        <f t="shared" si="97"/>
        <v>45273</v>
      </c>
      <c r="Z863">
        <v>0.45850000000000002</v>
      </c>
    </row>
    <row r="864" spans="1:26" x14ac:dyDescent="0.35">
      <c r="A864" t="s">
        <v>872</v>
      </c>
      <c r="B864" t="str">
        <f t="shared" si="91"/>
        <v>OK</v>
      </c>
      <c r="C864" t="s">
        <v>2360</v>
      </c>
      <c r="D864" s="2">
        <v>52</v>
      </c>
      <c r="E864">
        <f>IF(OR(D864&lt;18, D864&gt;100),AD863,D864)</f>
        <v>52</v>
      </c>
      <c r="F864" t="s">
        <v>2992</v>
      </c>
      <c r="G864" t="str">
        <f t="shared" si="92"/>
        <v>Female</v>
      </c>
      <c r="H864" t="s">
        <v>3009</v>
      </c>
      <c r="I864" t="s">
        <v>3018</v>
      </c>
      <c r="K864" t="str">
        <f t="shared" si="93"/>
        <v>Business Owner</v>
      </c>
      <c r="L864">
        <v>1</v>
      </c>
      <c r="M864">
        <v>1537133</v>
      </c>
      <c r="N864">
        <f t="shared" si="94"/>
        <v>1537133</v>
      </c>
      <c r="O864">
        <v>762800</v>
      </c>
      <c r="P864">
        <v>13.2</v>
      </c>
      <c r="Q864">
        <v>24</v>
      </c>
      <c r="R864" t="s">
        <v>3048</v>
      </c>
      <c r="S864" t="str">
        <f t="shared" si="95"/>
        <v>Home Improvement</v>
      </c>
      <c r="T864">
        <v>695</v>
      </c>
      <c r="U864">
        <f t="shared" si="96"/>
        <v>695</v>
      </c>
      <c r="V864">
        <v>3</v>
      </c>
      <c r="W864" t="s">
        <v>3055</v>
      </c>
      <c r="X864" s="3" t="s">
        <v>3752</v>
      </c>
      <c r="Y864" s="3">
        <f t="shared" si="97"/>
        <v>44397</v>
      </c>
      <c r="Z864">
        <v>0.49619999999999997</v>
      </c>
    </row>
    <row r="865" spans="1:26" x14ac:dyDescent="0.35">
      <c r="A865" t="s">
        <v>873</v>
      </c>
      <c r="B865" t="str">
        <f t="shared" si="91"/>
        <v>OK</v>
      </c>
      <c r="C865" t="s">
        <v>2361</v>
      </c>
      <c r="D865" s="2">
        <v>41</v>
      </c>
      <c r="E865">
        <f>IF(OR(D865&lt;18, D865&gt;100),AD864,D865)</f>
        <v>41</v>
      </c>
      <c r="F865" t="s">
        <v>2992</v>
      </c>
      <c r="G865" t="str">
        <f t="shared" si="92"/>
        <v>Female</v>
      </c>
      <c r="H865" t="s">
        <v>3001</v>
      </c>
      <c r="I865" t="s">
        <v>3020</v>
      </c>
      <c r="K865" t="str">
        <f t="shared" si="93"/>
        <v>Self-Employed</v>
      </c>
      <c r="L865">
        <v>12</v>
      </c>
      <c r="M865">
        <v>1997189</v>
      </c>
      <c r="N865">
        <f t="shared" si="94"/>
        <v>1997189</v>
      </c>
      <c r="O865">
        <v>578981</v>
      </c>
      <c r="P865">
        <v>12.08</v>
      </c>
      <c r="Q865">
        <v>48</v>
      </c>
      <c r="R865" t="s">
        <v>3048</v>
      </c>
      <c r="S865" t="str">
        <f t="shared" si="95"/>
        <v>Home Improvement</v>
      </c>
      <c r="T865">
        <v>714</v>
      </c>
      <c r="U865">
        <f t="shared" si="96"/>
        <v>714</v>
      </c>
      <c r="V865">
        <v>1</v>
      </c>
      <c r="W865" t="s">
        <v>3057</v>
      </c>
      <c r="X865" s="3" t="s">
        <v>3753</v>
      </c>
      <c r="Y865" s="3">
        <f t="shared" si="97"/>
        <v>45275</v>
      </c>
      <c r="Z865">
        <v>0.28989999999999999</v>
      </c>
    </row>
    <row r="866" spans="1:26" x14ac:dyDescent="0.35">
      <c r="A866" t="s">
        <v>874</v>
      </c>
      <c r="B866" t="str">
        <f t="shared" si="91"/>
        <v>OK</v>
      </c>
      <c r="C866" t="s">
        <v>2362</v>
      </c>
      <c r="D866" s="2">
        <v>37</v>
      </c>
      <c r="E866">
        <f>IF(OR(D866&lt;18, D866&gt;100),AD865,D866)</f>
        <v>37</v>
      </c>
      <c r="F866" t="s">
        <v>2990</v>
      </c>
      <c r="G866" t="str">
        <f t="shared" si="92"/>
        <v>Male</v>
      </c>
      <c r="H866" t="s">
        <v>2999</v>
      </c>
      <c r="I866" t="s">
        <v>3018</v>
      </c>
      <c r="K866" t="str">
        <f t="shared" si="93"/>
        <v>Business Owner</v>
      </c>
      <c r="L866">
        <v>11</v>
      </c>
      <c r="M866">
        <v>1780946</v>
      </c>
      <c r="N866">
        <f t="shared" si="94"/>
        <v>1780946</v>
      </c>
      <c r="O866">
        <v>65833</v>
      </c>
      <c r="P866">
        <v>9.6</v>
      </c>
      <c r="Q866">
        <v>12</v>
      </c>
      <c r="R866" t="s">
        <v>3047</v>
      </c>
      <c r="S866" t="str">
        <f t="shared" si="95"/>
        <v>Personal</v>
      </c>
      <c r="T866">
        <v>441</v>
      </c>
      <c r="U866">
        <f t="shared" si="96"/>
        <v>441</v>
      </c>
      <c r="V866">
        <v>3</v>
      </c>
      <c r="W866" t="s">
        <v>3057</v>
      </c>
      <c r="X866" s="3" t="s">
        <v>3224</v>
      </c>
      <c r="Y866" s="3">
        <f t="shared" si="97"/>
        <v>45043</v>
      </c>
      <c r="Z866">
        <v>3.6999999999999998E-2</v>
      </c>
    </row>
    <row r="867" spans="1:26" x14ac:dyDescent="0.35">
      <c r="A867" t="s">
        <v>875</v>
      </c>
      <c r="B867" t="str">
        <f t="shared" si="91"/>
        <v>OK</v>
      </c>
      <c r="C867" t="s">
        <v>2363</v>
      </c>
      <c r="D867" s="2">
        <v>61</v>
      </c>
      <c r="E867">
        <f>IF(OR(D867&lt;18, D867&gt;100),AD866,D867)</f>
        <v>61</v>
      </c>
      <c r="F867" t="s">
        <v>2990</v>
      </c>
      <c r="G867" t="str">
        <f t="shared" si="92"/>
        <v>Male</v>
      </c>
      <c r="H867" t="s">
        <v>3006</v>
      </c>
      <c r="I867" t="s">
        <v>3021</v>
      </c>
      <c r="K867" t="str">
        <f t="shared" si="93"/>
        <v>Unemployed</v>
      </c>
      <c r="L867">
        <v>2</v>
      </c>
      <c r="M867">
        <v>1067516</v>
      </c>
      <c r="N867">
        <f t="shared" si="94"/>
        <v>1067516</v>
      </c>
      <c r="O867">
        <v>451058</v>
      </c>
      <c r="P867">
        <v>24.68</v>
      </c>
      <c r="Q867">
        <v>36</v>
      </c>
      <c r="R867" t="s">
        <v>3047</v>
      </c>
      <c r="S867" t="str">
        <f t="shared" si="95"/>
        <v>Personal</v>
      </c>
      <c r="T867">
        <v>726</v>
      </c>
      <c r="U867">
        <f t="shared" si="96"/>
        <v>726</v>
      </c>
      <c r="V867">
        <v>6</v>
      </c>
      <c r="W867" t="s">
        <v>3052</v>
      </c>
      <c r="X867" s="3" t="s">
        <v>3754</v>
      </c>
      <c r="Y867" s="3">
        <f t="shared" si="97"/>
        <v>45148</v>
      </c>
      <c r="Z867">
        <v>0.42249999999999999</v>
      </c>
    </row>
    <row r="868" spans="1:26" x14ac:dyDescent="0.35">
      <c r="A868" t="s">
        <v>876</v>
      </c>
      <c r="B868" t="str">
        <f t="shared" si="91"/>
        <v>OK</v>
      </c>
      <c r="C868" t="s">
        <v>2364</v>
      </c>
      <c r="D868" s="2">
        <v>39</v>
      </c>
      <c r="E868">
        <f>IF(OR(D868&lt;18, D868&gt;100),AD867,D868)</f>
        <v>39</v>
      </c>
      <c r="F868" t="s">
        <v>2992</v>
      </c>
      <c r="G868" t="str">
        <f t="shared" si="92"/>
        <v>Female</v>
      </c>
      <c r="H868" t="s">
        <v>2999</v>
      </c>
      <c r="I868" t="s">
        <v>3019</v>
      </c>
      <c r="K868" t="str">
        <f t="shared" si="93"/>
        <v>Employed</v>
      </c>
      <c r="L868">
        <v>20</v>
      </c>
      <c r="M868">
        <v>2295904</v>
      </c>
      <c r="N868">
        <f t="shared" si="94"/>
        <v>2295904</v>
      </c>
      <c r="O868">
        <v>98077</v>
      </c>
      <c r="P868">
        <v>8.32</v>
      </c>
      <c r="Q868">
        <v>24</v>
      </c>
      <c r="R868" t="s">
        <v>3048</v>
      </c>
      <c r="S868" t="str">
        <f t="shared" si="95"/>
        <v>Home Improvement</v>
      </c>
      <c r="T868">
        <v>364</v>
      </c>
      <c r="U868">
        <f t="shared" si="96"/>
        <v>364</v>
      </c>
      <c r="V868">
        <v>1</v>
      </c>
      <c r="W868" t="s">
        <v>3054</v>
      </c>
      <c r="X868" s="3" t="s">
        <v>3755</v>
      </c>
      <c r="Y868" s="3">
        <f t="shared" si="97"/>
        <v>44464</v>
      </c>
      <c r="Z868">
        <v>4.2700000000000002E-2</v>
      </c>
    </row>
    <row r="869" spans="1:26" x14ac:dyDescent="0.35">
      <c r="A869" t="s">
        <v>877</v>
      </c>
      <c r="B869" t="str">
        <f t="shared" si="91"/>
        <v>OK</v>
      </c>
      <c r="C869" t="s">
        <v>2365</v>
      </c>
      <c r="D869" s="2">
        <v>22</v>
      </c>
      <c r="E869">
        <f>IF(OR(D869&lt;18, D869&gt;100),AD868,D869)</f>
        <v>22</v>
      </c>
      <c r="F869" t="s">
        <v>2992</v>
      </c>
      <c r="G869" t="str">
        <f t="shared" si="92"/>
        <v>Female</v>
      </c>
      <c r="H869" t="s">
        <v>3005</v>
      </c>
      <c r="I869" t="s">
        <v>3019</v>
      </c>
      <c r="K869" t="str">
        <f t="shared" si="93"/>
        <v>Employed</v>
      </c>
      <c r="L869">
        <v>18</v>
      </c>
      <c r="M869">
        <v>-1073093</v>
      </c>
      <c r="N869">
        <f t="shared" si="94"/>
        <v>1333224</v>
      </c>
      <c r="O869">
        <v>308816</v>
      </c>
      <c r="P869">
        <v>14.28</v>
      </c>
      <c r="Q869">
        <v>60</v>
      </c>
      <c r="R869" t="s">
        <v>3047</v>
      </c>
      <c r="S869" t="str">
        <f t="shared" si="95"/>
        <v>Personal</v>
      </c>
      <c r="T869">
        <v>743</v>
      </c>
      <c r="U869">
        <f t="shared" si="96"/>
        <v>743</v>
      </c>
      <c r="V869">
        <v>2</v>
      </c>
      <c r="W869" t="s">
        <v>3052</v>
      </c>
      <c r="X869" s="3" t="s">
        <v>3756</v>
      </c>
      <c r="Y869" s="3">
        <f t="shared" si="97"/>
        <v>45143</v>
      </c>
      <c r="Z869">
        <v>0.2878</v>
      </c>
    </row>
    <row r="870" spans="1:26" x14ac:dyDescent="0.35">
      <c r="A870" t="s">
        <v>878</v>
      </c>
      <c r="B870" t="str">
        <f t="shared" si="91"/>
        <v>OK</v>
      </c>
      <c r="C870" t="s">
        <v>2366</v>
      </c>
      <c r="D870" s="2">
        <v>42</v>
      </c>
      <c r="E870">
        <f>IF(OR(D870&lt;18, D870&gt;100),AD869,D870)</f>
        <v>42</v>
      </c>
      <c r="F870" t="s">
        <v>2992</v>
      </c>
      <c r="G870" t="str">
        <f t="shared" si="92"/>
        <v>Female</v>
      </c>
      <c r="H870" t="s">
        <v>3003</v>
      </c>
      <c r="I870" t="s">
        <v>3019</v>
      </c>
      <c r="K870" t="str">
        <f t="shared" si="93"/>
        <v>Employed</v>
      </c>
      <c r="L870">
        <v>25</v>
      </c>
      <c r="M870">
        <v>1406134</v>
      </c>
      <c r="N870">
        <f t="shared" si="94"/>
        <v>1406134</v>
      </c>
      <c r="O870">
        <v>0</v>
      </c>
      <c r="P870">
        <v>8.91</v>
      </c>
      <c r="Q870">
        <v>60</v>
      </c>
      <c r="R870" t="s">
        <v>3046</v>
      </c>
      <c r="S870" t="str">
        <f t="shared" si="95"/>
        <v>Medical</v>
      </c>
      <c r="T870">
        <v>490</v>
      </c>
      <c r="U870">
        <f t="shared" si="96"/>
        <v>490</v>
      </c>
      <c r="V870">
        <v>1</v>
      </c>
      <c r="W870" t="s">
        <v>3054</v>
      </c>
      <c r="X870" s="3" t="s">
        <v>3338</v>
      </c>
      <c r="Y870" s="3">
        <f t="shared" si="97"/>
        <v>44691</v>
      </c>
      <c r="Z870">
        <v>7.9100000000000004E-2</v>
      </c>
    </row>
    <row r="871" spans="1:26" x14ac:dyDescent="0.35">
      <c r="A871" t="s">
        <v>879</v>
      </c>
      <c r="B871" t="str">
        <f t="shared" si="91"/>
        <v>OK</v>
      </c>
      <c r="C871" t="s">
        <v>2367</v>
      </c>
      <c r="D871" s="2">
        <v>34</v>
      </c>
      <c r="E871">
        <f>IF(OR(D871&lt;18, D871&gt;100),AD870,D871)</f>
        <v>34</v>
      </c>
      <c r="F871" t="s">
        <v>2992</v>
      </c>
      <c r="G871" t="str">
        <f t="shared" si="92"/>
        <v>Female</v>
      </c>
      <c r="H871" t="s">
        <v>3007</v>
      </c>
      <c r="I871" t="s">
        <v>3018</v>
      </c>
      <c r="K871" t="str">
        <f t="shared" si="93"/>
        <v>Business Owner</v>
      </c>
      <c r="L871">
        <v>23</v>
      </c>
      <c r="M871">
        <v>1543501</v>
      </c>
      <c r="N871">
        <f t="shared" si="94"/>
        <v>1543501</v>
      </c>
      <c r="O871">
        <v>526453</v>
      </c>
      <c r="P871">
        <v>9.75</v>
      </c>
      <c r="Q871">
        <v>24</v>
      </c>
      <c r="R871" t="s">
        <v>3049</v>
      </c>
      <c r="S871" t="str">
        <f t="shared" si="95"/>
        <v>Business</v>
      </c>
      <c r="T871">
        <v>751</v>
      </c>
      <c r="U871">
        <f t="shared" si="96"/>
        <v>751</v>
      </c>
      <c r="V871">
        <v>2</v>
      </c>
      <c r="W871" t="s">
        <v>3057</v>
      </c>
      <c r="X871" s="3" t="s">
        <v>3757</v>
      </c>
      <c r="Y871" s="3">
        <f t="shared" si="97"/>
        <v>44129</v>
      </c>
      <c r="Z871">
        <v>0.34110000000000001</v>
      </c>
    </row>
    <row r="872" spans="1:26" x14ac:dyDescent="0.35">
      <c r="A872" t="s">
        <v>880</v>
      </c>
      <c r="B872" t="str">
        <f t="shared" si="91"/>
        <v>OK</v>
      </c>
      <c r="C872" t="s">
        <v>2368</v>
      </c>
      <c r="D872" s="2">
        <v>43</v>
      </c>
      <c r="E872">
        <f>IF(OR(D872&lt;18, D872&gt;100),AD871,D872)</f>
        <v>43</v>
      </c>
      <c r="F872" t="s">
        <v>2990</v>
      </c>
      <c r="G872" t="str">
        <f t="shared" si="92"/>
        <v>Male</v>
      </c>
      <c r="H872" t="s">
        <v>3003</v>
      </c>
      <c r="I872" t="s">
        <v>3020</v>
      </c>
      <c r="K872" t="str">
        <f t="shared" si="93"/>
        <v>Self-Employed</v>
      </c>
      <c r="L872">
        <v>22</v>
      </c>
      <c r="M872">
        <v>1758638</v>
      </c>
      <c r="N872">
        <f t="shared" si="94"/>
        <v>1758638</v>
      </c>
      <c r="O872">
        <v>705409</v>
      </c>
      <c r="P872">
        <v>10.61</v>
      </c>
      <c r="Q872">
        <v>12</v>
      </c>
      <c r="R872" t="s">
        <v>3048</v>
      </c>
      <c r="S872" t="str">
        <f t="shared" si="95"/>
        <v>Home Improvement</v>
      </c>
      <c r="T872">
        <v>570</v>
      </c>
      <c r="U872">
        <f t="shared" si="96"/>
        <v>570</v>
      </c>
      <c r="V872">
        <v>0</v>
      </c>
      <c r="W872" t="s">
        <v>3056</v>
      </c>
      <c r="X872" s="3" t="s">
        <v>3112</v>
      </c>
      <c r="Y872" s="3">
        <f t="shared" si="97"/>
        <v>44760</v>
      </c>
      <c r="Z872">
        <v>0.40110000000000001</v>
      </c>
    </row>
    <row r="873" spans="1:26" x14ac:dyDescent="0.35">
      <c r="A873" t="s">
        <v>881</v>
      </c>
      <c r="B873" t="str">
        <f t="shared" si="91"/>
        <v>OK</v>
      </c>
      <c r="C873" t="s">
        <v>2369</v>
      </c>
      <c r="D873" s="2">
        <v>40</v>
      </c>
      <c r="E873">
        <f>IF(OR(D873&lt;18, D873&gt;100),AD872,D873)</f>
        <v>40</v>
      </c>
      <c r="F873" t="s">
        <v>2990</v>
      </c>
      <c r="G873" t="str">
        <f t="shared" si="92"/>
        <v>Male</v>
      </c>
      <c r="H873" t="s">
        <v>3003</v>
      </c>
      <c r="I873" t="s">
        <v>3019</v>
      </c>
      <c r="K873" t="str">
        <f t="shared" si="93"/>
        <v>Employed</v>
      </c>
      <c r="L873">
        <v>24</v>
      </c>
      <c r="M873">
        <v>1435516</v>
      </c>
      <c r="N873">
        <f t="shared" si="94"/>
        <v>1435516</v>
      </c>
      <c r="O873">
        <v>523551</v>
      </c>
      <c r="P873">
        <v>25.19</v>
      </c>
      <c r="Q873">
        <v>24</v>
      </c>
      <c r="R873" t="s">
        <v>3051</v>
      </c>
      <c r="S873" t="str">
        <f t="shared" si="95"/>
        <v>Education</v>
      </c>
      <c r="T873">
        <v>805</v>
      </c>
      <c r="U873">
        <f t="shared" si="96"/>
        <v>805</v>
      </c>
      <c r="V873">
        <v>2</v>
      </c>
      <c r="W873" t="s">
        <v>3057</v>
      </c>
      <c r="X873" s="3" t="s">
        <v>3610</v>
      </c>
      <c r="Y873" s="3">
        <f t="shared" si="97"/>
        <v>43904</v>
      </c>
      <c r="Z873">
        <v>0.36470000000000002</v>
      </c>
    </row>
    <row r="874" spans="1:26" x14ac:dyDescent="0.35">
      <c r="A874" t="s">
        <v>882</v>
      </c>
      <c r="B874" t="str">
        <f t="shared" si="91"/>
        <v>OK</v>
      </c>
      <c r="C874" t="s">
        <v>2370</v>
      </c>
      <c r="D874" s="2">
        <v>45</v>
      </c>
      <c r="E874">
        <f>IF(OR(D874&lt;18, D874&gt;100),AD873,D874)</f>
        <v>45</v>
      </c>
      <c r="F874" t="s">
        <v>2992</v>
      </c>
      <c r="G874" t="str">
        <f t="shared" si="92"/>
        <v>Female</v>
      </c>
      <c r="H874" t="s">
        <v>3002</v>
      </c>
      <c r="I874" t="s">
        <v>3020</v>
      </c>
      <c r="K874" t="str">
        <f t="shared" si="93"/>
        <v>Self-Employed</v>
      </c>
      <c r="L874">
        <v>14</v>
      </c>
      <c r="M874">
        <v>1053698</v>
      </c>
      <c r="N874">
        <f t="shared" si="94"/>
        <v>1053698</v>
      </c>
      <c r="O874">
        <v>64760</v>
      </c>
      <c r="P874">
        <v>15.84</v>
      </c>
      <c r="Q874">
        <v>36</v>
      </c>
      <c r="R874" t="s">
        <v>3051</v>
      </c>
      <c r="S874" t="str">
        <f t="shared" si="95"/>
        <v>Education</v>
      </c>
      <c r="T874">
        <v>392</v>
      </c>
      <c r="U874">
        <f t="shared" si="96"/>
        <v>392</v>
      </c>
      <c r="V874">
        <v>3</v>
      </c>
      <c r="W874" t="s">
        <v>3057</v>
      </c>
      <c r="X874" s="3" t="s">
        <v>3534</v>
      </c>
      <c r="Y874" s="3">
        <f t="shared" si="97"/>
        <v>45230</v>
      </c>
      <c r="Z874">
        <v>6.1499999999999999E-2</v>
      </c>
    </row>
    <row r="875" spans="1:26" x14ac:dyDescent="0.35">
      <c r="A875" t="s">
        <v>883</v>
      </c>
      <c r="B875" t="str">
        <f t="shared" si="91"/>
        <v>OK</v>
      </c>
      <c r="C875" t="s">
        <v>2371</v>
      </c>
      <c r="D875" s="2">
        <v>60</v>
      </c>
      <c r="E875">
        <f>IF(OR(D875&lt;18, D875&gt;100),AD874,D875)</f>
        <v>60</v>
      </c>
      <c r="F875" t="s">
        <v>2992</v>
      </c>
      <c r="G875" t="str">
        <f t="shared" si="92"/>
        <v>Female</v>
      </c>
      <c r="H875" t="s">
        <v>3002</v>
      </c>
      <c r="I875" t="s">
        <v>3019</v>
      </c>
      <c r="K875" t="str">
        <f t="shared" si="93"/>
        <v>Employed</v>
      </c>
      <c r="L875">
        <v>27</v>
      </c>
      <c r="M875">
        <v>372512</v>
      </c>
      <c r="N875">
        <f t="shared" si="94"/>
        <v>372512</v>
      </c>
      <c r="O875">
        <v>446903</v>
      </c>
      <c r="P875">
        <v>16.27</v>
      </c>
      <c r="Q875">
        <v>24</v>
      </c>
      <c r="R875" t="s">
        <v>3050</v>
      </c>
      <c r="S875" t="str">
        <f t="shared" si="95"/>
        <v>Agriculture</v>
      </c>
      <c r="T875">
        <v>528</v>
      </c>
      <c r="U875">
        <f t="shared" si="96"/>
        <v>528</v>
      </c>
      <c r="V875">
        <v>1</v>
      </c>
      <c r="W875" t="s">
        <v>3057</v>
      </c>
      <c r="X875" s="3" t="s">
        <v>3745</v>
      </c>
      <c r="Y875" s="3">
        <f t="shared" si="97"/>
        <v>44918</v>
      </c>
      <c r="Z875">
        <v>1.1997</v>
      </c>
    </row>
    <row r="876" spans="1:26" x14ac:dyDescent="0.35">
      <c r="A876" t="s">
        <v>884</v>
      </c>
      <c r="B876" t="str">
        <f t="shared" si="91"/>
        <v>OK</v>
      </c>
      <c r="C876" t="s">
        <v>2372</v>
      </c>
      <c r="D876" s="2">
        <v>59</v>
      </c>
      <c r="E876">
        <f>IF(OR(D876&lt;18, D876&gt;100),AD875,D876)</f>
        <v>59</v>
      </c>
      <c r="F876" t="s">
        <v>2992</v>
      </c>
      <c r="G876" t="str">
        <f t="shared" si="92"/>
        <v>Female</v>
      </c>
      <c r="H876" t="s">
        <v>3007</v>
      </c>
      <c r="I876" t="s">
        <v>3021</v>
      </c>
      <c r="K876" t="str">
        <f t="shared" si="93"/>
        <v>Unemployed</v>
      </c>
      <c r="L876">
        <v>19</v>
      </c>
      <c r="M876">
        <v>1722247</v>
      </c>
      <c r="N876">
        <f t="shared" si="94"/>
        <v>1722247</v>
      </c>
      <c r="O876">
        <v>461441</v>
      </c>
      <c r="P876">
        <v>12.85</v>
      </c>
      <c r="Q876">
        <v>12</v>
      </c>
      <c r="R876" t="s">
        <v>3048</v>
      </c>
      <c r="S876" t="str">
        <f t="shared" si="95"/>
        <v>Home Improvement</v>
      </c>
      <c r="T876">
        <v>572</v>
      </c>
      <c r="U876">
        <f t="shared" si="96"/>
        <v>572</v>
      </c>
      <c r="V876">
        <v>2</v>
      </c>
      <c r="W876" t="s">
        <v>3056</v>
      </c>
      <c r="X876" s="3" t="s">
        <v>3758</v>
      </c>
      <c r="Y876" s="3">
        <f t="shared" si="97"/>
        <v>45160</v>
      </c>
      <c r="Z876">
        <v>0.26790000000000003</v>
      </c>
    </row>
    <row r="877" spans="1:26" x14ac:dyDescent="0.35">
      <c r="A877" t="s">
        <v>885</v>
      </c>
      <c r="B877" t="str">
        <f t="shared" si="91"/>
        <v>OK</v>
      </c>
      <c r="C877" t="s">
        <v>2373</v>
      </c>
      <c r="D877" s="2">
        <v>56</v>
      </c>
      <c r="E877">
        <f>IF(OR(D877&lt;18, D877&gt;100),AD876,D877)</f>
        <v>56</v>
      </c>
      <c r="F877" t="s">
        <v>2997</v>
      </c>
      <c r="G877" t="str">
        <f t="shared" si="92"/>
        <v>Male</v>
      </c>
      <c r="H877" t="s">
        <v>3004</v>
      </c>
      <c r="I877" t="s">
        <v>3019</v>
      </c>
      <c r="K877" t="str">
        <f t="shared" si="93"/>
        <v>Employed</v>
      </c>
      <c r="L877">
        <v>28</v>
      </c>
      <c r="M877">
        <v>699777</v>
      </c>
      <c r="N877">
        <f t="shared" si="94"/>
        <v>699777</v>
      </c>
      <c r="O877">
        <v>171094</v>
      </c>
      <c r="P877">
        <v>19.670000000000002</v>
      </c>
      <c r="Q877">
        <v>12</v>
      </c>
      <c r="R877" t="s">
        <v>3046</v>
      </c>
      <c r="S877" t="str">
        <f t="shared" si="95"/>
        <v>Medical</v>
      </c>
      <c r="T877">
        <v>321</v>
      </c>
      <c r="U877">
        <f t="shared" si="96"/>
        <v>321</v>
      </c>
      <c r="V877">
        <v>2</v>
      </c>
      <c r="W877" t="s">
        <v>3056</v>
      </c>
      <c r="X877" s="3" t="s">
        <v>3235</v>
      </c>
      <c r="Y877" s="3">
        <f t="shared" si="97"/>
        <v>43850</v>
      </c>
      <c r="Z877">
        <v>0.2445</v>
      </c>
    </row>
    <row r="878" spans="1:26" x14ac:dyDescent="0.35">
      <c r="A878" t="s">
        <v>886</v>
      </c>
      <c r="B878" t="str">
        <f t="shared" si="91"/>
        <v>OK</v>
      </c>
      <c r="C878" t="s">
        <v>2374</v>
      </c>
      <c r="D878" s="2">
        <v>24</v>
      </c>
      <c r="E878">
        <f>IF(OR(D878&lt;18, D878&gt;100),AD877,D878)</f>
        <v>24</v>
      </c>
      <c r="F878" t="s">
        <v>2990</v>
      </c>
      <c r="G878" t="str">
        <f t="shared" si="92"/>
        <v>Male</v>
      </c>
      <c r="H878" t="s">
        <v>3003</v>
      </c>
      <c r="I878" t="s">
        <v>3018</v>
      </c>
      <c r="K878" t="str">
        <f t="shared" si="93"/>
        <v>Business Owner</v>
      </c>
      <c r="L878">
        <v>27</v>
      </c>
      <c r="M878">
        <v>1044690</v>
      </c>
      <c r="N878">
        <f t="shared" si="94"/>
        <v>1044690</v>
      </c>
      <c r="O878">
        <v>647099</v>
      </c>
      <c r="P878">
        <v>23.2</v>
      </c>
      <c r="Q878">
        <v>36</v>
      </c>
      <c r="R878" t="s">
        <v>3046</v>
      </c>
      <c r="S878" t="str">
        <f t="shared" si="95"/>
        <v>Medical</v>
      </c>
      <c r="T878">
        <v>629</v>
      </c>
      <c r="U878">
        <f t="shared" si="96"/>
        <v>629</v>
      </c>
      <c r="V878">
        <v>7</v>
      </c>
      <c r="W878" t="s">
        <v>3052</v>
      </c>
      <c r="X878" s="3" t="s">
        <v>3706</v>
      </c>
      <c r="Y878" s="3">
        <f t="shared" si="97"/>
        <v>43836</v>
      </c>
      <c r="Z878">
        <v>0.61939999999999995</v>
      </c>
    </row>
    <row r="879" spans="1:26" x14ac:dyDescent="0.35">
      <c r="A879" t="s">
        <v>887</v>
      </c>
      <c r="B879" t="str">
        <f t="shared" si="91"/>
        <v>OK</v>
      </c>
      <c r="C879" t="s">
        <v>2375</v>
      </c>
      <c r="D879" s="2">
        <v>28</v>
      </c>
      <c r="E879">
        <f>IF(OR(D879&lt;18, D879&gt;100),AD878,D879)</f>
        <v>28</v>
      </c>
      <c r="F879" t="s">
        <v>2990</v>
      </c>
      <c r="G879" t="str">
        <f t="shared" si="92"/>
        <v>Male</v>
      </c>
      <c r="H879" t="s">
        <v>2998</v>
      </c>
      <c r="I879" t="s">
        <v>3020</v>
      </c>
      <c r="K879" t="str">
        <f t="shared" si="93"/>
        <v>Self-Employed</v>
      </c>
      <c r="L879">
        <v>22</v>
      </c>
      <c r="M879">
        <v>1423294</v>
      </c>
      <c r="N879">
        <f t="shared" si="94"/>
        <v>1423294</v>
      </c>
      <c r="O879">
        <v>198267</v>
      </c>
      <c r="P879">
        <v>16.32</v>
      </c>
      <c r="Q879">
        <v>48</v>
      </c>
      <c r="R879" t="s">
        <v>3051</v>
      </c>
      <c r="S879" t="str">
        <f t="shared" si="95"/>
        <v>Education</v>
      </c>
      <c r="T879">
        <v>620</v>
      </c>
      <c r="U879">
        <f t="shared" si="96"/>
        <v>620</v>
      </c>
      <c r="V879">
        <v>6</v>
      </c>
      <c r="W879" t="s">
        <v>3056</v>
      </c>
      <c r="X879" s="3" t="s">
        <v>3759</v>
      </c>
      <c r="Y879" s="3">
        <f t="shared" si="97"/>
        <v>44284</v>
      </c>
      <c r="Z879">
        <v>0.13930000000000001</v>
      </c>
    </row>
    <row r="880" spans="1:26" x14ac:dyDescent="0.35">
      <c r="A880" t="s">
        <v>888</v>
      </c>
      <c r="B880" t="str">
        <f t="shared" si="91"/>
        <v>OK</v>
      </c>
      <c r="C880" t="s">
        <v>2376</v>
      </c>
      <c r="D880" s="2">
        <v>41</v>
      </c>
      <c r="E880">
        <f>IF(OR(D880&lt;18, D880&gt;100),AD879,D880)</f>
        <v>41</v>
      </c>
      <c r="F880" t="s">
        <v>2990</v>
      </c>
      <c r="G880" t="str">
        <f t="shared" si="92"/>
        <v>Male</v>
      </c>
      <c r="H880" t="s">
        <v>3003</v>
      </c>
      <c r="I880" t="s">
        <v>3018</v>
      </c>
      <c r="K880" t="str">
        <f t="shared" si="93"/>
        <v>Business Owner</v>
      </c>
      <c r="L880">
        <v>22</v>
      </c>
      <c r="M880">
        <v>1882159</v>
      </c>
      <c r="N880">
        <f t="shared" si="94"/>
        <v>1882159</v>
      </c>
      <c r="O880">
        <v>566298</v>
      </c>
      <c r="P880">
        <v>23.51</v>
      </c>
      <c r="Q880">
        <v>48</v>
      </c>
      <c r="R880" t="s">
        <v>3049</v>
      </c>
      <c r="S880" t="str">
        <f t="shared" si="95"/>
        <v>Business</v>
      </c>
      <c r="T880">
        <v>556</v>
      </c>
      <c r="U880">
        <f t="shared" si="96"/>
        <v>556</v>
      </c>
      <c r="V880">
        <v>7</v>
      </c>
      <c r="W880" t="s">
        <v>3056</v>
      </c>
      <c r="X880" s="3" t="s">
        <v>3760</v>
      </c>
      <c r="Y880" s="3">
        <f t="shared" si="97"/>
        <v>44215</v>
      </c>
      <c r="Z880">
        <v>0.3009</v>
      </c>
    </row>
    <row r="881" spans="1:26" x14ac:dyDescent="0.35">
      <c r="A881" t="s">
        <v>889</v>
      </c>
      <c r="B881" t="str">
        <f t="shared" si="91"/>
        <v>OK</v>
      </c>
      <c r="C881" t="s">
        <v>2377</v>
      </c>
      <c r="D881" s="2">
        <v>21</v>
      </c>
      <c r="E881">
        <f>IF(OR(D881&lt;18, D881&gt;100),AD880,D881)</f>
        <v>21</v>
      </c>
      <c r="F881" t="s">
        <v>2990</v>
      </c>
      <c r="G881" t="str">
        <f t="shared" si="92"/>
        <v>Male</v>
      </c>
      <c r="H881" t="s">
        <v>3003</v>
      </c>
      <c r="I881" t="s">
        <v>3018</v>
      </c>
      <c r="K881" t="str">
        <f t="shared" si="93"/>
        <v>Business Owner</v>
      </c>
      <c r="L881">
        <v>29</v>
      </c>
      <c r="M881">
        <v>1608127</v>
      </c>
      <c r="N881">
        <f t="shared" si="94"/>
        <v>1608127</v>
      </c>
      <c r="O881">
        <v>693984</v>
      </c>
      <c r="P881">
        <v>9.7200000000000006</v>
      </c>
      <c r="Q881">
        <v>36</v>
      </c>
      <c r="R881" t="s">
        <v>3046</v>
      </c>
      <c r="S881" t="str">
        <f t="shared" si="95"/>
        <v>Medical</v>
      </c>
      <c r="T881">
        <v>658</v>
      </c>
      <c r="U881">
        <f t="shared" si="96"/>
        <v>658</v>
      </c>
      <c r="V881">
        <v>2</v>
      </c>
      <c r="W881" t="s">
        <v>3055</v>
      </c>
      <c r="X881" s="3" t="s">
        <v>3761</v>
      </c>
      <c r="Y881" s="3">
        <f t="shared" si="97"/>
        <v>44701</v>
      </c>
      <c r="Z881">
        <v>0.43149999999999999</v>
      </c>
    </row>
    <row r="882" spans="1:26" x14ac:dyDescent="0.35">
      <c r="A882" t="s">
        <v>890</v>
      </c>
      <c r="B882" t="str">
        <f t="shared" si="91"/>
        <v>OK</v>
      </c>
      <c r="C882" t="s">
        <v>2378</v>
      </c>
      <c r="D882" s="2">
        <v>47</v>
      </c>
      <c r="E882">
        <f>IF(OR(D882&lt;18, D882&gt;100),AD881,D882)</f>
        <v>47</v>
      </c>
      <c r="F882" t="s">
        <v>2990</v>
      </c>
      <c r="G882" t="str">
        <f t="shared" si="92"/>
        <v>Male</v>
      </c>
      <c r="H882" t="s">
        <v>3000</v>
      </c>
      <c r="I882" t="s">
        <v>3018</v>
      </c>
      <c r="K882" t="str">
        <f t="shared" si="93"/>
        <v>Business Owner</v>
      </c>
      <c r="L882">
        <v>24</v>
      </c>
      <c r="M882">
        <v>1456647</v>
      </c>
      <c r="N882">
        <f t="shared" si="94"/>
        <v>1456647</v>
      </c>
      <c r="O882">
        <v>638071</v>
      </c>
      <c r="P882">
        <v>8.33</v>
      </c>
      <c r="Q882">
        <v>48</v>
      </c>
      <c r="R882" t="s">
        <v>3050</v>
      </c>
      <c r="S882" t="str">
        <f t="shared" si="95"/>
        <v>Agriculture</v>
      </c>
      <c r="T882">
        <v>640</v>
      </c>
      <c r="U882">
        <f t="shared" si="96"/>
        <v>640</v>
      </c>
      <c r="V882">
        <v>5</v>
      </c>
      <c r="W882" t="s">
        <v>3055</v>
      </c>
      <c r="X882" s="3" t="s">
        <v>3675</v>
      </c>
      <c r="Y882" s="3">
        <f t="shared" si="97"/>
        <v>45026</v>
      </c>
      <c r="Z882">
        <v>0.438</v>
      </c>
    </row>
    <row r="883" spans="1:26" x14ac:dyDescent="0.35">
      <c r="A883" t="s">
        <v>891</v>
      </c>
      <c r="B883" t="str">
        <f t="shared" si="91"/>
        <v>OK</v>
      </c>
      <c r="C883" t="s">
        <v>2379</v>
      </c>
      <c r="D883" s="2">
        <v>57</v>
      </c>
      <c r="E883">
        <f>IF(OR(D883&lt;18, D883&gt;100),AD882,D883)</f>
        <v>57</v>
      </c>
      <c r="F883" t="s">
        <v>2992</v>
      </c>
      <c r="G883" t="str">
        <f t="shared" si="92"/>
        <v>Female</v>
      </c>
      <c r="H883" t="s">
        <v>3001</v>
      </c>
      <c r="I883" t="s">
        <v>3018</v>
      </c>
      <c r="K883" t="str">
        <f t="shared" si="93"/>
        <v>Business Owner</v>
      </c>
      <c r="L883">
        <v>15</v>
      </c>
      <c r="M883">
        <v>874335</v>
      </c>
      <c r="N883">
        <f t="shared" si="94"/>
        <v>874335</v>
      </c>
      <c r="O883">
        <v>655785</v>
      </c>
      <c r="P883">
        <v>27.51</v>
      </c>
      <c r="Q883">
        <v>24</v>
      </c>
      <c r="R883" t="s">
        <v>3047</v>
      </c>
      <c r="S883" t="str">
        <f t="shared" si="95"/>
        <v>Personal</v>
      </c>
      <c r="T883">
        <v>742</v>
      </c>
      <c r="U883">
        <f t="shared" si="96"/>
        <v>742</v>
      </c>
      <c r="V883">
        <v>3</v>
      </c>
      <c r="W883" t="s">
        <v>3053</v>
      </c>
      <c r="X883" s="3" t="s">
        <v>3762</v>
      </c>
      <c r="Y883" s="3">
        <f t="shared" si="97"/>
        <v>44030</v>
      </c>
      <c r="Z883">
        <v>0.75</v>
      </c>
    </row>
    <row r="884" spans="1:26" x14ac:dyDescent="0.35">
      <c r="A884" t="s">
        <v>892</v>
      </c>
      <c r="B884" t="str">
        <f t="shared" si="91"/>
        <v>OK</v>
      </c>
      <c r="C884" t="s">
        <v>2380</v>
      </c>
      <c r="D884" s="2">
        <v>64</v>
      </c>
      <c r="E884">
        <f>IF(OR(D884&lt;18, D884&gt;100),AD883,D884)</f>
        <v>64</v>
      </c>
      <c r="F884" t="s">
        <v>2990</v>
      </c>
      <c r="G884" t="str">
        <f t="shared" si="92"/>
        <v>Male</v>
      </c>
      <c r="H884" t="s">
        <v>2998</v>
      </c>
      <c r="I884" t="s">
        <v>3020</v>
      </c>
      <c r="K884" t="str">
        <f t="shared" si="93"/>
        <v>Self-Employed</v>
      </c>
      <c r="L884">
        <v>15</v>
      </c>
      <c r="M884">
        <v>260388</v>
      </c>
      <c r="N884">
        <f t="shared" si="94"/>
        <v>260388</v>
      </c>
      <c r="O884">
        <v>220753</v>
      </c>
      <c r="P884">
        <v>20.010000000000002</v>
      </c>
      <c r="Q884">
        <v>48</v>
      </c>
      <c r="R884" t="s">
        <v>3048</v>
      </c>
      <c r="S884" t="str">
        <f t="shared" si="95"/>
        <v>Home Improvement</v>
      </c>
      <c r="T884">
        <v>503</v>
      </c>
      <c r="U884">
        <f t="shared" si="96"/>
        <v>503</v>
      </c>
      <c r="V884">
        <v>3</v>
      </c>
      <c r="W884" t="s">
        <v>3053</v>
      </c>
      <c r="X884" s="3" t="s">
        <v>3763</v>
      </c>
      <c r="Y884" s="3">
        <f t="shared" si="97"/>
        <v>44454</v>
      </c>
      <c r="Z884">
        <v>0.8478</v>
      </c>
    </row>
    <row r="885" spans="1:26" x14ac:dyDescent="0.35">
      <c r="A885" t="s">
        <v>893</v>
      </c>
      <c r="B885" t="str">
        <f t="shared" si="91"/>
        <v>OK</v>
      </c>
      <c r="C885" t="s">
        <v>2381</v>
      </c>
      <c r="D885" s="2">
        <v>45</v>
      </c>
      <c r="E885">
        <f>IF(OR(D885&lt;18, D885&gt;100),AD884,D885)</f>
        <v>45</v>
      </c>
      <c r="F885" t="s">
        <v>2995</v>
      </c>
      <c r="G885" t="str">
        <f t="shared" si="92"/>
        <v>Male</v>
      </c>
      <c r="H885" t="s">
        <v>2999</v>
      </c>
      <c r="I885" t="s">
        <v>3019</v>
      </c>
      <c r="K885" t="str">
        <f t="shared" si="93"/>
        <v>Employed</v>
      </c>
      <c r="L885">
        <v>7</v>
      </c>
      <c r="M885">
        <v>1526208</v>
      </c>
      <c r="N885">
        <f t="shared" si="94"/>
        <v>1526208</v>
      </c>
      <c r="O885">
        <v>683376</v>
      </c>
      <c r="P885">
        <v>13.76</v>
      </c>
      <c r="Q885">
        <v>12</v>
      </c>
      <c r="R885" t="s">
        <v>3051</v>
      </c>
      <c r="S885" t="str">
        <f t="shared" si="95"/>
        <v>Education</v>
      </c>
      <c r="T885">
        <v>415</v>
      </c>
      <c r="U885">
        <f t="shared" si="96"/>
        <v>415</v>
      </c>
      <c r="V885">
        <v>7</v>
      </c>
      <c r="W885" t="s">
        <v>3055</v>
      </c>
      <c r="X885" s="3" t="s">
        <v>3457</v>
      </c>
      <c r="Y885" s="3">
        <f t="shared" si="97"/>
        <v>44870</v>
      </c>
      <c r="Z885">
        <v>0.44779999999999998</v>
      </c>
    </row>
    <row r="886" spans="1:26" x14ac:dyDescent="0.35">
      <c r="A886" t="s">
        <v>894</v>
      </c>
      <c r="B886" t="str">
        <f t="shared" si="91"/>
        <v>OK</v>
      </c>
      <c r="C886" t="s">
        <v>2382</v>
      </c>
      <c r="D886" s="2">
        <v>61</v>
      </c>
      <c r="E886">
        <f>IF(OR(D886&lt;18, D886&gt;100),AD885,D886)</f>
        <v>61</v>
      </c>
      <c r="F886" t="s">
        <v>2990</v>
      </c>
      <c r="G886" t="str">
        <f t="shared" si="92"/>
        <v>Male</v>
      </c>
      <c r="H886" t="s">
        <v>3004</v>
      </c>
      <c r="I886" t="s">
        <v>3020</v>
      </c>
      <c r="K886" t="str">
        <f t="shared" si="93"/>
        <v>Self-Employed</v>
      </c>
      <c r="L886">
        <v>8</v>
      </c>
      <c r="M886">
        <v>1900023</v>
      </c>
      <c r="N886">
        <f t="shared" si="94"/>
        <v>1900023</v>
      </c>
      <c r="O886">
        <v>0</v>
      </c>
      <c r="P886">
        <v>24.08</v>
      </c>
      <c r="Q886">
        <v>24</v>
      </c>
      <c r="R886" t="s">
        <v>3047</v>
      </c>
      <c r="S886" t="str">
        <f t="shared" si="95"/>
        <v>Personal</v>
      </c>
      <c r="T886">
        <v>834</v>
      </c>
      <c r="U886">
        <f t="shared" si="96"/>
        <v>834</v>
      </c>
      <c r="V886">
        <v>7</v>
      </c>
      <c r="W886" t="s">
        <v>3053</v>
      </c>
      <c r="X886" s="3" t="s">
        <v>3496</v>
      </c>
      <c r="Y886" s="3">
        <f t="shared" si="97"/>
        <v>44836</v>
      </c>
      <c r="Z886">
        <v>0.26690000000000003</v>
      </c>
    </row>
    <row r="887" spans="1:26" x14ac:dyDescent="0.35">
      <c r="A887" t="s">
        <v>895</v>
      </c>
      <c r="B887" t="str">
        <f t="shared" si="91"/>
        <v>OK</v>
      </c>
      <c r="C887" t="s">
        <v>2383</v>
      </c>
      <c r="D887" s="2">
        <v>50</v>
      </c>
      <c r="E887">
        <f>IF(OR(D887&lt;18, D887&gt;100),AD886,D887)</f>
        <v>50</v>
      </c>
      <c r="F887" t="s">
        <v>2992</v>
      </c>
      <c r="G887" t="str">
        <f t="shared" si="92"/>
        <v>Female</v>
      </c>
      <c r="H887" t="s">
        <v>3001</v>
      </c>
      <c r="I887" t="s">
        <v>3021</v>
      </c>
      <c r="K887" t="str">
        <f t="shared" si="93"/>
        <v>Unemployed</v>
      </c>
      <c r="L887">
        <v>21</v>
      </c>
      <c r="M887">
        <v>445972</v>
      </c>
      <c r="N887">
        <f t="shared" si="94"/>
        <v>445972</v>
      </c>
      <c r="O887">
        <v>524158</v>
      </c>
      <c r="P887">
        <v>13.68</v>
      </c>
      <c r="Q887">
        <v>60</v>
      </c>
      <c r="R887" t="s">
        <v>3050</v>
      </c>
      <c r="S887" t="str">
        <f t="shared" si="95"/>
        <v>Agriculture</v>
      </c>
      <c r="T887">
        <v>791</v>
      </c>
      <c r="U887">
        <f t="shared" si="96"/>
        <v>791</v>
      </c>
      <c r="V887">
        <v>5</v>
      </c>
      <c r="W887" t="s">
        <v>3052</v>
      </c>
      <c r="X887" s="3" t="s">
        <v>3764</v>
      </c>
      <c r="Y887" s="3">
        <f t="shared" si="97"/>
        <v>45128</v>
      </c>
      <c r="Z887">
        <v>1.1753</v>
      </c>
    </row>
    <row r="888" spans="1:26" x14ac:dyDescent="0.35">
      <c r="A888" t="s">
        <v>896</v>
      </c>
      <c r="B888" t="str">
        <f t="shared" si="91"/>
        <v>OK</v>
      </c>
      <c r="C888" t="s">
        <v>2384</v>
      </c>
      <c r="D888" s="2">
        <v>59</v>
      </c>
      <c r="E888">
        <f>IF(OR(D888&lt;18, D888&gt;100),AD887,D888)</f>
        <v>59</v>
      </c>
      <c r="F888" t="s">
        <v>2990</v>
      </c>
      <c r="G888" t="str">
        <f t="shared" si="92"/>
        <v>Male</v>
      </c>
      <c r="H888" t="s">
        <v>3005</v>
      </c>
      <c r="I888" t="s">
        <v>3018</v>
      </c>
      <c r="K888" t="str">
        <f t="shared" si="93"/>
        <v>Business Owner</v>
      </c>
      <c r="L888">
        <v>0</v>
      </c>
      <c r="M888">
        <v>452647</v>
      </c>
      <c r="N888">
        <f t="shared" si="94"/>
        <v>452647</v>
      </c>
      <c r="O888">
        <v>615032</v>
      </c>
      <c r="P888">
        <v>24.1</v>
      </c>
      <c r="Q888">
        <v>24</v>
      </c>
      <c r="R888" t="s">
        <v>3048</v>
      </c>
      <c r="S888" t="str">
        <f t="shared" si="95"/>
        <v>Home Improvement</v>
      </c>
      <c r="T888">
        <v>424</v>
      </c>
      <c r="U888">
        <f t="shared" si="96"/>
        <v>424</v>
      </c>
      <c r="V888">
        <v>7</v>
      </c>
      <c r="W888" t="s">
        <v>3055</v>
      </c>
      <c r="X888" s="3" t="s">
        <v>3276</v>
      </c>
      <c r="Y888" s="3">
        <f t="shared" si="97"/>
        <v>45051</v>
      </c>
      <c r="Z888">
        <v>1.3587</v>
      </c>
    </row>
    <row r="889" spans="1:26" x14ac:dyDescent="0.35">
      <c r="A889" t="s">
        <v>897</v>
      </c>
      <c r="B889" t="str">
        <f t="shared" si="91"/>
        <v>OK</v>
      </c>
      <c r="C889" t="s">
        <v>2385</v>
      </c>
      <c r="D889" s="2">
        <v>36</v>
      </c>
      <c r="E889">
        <f>IF(OR(D889&lt;18, D889&gt;100),AD888,D889)</f>
        <v>36</v>
      </c>
      <c r="F889" t="s">
        <v>2990</v>
      </c>
      <c r="G889" t="str">
        <f t="shared" si="92"/>
        <v>Male</v>
      </c>
      <c r="H889" t="s">
        <v>3005</v>
      </c>
      <c r="I889" t="s">
        <v>3019</v>
      </c>
      <c r="K889" t="str">
        <f t="shared" si="93"/>
        <v>Employed</v>
      </c>
      <c r="L889">
        <v>18</v>
      </c>
      <c r="M889">
        <v>557844</v>
      </c>
      <c r="N889">
        <f t="shared" si="94"/>
        <v>557844</v>
      </c>
      <c r="O889">
        <v>361102</v>
      </c>
      <c r="P889">
        <v>24.63</v>
      </c>
      <c r="Q889">
        <v>48</v>
      </c>
      <c r="R889" t="s">
        <v>3049</v>
      </c>
      <c r="S889" t="str">
        <f t="shared" si="95"/>
        <v>Business</v>
      </c>
      <c r="T889">
        <v>409</v>
      </c>
      <c r="U889">
        <f t="shared" si="96"/>
        <v>409</v>
      </c>
      <c r="V889">
        <v>3</v>
      </c>
      <c r="W889" t="s">
        <v>3054</v>
      </c>
      <c r="X889" s="3" t="s">
        <v>3765</v>
      </c>
      <c r="Y889" s="3">
        <f t="shared" si="97"/>
        <v>44091</v>
      </c>
      <c r="Z889">
        <v>0.64729999999999999</v>
      </c>
    </row>
    <row r="890" spans="1:26" x14ac:dyDescent="0.35">
      <c r="A890" t="s">
        <v>898</v>
      </c>
      <c r="B890" t="str">
        <f t="shared" si="91"/>
        <v>OK</v>
      </c>
      <c r="C890" t="s">
        <v>2386</v>
      </c>
      <c r="D890" s="2">
        <v>22</v>
      </c>
      <c r="E890">
        <f>IF(OR(D890&lt;18, D890&gt;100),AD889,D890)</f>
        <v>22</v>
      </c>
      <c r="F890" t="s">
        <v>2992</v>
      </c>
      <c r="G890" t="str">
        <f t="shared" si="92"/>
        <v>Female</v>
      </c>
      <c r="H890" t="s">
        <v>3003</v>
      </c>
      <c r="I890" t="s">
        <v>3019</v>
      </c>
      <c r="K890" t="str">
        <f t="shared" si="93"/>
        <v>Employed</v>
      </c>
      <c r="L890">
        <v>5</v>
      </c>
      <c r="M890">
        <v>1405811</v>
      </c>
      <c r="N890">
        <f t="shared" si="94"/>
        <v>1405811</v>
      </c>
      <c r="O890">
        <v>530470</v>
      </c>
      <c r="P890">
        <v>26.77</v>
      </c>
      <c r="Q890">
        <v>48</v>
      </c>
      <c r="R890" t="s">
        <v>3046</v>
      </c>
      <c r="S890" t="str">
        <f t="shared" si="95"/>
        <v>Medical</v>
      </c>
      <c r="T890">
        <v>412</v>
      </c>
      <c r="U890">
        <f t="shared" si="96"/>
        <v>412</v>
      </c>
      <c r="V890">
        <v>3</v>
      </c>
      <c r="W890" t="s">
        <v>3053</v>
      </c>
      <c r="X890" s="3" t="s">
        <v>3704</v>
      </c>
      <c r="Y890" s="3">
        <f t="shared" si="97"/>
        <v>45073</v>
      </c>
      <c r="Z890">
        <v>0.37730000000000002</v>
      </c>
    </row>
    <row r="891" spans="1:26" x14ac:dyDescent="0.35">
      <c r="A891" t="s">
        <v>899</v>
      </c>
      <c r="B891" t="str">
        <f t="shared" si="91"/>
        <v>OK</v>
      </c>
      <c r="C891" t="s">
        <v>2387</v>
      </c>
      <c r="D891" s="2">
        <v>34</v>
      </c>
      <c r="E891">
        <f>IF(OR(D891&lt;18, D891&gt;100),AD890,D891)</f>
        <v>34</v>
      </c>
      <c r="F891" t="s">
        <v>2996</v>
      </c>
      <c r="G891" t="str">
        <f t="shared" si="92"/>
        <v>Female</v>
      </c>
      <c r="H891" t="s">
        <v>3001</v>
      </c>
      <c r="I891" t="s">
        <v>3018</v>
      </c>
      <c r="K891" t="str">
        <f t="shared" si="93"/>
        <v>Business Owner</v>
      </c>
      <c r="L891">
        <v>15</v>
      </c>
      <c r="M891">
        <v>733091</v>
      </c>
      <c r="N891">
        <f t="shared" si="94"/>
        <v>733091</v>
      </c>
      <c r="O891">
        <v>446673</v>
      </c>
      <c r="P891">
        <v>9.1999999999999993</v>
      </c>
      <c r="Q891">
        <v>60</v>
      </c>
      <c r="R891" t="s">
        <v>3048</v>
      </c>
      <c r="S891" t="str">
        <f t="shared" si="95"/>
        <v>Home Improvement</v>
      </c>
      <c r="U891">
        <f t="shared" si="96"/>
        <v>556</v>
      </c>
      <c r="V891">
        <v>1</v>
      </c>
      <c r="W891" t="s">
        <v>3059</v>
      </c>
      <c r="X891" s="3" t="s">
        <v>3221</v>
      </c>
      <c r="Y891" s="3">
        <f t="shared" si="97"/>
        <v>43984</v>
      </c>
      <c r="Z891">
        <v>0.60929999999999995</v>
      </c>
    </row>
    <row r="892" spans="1:26" x14ac:dyDescent="0.35">
      <c r="A892" t="s">
        <v>900</v>
      </c>
      <c r="B892" t="str">
        <f t="shared" si="91"/>
        <v>OK</v>
      </c>
      <c r="C892" t="s">
        <v>2388</v>
      </c>
      <c r="D892" s="2">
        <v>41</v>
      </c>
      <c r="E892">
        <f>IF(OR(D892&lt;18, D892&gt;100),AD891,D892)</f>
        <v>41</v>
      </c>
      <c r="F892" t="s">
        <v>2992</v>
      </c>
      <c r="G892" t="str">
        <f t="shared" si="92"/>
        <v>Female</v>
      </c>
      <c r="H892" t="s">
        <v>3002</v>
      </c>
      <c r="I892" t="s">
        <v>3019</v>
      </c>
      <c r="K892" t="str">
        <f t="shared" si="93"/>
        <v>Employed</v>
      </c>
      <c r="L892">
        <v>0</v>
      </c>
      <c r="M892">
        <v>1853879</v>
      </c>
      <c r="N892">
        <f t="shared" si="94"/>
        <v>1853879</v>
      </c>
      <c r="O892">
        <v>576376</v>
      </c>
      <c r="P892" t="s">
        <v>3035</v>
      </c>
      <c r="Q892">
        <v>60</v>
      </c>
      <c r="R892" t="s">
        <v>3051</v>
      </c>
      <c r="S892" t="str">
        <f t="shared" si="95"/>
        <v>Education</v>
      </c>
      <c r="T892">
        <v>667</v>
      </c>
      <c r="U892">
        <f t="shared" si="96"/>
        <v>667</v>
      </c>
      <c r="V892">
        <v>0</v>
      </c>
      <c r="W892" t="s">
        <v>3055</v>
      </c>
      <c r="X892" s="3" t="s">
        <v>3382</v>
      </c>
      <c r="Y892" s="3">
        <f t="shared" si="97"/>
        <v>44986</v>
      </c>
      <c r="Z892">
        <v>0.31090000000000001</v>
      </c>
    </row>
    <row r="893" spans="1:26" x14ac:dyDescent="0.35">
      <c r="A893" t="s">
        <v>901</v>
      </c>
      <c r="B893" t="str">
        <f t="shared" si="91"/>
        <v>OK</v>
      </c>
      <c r="C893" t="s">
        <v>2389</v>
      </c>
      <c r="D893" s="2">
        <v>46</v>
      </c>
      <c r="E893">
        <f>IF(OR(D893&lt;18, D893&gt;100),AD892,D893)</f>
        <v>46</v>
      </c>
      <c r="F893" t="s">
        <v>2990</v>
      </c>
      <c r="G893" t="str">
        <f t="shared" si="92"/>
        <v>Male</v>
      </c>
      <c r="H893" t="s">
        <v>2999</v>
      </c>
      <c r="I893" t="s">
        <v>3019</v>
      </c>
      <c r="K893" t="str">
        <f t="shared" si="93"/>
        <v>Employed</v>
      </c>
      <c r="L893">
        <v>24</v>
      </c>
      <c r="M893">
        <v>1585568</v>
      </c>
      <c r="N893">
        <f t="shared" si="94"/>
        <v>1585568</v>
      </c>
      <c r="O893">
        <v>446044</v>
      </c>
      <c r="P893">
        <v>8.1300000000000008</v>
      </c>
      <c r="Q893">
        <v>36</v>
      </c>
      <c r="R893" t="s">
        <v>3047</v>
      </c>
      <c r="S893" t="str">
        <f t="shared" si="95"/>
        <v>Personal</v>
      </c>
      <c r="T893">
        <v>400</v>
      </c>
      <c r="U893">
        <f t="shared" si="96"/>
        <v>400</v>
      </c>
      <c r="V893">
        <v>5</v>
      </c>
      <c r="W893" t="s">
        <v>3052</v>
      </c>
      <c r="X893" s="3" t="s">
        <v>3766</v>
      </c>
      <c r="Y893" s="3">
        <f t="shared" si="97"/>
        <v>45281</v>
      </c>
      <c r="Z893">
        <v>0.28129999999999999</v>
      </c>
    </row>
    <row r="894" spans="1:26" x14ac:dyDescent="0.35">
      <c r="A894" t="s">
        <v>902</v>
      </c>
      <c r="B894" t="str">
        <f t="shared" ref="B894:B956" si="98">IF(A894="", "MISSING", "OK")</f>
        <v>OK</v>
      </c>
      <c r="C894" t="s">
        <v>2390</v>
      </c>
      <c r="D894" s="2">
        <v>48</v>
      </c>
      <c r="E894">
        <f>IF(OR(D894&lt;18, D894&gt;100),AD893,D894)</f>
        <v>48</v>
      </c>
      <c r="F894" t="s">
        <v>2992</v>
      </c>
      <c r="G894" t="str">
        <f t="shared" si="92"/>
        <v>Female</v>
      </c>
      <c r="H894" t="s">
        <v>3006</v>
      </c>
      <c r="I894" t="s">
        <v>3019</v>
      </c>
      <c r="K894" t="str">
        <f t="shared" si="93"/>
        <v>Employed</v>
      </c>
      <c r="L894">
        <v>23</v>
      </c>
      <c r="M894">
        <v>1393261</v>
      </c>
      <c r="N894">
        <f t="shared" si="94"/>
        <v>1393261</v>
      </c>
      <c r="O894">
        <v>498108</v>
      </c>
      <c r="P894">
        <v>10.51</v>
      </c>
      <c r="Q894">
        <v>48</v>
      </c>
      <c r="R894" t="s">
        <v>3051</v>
      </c>
      <c r="S894" t="str">
        <f t="shared" si="95"/>
        <v>Education</v>
      </c>
      <c r="T894">
        <v>500</v>
      </c>
      <c r="U894">
        <f t="shared" si="96"/>
        <v>500</v>
      </c>
      <c r="V894">
        <v>2</v>
      </c>
      <c r="W894" t="s">
        <v>3053</v>
      </c>
      <c r="X894" s="3" t="s">
        <v>3645</v>
      </c>
      <c r="Y894" s="3">
        <f t="shared" si="97"/>
        <v>44330</v>
      </c>
      <c r="Z894">
        <v>0.35749999999999998</v>
      </c>
    </row>
    <row r="895" spans="1:26" x14ac:dyDescent="0.35">
      <c r="A895" t="s">
        <v>903</v>
      </c>
      <c r="B895" t="str">
        <f t="shared" si="98"/>
        <v>OK</v>
      </c>
      <c r="C895" t="s">
        <v>2391</v>
      </c>
      <c r="D895" s="2">
        <v>55</v>
      </c>
      <c r="E895">
        <f>IF(OR(D895&lt;18, D895&gt;100),AD894,D895)</f>
        <v>55</v>
      </c>
      <c r="F895" t="s">
        <v>2992</v>
      </c>
      <c r="G895" t="str">
        <f t="shared" si="92"/>
        <v>Female</v>
      </c>
      <c r="H895" t="s">
        <v>2998</v>
      </c>
      <c r="I895" t="s">
        <v>3018</v>
      </c>
      <c r="K895" t="str">
        <f t="shared" si="93"/>
        <v>Business Owner</v>
      </c>
      <c r="L895">
        <v>18</v>
      </c>
      <c r="M895">
        <v>1885243</v>
      </c>
      <c r="N895">
        <f t="shared" si="94"/>
        <v>1885243</v>
      </c>
      <c r="O895">
        <v>505651</v>
      </c>
      <c r="P895">
        <v>22.56</v>
      </c>
      <c r="Q895">
        <v>48</v>
      </c>
      <c r="R895" t="s">
        <v>3051</v>
      </c>
      <c r="S895" t="str">
        <f t="shared" si="95"/>
        <v>Education</v>
      </c>
      <c r="U895">
        <f t="shared" si="96"/>
        <v>556</v>
      </c>
      <c r="V895">
        <v>6</v>
      </c>
      <c r="W895" t="s">
        <v>3056</v>
      </c>
      <c r="X895" s="3" t="s">
        <v>3767</v>
      </c>
      <c r="Y895" s="3">
        <f t="shared" si="97"/>
        <v>43907</v>
      </c>
      <c r="Z895">
        <v>0.26819999999999999</v>
      </c>
    </row>
    <row r="896" spans="1:26" x14ac:dyDescent="0.35">
      <c r="A896" t="s">
        <v>904</v>
      </c>
      <c r="B896" t="str">
        <f t="shared" si="98"/>
        <v>OK</v>
      </c>
      <c r="C896" t="s">
        <v>2392</v>
      </c>
      <c r="D896" s="2">
        <v>52</v>
      </c>
      <c r="E896">
        <f>IF(OR(D896&lt;18, D896&gt;100),AD895,D896)</f>
        <v>52</v>
      </c>
      <c r="F896" t="s">
        <v>2990</v>
      </c>
      <c r="G896" t="str">
        <f t="shared" si="92"/>
        <v>Male</v>
      </c>
      <c r="H896" t="s">
        <v>3007</v>
      </c>
      <c r="I896" t="s">
        <v>3020</v>
      </c>
      <c r="K896" t="str">
        <f t="shared" si="93"/>
        <v>Self-Employed</v>
      </c>
      <c r="L896">
        <v>28</v>
      </c>
      <c r="M896">
        <v>504912</v>
      </c>
      <c r="N896">
        <f t="shared" si="94"/>
        <v>504912</v>
      </c>
      <c r="O896">
        <v>719151</v>
      </c>
      <c r="P896">
        <v>24.53</v>
      </c>
      <c r="Q896">
        <v>48</v>
      </c>
      <c r="R896" t="s">
        <v>3049</v>
      </c>
      <c r="S896" t="str">
        <f t="shared" si="95"/>
        <v>Business</v>
      </c>
      <c r="T896">
        <v>819</v>
      </c>
      <c r="U896">
        <f t="shared" si="96"/>
        <v>819</v>
      </c>
      <c r="V896">
        <v>3</v>
      </c>
      <c r="W896" t="s">
        <v>3052</v>
      </c>
      <c r="X896" s="3" t="s">
        <v>3202</v>
      </c>
      <c r="Y896" s="3">
        <f t="shared" si="97"/>
        <v>44460</v>
      </c>
      <c r="Z896">
        <v>1.4242999999999999</v>
      </c>
    </row>
    <row r="897" spans="1:26" x14ac:dyDescent="0.35">
      <c r="A897" t="s">
        <v>905</v>
      </c>
      <c r="B897" t="str">
        <f t="shared" si="98"/>
        <v>OK</v>
      </c>
      <c r="C897" t="s">
        <v>2393</v>
      </c>
      <c r="D897" s="2">
        <v>31</v>
      </c>
      <c r="E897">
        <f>IF(OR(D897&lt;18, D897&gt;100),AD896,D897)</f>
        <v>31</v>
      </c>
      <c r="F897" t="s">
        <v>2992</v>
      </c>
      <c r="G897" t="str">
        <f t="shared" si="92"/>
        <v>Female</v>
      </c>
      <c r="H897" t="s">
        <v>3000</v>
      </c>
      <c r="I897" t="s">
        <v>3018</v>
      </c>
      <c r="K897" t="str">
        <f t="shared" si="93"/>
        <v>Business Owner</v>
      </c>
      <c r="L897">
        <v>12</v>
      </c>
      <c r="M897">
        <v>1591220</v>
      </c>
      <c r="N897">
        <f t="shared" si="94"/>
        <v>1591220</v>
      </c>
      <c r="O897">
        <v>660794</v>
      </c>
      <c r="P897">
        <v>18.23</v>
      </c>
      <c r="Q897">
        <v>60</v>
      </c>
      <c r="R897" t="s">
        <v>3049</v>
      </c>
      <c r="S897" t="str">
        <f t="shared" si="95"/>
        <v>Business</v>
      </c>
      <c r="T897">
        <v>782</v>
      </c>
      <c r="U897">
        <f t="shared" si="96"/>
        <v>782</v>
      </c>
      <c r="V897">
        <v>1</v>
      </c>
      <c r="W897" t="s">
        <v>3057</v>
      </c>
      <c r="X897" s="3" t="s">
        <v>3768</v>
      </c>
      <c r="Y897" s="3">
        <f t="shared" si="97"/>
        <v>44328</v>
      </c>
      <c r="Z897">
        <v>0.4153</v>
      </c>
    </row>
    <row r="898" spans="1:26" x14ac:dyDescent="0.35">
      <c r="A898" t="s">
        <v>906</v>
      </c>
      <c r="B898" t="str">
        <f t="shared" si="98"/>
        <v>OK</v>
      </c>
      <c r="C898" t="s">
        <v>2394</v>
      </c>
      <c r="D898" s="2">
        <v>24</v>
      </c>
      <c r="E898">
        <f>IF(OR(D898&lt;18, D898&gt;100),AD897,D898)</f>
        <v>24</v>
      </c>
      <c r="F898" t="s">
        <v>2992</v>
      </c>
      <c r="G898" t="str">
        <f t="shared" si="92"/>
        <v>Female</v>
      </c>
      <c r="H898" t="s">
        <v>2999</v>
      </c>
      <c r="I898" t="s">
        <v>3019</v>
      </c>
      <c r="K898" t="str">
        <f t="shared" si="93"/>
        <v>Employed</v>
      </c>
      <c r="L898">
        <v>2</v>
      </c>
      <c r="M898">
        <v>1989595</v>
      </c>
      <c r="N898">
        <f t="shared" si="94"/>
        <v>1989595</v>
      </c>
      <c r="O898">
        <v>788223</v>
      </c>
      <c r="P898">
        <v>9.24</v>
      </c>
      <c r="Q898">
        <v>24</v>
      </c>
      <c r="R898" t="s">
        <v>3046</v>
      </c>
      <c r="S898" t="str">
        <f t="shared" si="95"/>
        <v>Medical</v>
      </c>
      <c r="T898">
        <v>531</v>
      </c>
      <c r="U898">
        <f t="shared" si="96"/>
        <v>531</v>
      </c>
      <c r="V898">
        <v>5</v>
      </c>
      <c r="W898" t="s">
        <v>3054</v>
      </c>
      <c r="X898" s="3" t="s">
        <v>3470</v>
      </c>
      <c r="Y898" s="3">
        <f t="shared" si="97"/>
        <v>43919</v>
      </c>
      <c r="Z898">
        <v>0.3962</v>
      </c>
    </row>
    <row r="899" spans="1:26" x14ac:dyDescent="0.35">
      <c r="A899" t="s">
        <v>907</v>
      </c>
      <c r="B899" t="str">
        <f t="shared" si="98"/>
        <v>OK</v>
      </c>
      <c r="C899" t="s">
        <v>2395</v>
      </c>
      <c r="D899" s="2">
        <v>60</v>
      </c>
      <c r="E899">
        <f>IF(OR(D899&lt;18, D899&gt;100),AD898,D899)</f>
        <v>60</v>
      </c>
      <c r="F899" t="s">
        <v>2990</v>
      </c>
      <c r="G899" t="str">
        <f t="shared" ref="G899:G962" si="99">IF(F899="", "Unknown", IF(OR(F899="F", F899="FEMALE", F899="Female"), "Female", IF(OR(F899="M", F899="MALE", F899="Male"), "Male", "Other")))</f>
        <v>Male</v>
      </c>
      <c r="H899" t="s">
        <v>3003</v>
      </c>
      <c r="I899" t="s">
        <v>3019</v>
      </c>
      <c r="K899" t="str">
        <f t="shared" ref="K899:K962" si="100">IF(I899="", "Unknown", I899)</f>
        <v>Employed</v>
      </c>
      <c r="L899">
        <v>16</v>
      </c>
      <c r="M899">
        <v>2182348</v>
      </c>
      <c r="N899">
        <f t="shared" ref="N899:N962" si="101">IF(OR(M899="",M899&lt;0),$AD$3,M899)</f>
        <v>2182348</v>
      </c>
      <c r="O899">
        <v>59104</v>
      </c>
      <c r="P899">
        <v>12.82</v>
      </c>
      <c r="Q899">
        <v>12</v>
      </c>
      <c r="R899" t="s">
        <v>3048</v>
      </c>
      <c r="S899" t="str">
        <f t="shared" ref="S899:S962" si="102">IF(R899="", "Unknown", R899)</f>
        <v>Home Improvement</v>
      </c>
      <c r="T899">
        <v>773</v>
      </c>
      <c r="U899">
        <f t="shared" ref="U899:U962" si="103">IF(OR(T899="",T899&gt;999),$AD$2,T899)</f>
        <v>773</v>
      </c>
      <c r="V899">
        <v>1</v>
      </c>
      <c r="W899" t="s">
        <v>3056</v>
      </c>
      <c r="X899" s="3" t="s">
        <v>3421</v>
      </c>
      <c r="Y899" s="3">
        <f t="shared" ref="Y899:Y962" si="104">IF(ISNUMBER(X899), X899, DATEVALUE(X899))</f>
        <v>43847</v>
      </c>
      <c r="Z899">
        <v>2.7099999999999999E-2</v>
      </c>
    </row>
    <row r="900" spans="1:26" x14ac:dyDescent="0.35">
      <c r="A900" t="s">
        <v>908</v>
      </c>
      <c r="B900" t="str">
        <f t="shared" si="98"/>
        <v>OK</v>
      </c>
      <c r="C900" t="s">
        <v>2396</v>
      </c>
      <c r="D900" s="2">
        <v>31</v>
      </c>
      <c r="E900">
        <f>IF(OR(D900&lt;18, D900&gt;100),AD899,D900)</f>
        <v>31</v>
      </c>
      <c r="F900" t="s">
        <v>2990</v>
      </c>
      <c r="G900" t="str">
        <f t="shared" si="99"/>
        <v>Male</v>
      </c>
      <c r="H900" t="s">
        <v>3003</v>
      </c>
      <c r="I900" t="s">
        <v>3020</v>
      </c>
      <c r="K900" t="str">
        <f t="shared" si="100"/>
        <v>Self-Employed</v>
      </c>
      <c r="L900">
        <v>11</v>
      </c>
      <c r="M900">
        <v>1072964</v>
      </c>
      <c r="N900">
        <f t="shared" si="101"/>
        <v>1072964</v>
      </c>
      <c r="O900">
        <v>298710</v>
      </c>
      <c r="P900">
        <v>24.51</v>
      </c>
      <c r="Q900">
        <v>24</v>
      </c>
      <c r="R900" t="s">
        <v>3047</v>
      </c>
      <c r="S900" t="str">
        <f t="shared" si="102"/>
        <v>Personal</v>
      </c>
      <c r="T900">
        <v>403</v>
      </c>
      <c r="U900">
        <f t="shared" si="103"/>
        <v>403</v>
      </c>
      <c r="V900">
        <v>0</v>
      </c>
      <c r="W900" t="s">
        <v>3055</v>
      </c>
      <c r="X900" s="3" t="s">
        <v>3370</v>
      </c>
      <c r="Y900" s="3">
        <f t="shared" si="104"/>
        <v>44947</v>
      </c>
      <c r="Z900">
        <v>0.27839999999999998</v>
      </c>
    </row>
    <row r="901" spans="1:26" x14ac:dyDescent="0.35">
      <c r="A901" t="s">
        <v>909</v>
      </c>
      <c r="B901" t="str">
        <f t="shared" si="98"/>
        <v>OK</v>
      </c>
      <c r="C901" t="s">
        <v>2397</v>
      </c>
      <c r="D901" s="2">
        <v>31</v>
      </c>
      <c r="E901">
        <f>IF(OR(D901&lt;18, D901&gt;100),AD900,D901)</f>
        <v>31</v>
      </c>
      <c r="F901" t="s">
        <v>2992</v>
      </c>
      <c r="G901" t="str">
        <f t="shared" si="99"/>
        <v>Female</v>
      </c>
      <c r="H901" t="s">
        <v>2999</v>
      </c>
      <c r="I901" t="s">
        <v>3018</v>
      </c>
      <c r="K901" t="str">
        <f t="shared" si="100"/>
        <v>Business Owner</v>
      </c>
      <c r="L901">
        <v>13</v>
      </c>
      <c r="M901">
        <v>2141275</v>
      </c>
      <c r="N901">
        <f t="shared" si="101"/>
        <v>2141275</v>
      </c>
      <c r="O901">
        <v>682550</v>
      </c>
      <c r="P901">
        <v>13.71</v>
      </c>
      <c r="Q901">
        <v>60</v>
      </c>
      <c r="R901" t="s">
        <v>3050</v>
      </c>
      <c r="S901" t="str">
        <f t="shared" si="102"/>
        <v>Agriculture</v>
      </c>
      <c r="T901">
        <v>779</v>
      </c>
      <c r="U901">
        <f t="shared" si="103"/>
        <v>779</v>
      </c>
      <c r="V901">
        <v>0</v>
      </c>
      <c r="W901" t="s">
        <v>3056</v>
      </c>
      <c r="X901" s="3" t="s">
        <v>3769</v>
      </c>
      <c r="Y901" s="3">
        <f t="shared" si="104"/>
        <v>44009</v>
      </c>
      <c r="Z901">
        <v>0.31879999999999997</v>
      </c>
    </row>
    <row r="902" spans="1:26" x14ac:dyDescent="0.35">
      <c r="A902" t="s">
        <v>910</v>
      </c>
      <c r="B902" t="str">
        <f t="shared" si="98"/>
        <v>OK</v>
      </c>
      <c r="C902" t="s">
        <v>2398</v>
      </c>
      <c r="D902" s="2">
        <v>52</v>
      </c>
      <c r="E902">
        <f>IF(OR(D902&lt;18, D902&gt;100),AD901,D902)</f>
        <v>52</v>
      </c>
      <c r="F902" t="s">
        <v>2992</v>
      </c>
      <c r="G902" t="str">
        <f t="shared" si="99"/>
        <v>Female</v>
      </c>
      <c r="H902" t="s">
        <v>3005</v>
      </c>
      <c r="I902" t="s">
        <v>3018</v>
      </c>
      <c r="K902" t="str">
        <f t="shared" si="100"/>
        <v>Business Owner</v>
      </c>
      <c r="L902">
        <v>23</v>
      </c>
      <c r="M902">
        <v>640244</v>
      </c>
      <c r="N902">
        <f t="shared" si="101"/>
        <v>640244</v>
      </c>
      <c r="O902">
        <v>57019</v>
      </c>
      <c r="P902">
        <v>9.9499999999999993</v>
      </c>
      <c r="Q902">
        <v>60</v>
      </c>
      <c r="R902" t="s">
        <v>3051</v>
      </c>
      <c r="S902" t="str">
        <f t="shared" si="102"/>
        <v>Education</v>
      </c>
      <c r="T902">
        <v>504</v>
      </c>
      <c r="U902">
        <f t="shared" si="103"/>
        <v>504</v>
      </c>
      <c r="V902">
        <v>7</v>
      </c>
      <c r="W902" t="s">
        <v>3062</v>
      </c>
      <c r="X902" s="3" t="s">
        <v>3770</v>
      </c>
      <c r="Y902" s="3">
        <f t="shared" si="104"/>
        <v>43920</v>
      </c>
      <c r="Z902">
        <v>8.9099999999999999E-2</v>
      </c>
    </row>
    <row r="903" spans="1:26" x14ac:dyDescent="0.35">
      <c r="A903" t="s">
        <v>911</v>
      </c>
      <c r="B903" t="str">
        <f t="shared" si="98"/>
        <v>OK</v>
      </c>
      <c r="C903" t="s">
        <v>2399</v>
      </c>
      <c r="D903" s="2">
        <v>28</v>
      </c>
      <c r="E903">
        <f>IF(OR(D903&lt;18, D903&gt;100),AD902,D903)</f>
        <v>28</v>
      </c>
      <c r="F903" t="s">
        <v>2990</v>
      </c>
      <c r="G903" t="str">
        <f t="shared" si="99"/>
        <v>Male</v>
      </c>
      <c r="H903" t="s">
        <v>3001</v>
      </c>
      <c r="I903" t="s">
        <v>3021</v>
      </c>
      <c r="K903" t="str">
        <f t="shared" si="100"/>
        <v>Unemployed</v>
      </c>
      <c r="L903">
        <v>23</v>
      </c>
      <c r="M903">
        <v>272601</v>
      </c>
      <c r="N903">
        <f t="shared" si="101"/>
        <v>272601</v>
      </c>
      <c r="O903">
        <v>639164</v>
      </c>
      <c r="P903">
        <v>16.11</v>
      </c>
      <c r="Q903">
        <v>24</v>
      </c>
      <c r="R903" t="s">
        <v>3049</v>
      </c>
      <c r="S903" t="str">
        <f t="shared" si="102"/>
        <v>Business</v>
      </c>
      <c r="T903">
        <v>563</v>
      </c>
      <c r="U903">
        <f t="shared" si="103"/>
        <v>563</v>
      </c>
      <c r="V903">
        <v>2</v>
      </c>
      <c r="W903" t="s">
        <v>3052</v>
      </c>
      <c r="X903" s="3" t="s">
        <v>3771</v>
      </c>
      <c r="Y903" s="3">
        <f t="shared" si="104"/>
        <v>44501</v>
      </c>
      <c r="Z903">
        <v>2.3447</v>
      </c>
    </row>
    <row r="904" spans="1:26" x14ac:dyDescent="0.35">
      <c r="A904" t="s">
        <v>912</v>
      </c>
      <c r="B904" t="str">
        <f t="shared" si="98"/>
        <v>OK</v>
      </c>
      <c r="C904" t="s">
        <v>2400</v>
      </c>
      <c r="D904" s="2">
        <v>38</v>
      </c>
      <c r="E904">
        <f>IF(OR(D904&lt;18, D904&gt;100),AD903,D904)</f>
        <v>38</v>
      </c>
      <c r="F904" t="s">
        <v>2990</v>
      </c>
      <c r="G904" t="str">
        <f t="shared" si="99"/>
        <v>Male</v>
      </c>
      <c r="H904" t="s">
        <v>3002</v>
      </c>
      <c r="I904" t="s">
        <v>3018</v>
      </c>
      <c r="K904" t="str">
        <f t="shared" si="100"/>
        <v>Business Owner</v>
      </c>
      <c r="L904">
        <v>6</v>
      </c>
      <c r="M904">
        <v>1799715</v>
      </c>
      <c r="N904">
        <f t="shared" si="101"/>
        <v>1799715</v>
      </c>
      <c r="O904">
        <v>430482</v>
      </c>
      <c r="P904">
        <v>20.82</v>
      </c>
      <c r="Q904">
        <v>24</v>
      </c>
      <c r="R904" t="s">
        <v>3049</v>
      </c>
      <c r="S904" t="str">
        <f t="shared" si="102"/>
        <v>Business</v>
      </c>
      <c r="T904">
        <v>443</v>
      </c>
      <c r="U904">
        <f t="shared" si="103"/>
        <v>443</v>
      </c>
      <c r="V904">
        <v>7</v>
      </c>
      <c r="W904" t="s">
        <v>3052</v>
      </c>
      <c r="X904" s="3" t="s">
        <v>3772</v>
      </c>
      <c r="Y904" s="3">
        <f t="shared" si="104"/>
        <v>45085</v>
      </c>
      <c r="Z904">
        <v>0.2392</v>
      </c>
    </row>
    <row r="905" spans="1:26" x14ac:dyDescent="0.35">
      <c r="A905" t="s">
        <v>913</v>
      </c>
      <c r="B905" t="str">
        <f t="shared" si="98"/>
        <v>OK</v>
      </c>
      <c r="C905" t="s">
        <v>2401</v>
      </c>
      <c r="D905" s="2">
        <v>37</v>
      </c>
      <c r="E905">
        <f>IF(OR(D905&lt;18, D905&gt;100),AD904,D905)</f>
        <v>37</v>
      </c>
      <c r="F905" t="s">
        <v>2992</v>
      </c>
      <c r="G905" t="str">
        <f t="shared" si="99"/>
        <v>Female</v>
      </c>
      <c r="H905" t="s">
        <v>3004</v>
      </c>
      <c r="I905" t="s">
        <v>3021</v>
      </c>
      <c r="K905" t="str">
        <f t="shared" si="100"/>
        <v>Unemployed</v>
      </c>
      <c r="L905">
        <v>10</v>
      </c>
      <c r="M905">
        <v>2161019</v>
      </c>
      <c r="N905">
        <f t="shared" si="101"/>
        <v>2161019</v>
      </c>
      <c r="O905">
        <v>326081</v>
      </c>
      <c r="P905">
        <v>12.14</v>
      </c>
      <c r="Q905">
        <v>12</v>
      </c>
      <c r="R905" t="s">
        <v>3048</v>
      </c>
      <c r="S905" t="str">
        <f t="shared" si="102"/>
        <v>Home Improvement</v>
      </c>
      <c r="T905">
        <v>638</v>
      </c>
      <c r="U905">
        <f t="shared" si="103"/>
        <v>638</v>
      </c>
      <c r="V905">
        <v>4</v>
      </c>
      <c r="W905" t="s">
        <v>3053</v>
      </c>
      <c r="X905" s="3" t="s">
        <v>3275</v>
      </c>
      <c r="Y905" s="3">
        <f t="shared" si="104"/>
        <v>44372</v>
      </c>
      <c r="Z905">
        <v>0.15090000000000001</v>
      </c>
    </row>
    <row r="906" spans="1:26" x14ac:dyDescent="0.35">
      <c r="A906" t="s">
        <v>914</v>
      </c>
      <c r="B906" t="str">
        <f t="shared" si="98"/>
        <v>OK</v>
      </c>
      <c r="C906" t="s">
        <v>2402</v>
      </c>
      <c r="D906" s="2">
        <v>50</v>
      </c>
      <c r="E906">
        <f>IF(OR(D906&lt;18, D906&gt;100),AD905,D906)</f>
        <v>50</v>
      </c>
      <c r="F906" t="s">
        <v>2990</v>
      </c>
      <c r="G906" t="str">
        <f t="shared" si="99"/>
        <v>Male</v>
      </c>
      <c r="H906" t="s">
        <v>3005</v>
      </c>
      <c r="I906" t="s">
        <v>3020</v>
      </c>
      <c r="K906" t="str">
        <f t="shared" si="100"/>
        <v>Self-Employed</v>
      </c>
      <c r="L906">
        <v>12</v>
      </c>
      <c r="M906">
        <v>1791935</v>
      </c>
      <c r="N906">
        <f t="shared" si="101"/>
        <v>1791935</v>
      </c>
      <c r="O906">
        <v>71707</v>
      </c>
      <c r="P906">
        <v>24.53</v>
      </c>
      <c r="Q906">
        <v>24</v>
      </c>
      <c r="R906" t="s">
        <v>3050</v>
      </c>
      <c r="S906" t="str">
        <f t="shared" si="102"/>
        <v>Agriculture</v>
      </c>
      <c r="T906">
        <v>612</v>
      </c>
      <c r="U906">
        <f t="shared" si="103"/>
        <v>612</v>
      </c>
      <c r="V906">
        <v>2</v>
      </c>
      <c r="W906" t="s">
        <v>3052</v>
      </c>
      <c r="X906" s="3" t="s">
        <v>3773</v>
      </c>
      <c r="Y906" s="3">
        <f t="shared" si="104"/>
        <v>44143</v>
      </c>
      <c r="Z906">
        <v>0.04</v>
      </c>
    </row>
    <row r="907" spans="1:26" x14ac:dyDescent="0.35">
      <c r="A907" t="s">
        <v>915</v>
      </c>
      <c r="B907" t="str">
        <f t="shared" si="98"/>
        <v>OK</v>
      </c>
      <c r="C907" t="s">
        <v>2403</v>
      </c>
      <c r="D907" s="2">
        <v>27</v>
      </c>
      <c r="E907">
        <f>IF(OR(D907&lt;18, D907&gt;100),AD906,D907)</f>
        <v>27</v>
      </c>
      <c r="F907" t="s">
        <v>2992</v>
      </c>
      <c r="G907" t="str">
        <f t="shared" si="99"/>
        <v>Female</v>
      </c>
      <c r="H907" t="s">
        <v>3003</v>
      </c>
      <c r="I907" t="s">
        <v>3019</v>
      </c>
      <c r="K907" t="str">
        <f t="shared" si="100"/>
        <v>Employed</v>
      </c>
      <c r="L907">
        <v>27</v>
      </c>
      <c r="M907">
        <v>885860</v>
      </c>
      <c r="N907">
        <f t="shared" si="101"/>
        <v>885860</v>
      </c>
      <c r="O907">
        <v>281497</v>
      </c>
      <c r="P907">
        <v>22.13</v>
      </c>
      <c r="Q907">
        <v>60</v>
      </c>
      <c r="R907" t="s">
        <v>3048</v>
      </c>
      <c r="S907" t="str">
        <f t="shared" si="102"/>
        <v>Home Improvement</v>
      </c>
      <c r="T907">
        <v>636</v>
      </c>
      <c r="U907">
        <f t="shared" si="103"/>
        <v>636</v>
      </c>
      <c r="V907">
        <v>1</v>
      </c>
      <c r="W907" t="s">
        <v>3052</v>
      </c>
      <c r="X907" s="3" t="s">
        <v>3774</v>
      </c>
      <c r="Y907" s="3">
        <f t="shared" si="104"/>
        <v>44482</v>
      </c>
      <c r="Z907">
        <v>0.31780000000000003</v>
      </c>
    </row>
    <row r="908" spans="1:26" x14ac:dyDescent="0.35">
      <c r="A908" t="s">
        <v>916</v>
      </c>
      <c r="B908" t="str">
        <f t="shared" si="98"/>
        <v>OK</v>
      </c>
      <c r="C908" t="s">
        <v>2404</v>
      </c>
      <c r="D908" s="2">
        <v>59</v>
      </c>
      <c r="E908">
        <f>IF(OR(D908&lt;18, D908&gt;100),AD907,D908)</f>
        <v>59</v>
      </c>
      <c r="F908" t="s">
        <v>2990</v>
      </c>
      <c r="G908" t="str">
        <f t="shared" si="99"/>
        <v>Male</v>
      </c>
      <c r="H908" t="s">
        <v>3001</v>
      </c>
      <c r="I908" t="s">
        <v>3021</v>
      </c>
      <c r="K908" t="str">
        <f t="shared" si="100"/>
        <v>Unemployed</v>
      </c>
      <c r="L908">
        <v>12</v>
      </c>
      <c r="M908">
        <v>572136</v>
      </c>
      <c r="N908">
        <f t="shared" si="101"/>
        <v>572136</v>
      </c>
      <c r="O908">
        <v>508535</v>
      </c>
      <c r="P908">
        <v>22.24</v>
      </c>
      <c r="Q908">
        <v>24</v>
      </c>
      <c r="R908" t="s">
        <v>3051</v>
      </c>
      <c r="S908" t="str">
        <f t="shared" si="102"/>
        <v>Education</v>
      </c>
      <c r="T908">
        <v>839</v>
      </c>
      <c r="U908">
        <f t="shared" si="103"/>
        <v>839</v>
      </c>
      <c r="V908">
        <v>4</v>
      </c>
      <c r="W908" t="s">
        <v>3052</v>
      </c>
      <c r="X908" s="3" t="s">
        <v>3775</v>
      </c>
      <c r="Y908" s="3">
        <f t="shared" si="104"/>
        <v>44447</v>
      </c>
      <c r="Z908">
        <v>0.88880000000000003</v>
      </c>
    </row>
    <row r="909" spans="1:26" x14ac:dyDescent="0.35">
      <c r="A909" t="s">
        <v>917</v>
      </c>
      <c r="B909" t="str">
        <f t="shared" si="98"/>
        <v>OK</v>
      </c>
      <c r="C909" t="s">
        <v>2405</v>
      </c>
      <c r="D909" s="2">
        <v>24</v>
      </c>
      <c r="E909">
        <f>IF(OR(D909&lt;18, D909&gt;100),AD908,D909)</f>
        <v>24</v>
      </c>
      <c r="F909" t="s">
        <v>2992</v>
      </c>
      <c r="G909" t="str">
        <f t="shared" si="99"/>
        <v>Female</v>
      </c>
      <c r="H909" t="s">
        <v>3003</v>
      </c>
      <c r="I909" t="s">
        <v>3020</v>
      </c>
      <c r="K909" t="str">
        <f t="shared" si="100"/>
        <v>Self-Employed</v>
      </c>
      <c r="L909">
        <v>2</v>
      </c>
      <c r="M909">
        <v>393567</v>
      </c>
      <c r="N909">
        <f t="shared" si="101"/>
        <v>393567</v>
      </c>
      <c r="O909">
        <v>780084</v>
      </c>
      <c r="P909">
        <v>26.33</v>
      </c>
      <c r="Q909">
        <v>12</v>
      </c>
      <c r="R909" t="s">
        <v>3050</v>
      </c>
      <c r="S909" t="str">
        <f t="shared" si="102"/>
        <v>Agriculture</v>
      </c>
      <c r="T909">
        <v>452</v>
      </c>
      <c r="U909">
        <f t="shared" si="103"/>
        <v>452</v>
      </c>
      <c r="V909">
        <v>6</v>
      </c>
      <c r="W909" t="s">
        <v>3056</v>
      </c>
      <c r="X909" s="3" t="s">
        <v>3776</v>
      </c>
      <c r="Y909" s="3">
        <f t="shared" si="104"/>
        <v>44938</v>
      </c>
      <c r="Z909">
        <v>1.9821</v>
      </c>
    </row>
    <row r="910" spans="1:26" x14ac:dyDescent="0.35">
      <c r="A910" t="s">
        <v>918</v>
      </c>
      <c r="B910" t="str">
        <f t="shared" si="98"/>
        <v>OK</v>
      </c>
      <c r="C910" t="s">
        <v>2406</v>
      </c>
      <c r="D910" s="2">
        <v>64</v>
      </c>
      <c r="E910">
        <f>IF(OR(D910&lt;18, D910&gt;100),AD909,D910)</f>
        <v>64</v>
      </c>
      <c r="F910" t="s">
        <v>2992</v>
      </c>
      <c r="G910" t="str">
        <f t="shared" si="99"/>
        <v>Female</v>
      </c>
      <c r="H910" t="s">
        <v>2999</v>
      </c>
      <c r="I910" t="s">
        <v>3019</v>
      </c>
      <c r="K910" t="str">
        <f t="shared" si="100"/>
        <v>Employed</v>
      </c>
      <c r="L910">
        <v>21</v>
      </c>
      <c r="M910">
        <v>783103</v>
      </c>
      <c r="N910">
        <f t="shared" si="101"/>
        <v>783103</v>
      </c>
      <c r="O910">
        <v>252930</v>
      </c>
      <c r="P910">
        <v>27.01</v>
      </c>
      <c r="Q910">
        <v>48</v>
      </c>
      <c r="R910" t="s">
        <v>3046</v>
      </c>
      <c r="S910" t="str">
        <f t="shared" si="102"/>
        <v>Medical</v>
      </c>
      <c r="T910">
        <v>476</v>
      </c>
      <c r="U910">
        <f t="shared" si="103"/>
        <v>476</v>
      </c>
      <c r="V910">
        <v>4</v>
      </c>
      <c r="W910" t="s">
        <v>3052</v>
      </c>
      <c r="X910" s="3" t="s">
        <v>3777</v>
      </c>
      <c r="Y910" s="3">
        <f t="shared" si="104"/>
        <v>44694</v>
      </c>
      <c r="Z910">
        <v>0.32300000000000001</v>
      </c>
    </row>
    <row r="911" spans="1:26" x14ac:dyDescent="0.35">
      <c r="A911" t="s">
        <v>919</v>
      </c>
      <c r="B911" t="str">
        <f t="shared" si="98"/>
        <v>OK</v>
      </c>
      <c r="C911" t="s">
        <v>2407</v>
      </c>
      <c r="D911" s="2">
        <v>23</v>
      </c>
      <c r="E911">
        <f>IF(OR(D911&lt;18, D911&gt;100),AD910,D911)</f>
        <v>23</v>
      </c>
      <c r="F911" t="s">
        <v>2992</v>
      </c>
      <c r="G911" t="str">
        <f t="shared" si="99"/>
        <v>Female</v>
      </c>
      <c r="H911" t="s">
        <v>3001</v>
      </c>
      <c r="I911" t="s">
        <v>3020</v>
      </c>
      <c r="K911" t="str">
        <f t="shared" si="100"/>
        <v>Self-Employed</v>
      </c>
      <c r="L911">
        <v>7</v>
      </c>
      <c r="M911">
        <v>878956</v>
      </c>
      <c r="N911">
        <f t="shared" si="101"/>
        <v>878956</v>
      </c>
      <c r="O911">
        <v>416087</v>
      </c>
      <c r="P911">
        <v>21.46</v>
      </c>
      <c r="Q911">
        <v>48</v>
      </c>
      <c r="R911" t="s">
        <v>3049</v>
      </c>
      <c r="S911" t="str">
        <f t="shared" si="102"/>
        <v>Business</v>
      </c>
      <c r="T911">
        <v>610</v>
      </c>
      <c r="U911">
        <f t="shared" si="103"/>
        <v>610</v>
      </c>
      <c r="V911">
        <v>6</v>
      </c>
      <c r="W911" t="s">
        <v>3057</v>
      </c>
      <c r="X911" s="3" t="s">
        <v>3778</v>
      </c>
      <c r="Y911" s="3">
        <f t="shared" si="104"/>
        <v>44960</v>
      </c>
      <c r="Z911">
        <v>0.47339999999999999</v>
      </c>
    </row>
    <row r="912" spans="1:26" x14ac:dyDescent="0.35">
      <c r="A912" t="s">
        <v>920</v>
      </c>
      <c r="B912" t="str">
        <f t="shared" si="98"/>
        <v>OK</v>
      </c>
      <c r="C912" t="s">
        <v>2408</v>
      </c>
      <c r="D912" s="2">
        <v>55</v>
      </c>
      <c r="E912">
        <f>IF(OR(D912&lt;18, D912&gt;100),AD911,D912)</f>
        <v>55</v>
      </c>
      <c r="F912" t="s">
        <v>2992</v>
      </c>
      <c r="G912" t="str">
        <f t="shared" si="99"/>
        <v>Female</v>
      </c>
      <c r="H912" t="s">
        <v>2999</v>
      </c>
      <c r="I912" t="s">
        <v>3021</v>
      </c>
      <c r="K912" t="str">
        <f t="shared" si="100"/>
        <v>Unemployed</v>
      </c>
      <c r="L912">
        <v>7</v>
      </c>
      <c r="M912">
        <v>1424625</v>
      </c>
      <c r="N912">
        <f t="shared" si="101"/>
        <v>1424625</v>
      </c>
      <c r="O912">
        <v>432672</v>
      </c>
      <c r="P912">
        <v>27.15</v>
      </c>
      <c r="Q912">
        <v>24</v>
      </c>
      <c r="R912" t="s">
        <v>3050</v>
      </c>
      <c r="S912" t="str">
        <f t="shared" si="102"/>
        <v>Agriculture</v>
      </c>
      <c r="T912">
        <v>422</v>
      </c>
      <c r="U912">
        <f t="shared" si="103"/>
        <v>422</v>
      </c>
      <c r="V912">
        <v>5</v>
      </c>
      <c r="W912" t="s">
        <v>3052</v>
      </c>
      <c r="X912" s="3" t="s">
        <v>3779</v>
      </c>
      <c r="Y912" s="3">
        <f t="shared" si="104"/>
        <v>44261</v>
      </c>
      <c r="Z912">
        <v>0.30370000000000003</v>
      </c>
    </row>
    <row r="913" spans="1:26" x14ac:dyDescent="0.35">
      <c r="A913" t="s">
        <v>921</v>
      </c>
      <c r="B913" t="str">
        <f t="shared" si="98"/>
        <v>OK</v>
      </c>
      <c r="C913" t="s">
        <v>2409</v>
      </c>
      <c r="D913" s="2">
        <v>38</v>
      </c>
      <c r="E913">
        <f>IF(OR(D913&lt;18, D913&gt;100),AD912,D913)</f>
        <v>38</v>
      </c>
      <c r="F913" t="s">
        <v>2992</v>
      </c>
      <c r="G913" t="str">
        <f t="shared" si="99"/>
        <v>Female</v>
      </c>
      <c r="H913" t="s">
        <v>2998</v>
      </c>
      <c r="I913" t="s">
        <v>3018</v>
      </c>
      <c r="K913" t="str">
        <f t="shared" si="100"/>
        <v>Business Owner</v>
      </c>
      <c r="L913">
        <v>6</v>
      </c>
      <c r="M913">
        <v>1908794</v>
      </c>
      <c r="N913">
        <f t="shared" si="101"/>
        <v>1908794</v>
      </c>
      <c r="O913">
        <v>741755</v>
      </c>
      <c r="P913">
        <v>11.71</v>
      </c>
      <c r="Q913">
        <v>24</v>
      </c>
      <c r="R913" t="s">
        <v>3049</v>
      </c>
      <c r="S913" t="str">
        <f t="shared" si="102"/>
        <v>Business</v>
      </c>
      <c r="T913">
        <v>508</v>
      </c>
      <c r="U913">
        <f t="shared" si="103"/>
        <v>508</v>
      </c>
      <c r="V913">
        <v>6</v>
      </c>
      <c r="W913" t="s">
        <v>3055</v>
      </c>
      <c r="X913" s="3" t="s">
        <v>3140</v>
      </c>
      <c r="Y913" s="3">
        <f t="shared" si="104"/>
        <v>45157</v>
      </c>
      <c r="Z913">
        <v>0.3886</v>
      </c>
    </row>
    <row r="914" spans="1:26" x14ac:dyDescent="0.35">
      <c r="A914" t="s">
        <v>922</v>
      </c>
      <c r="B914" t="str">
        <f t="shared" si="98"/>
        <v>OK</v>
      </c>
      <c r="C914" t="s">
        <v>2410</v>
      </c>
      <c r="D914" s="2">
        <v>60</v>
      </c>
      <c r="E914">
        <f>IF(OR(D914&lt;18, D914&gt;100),AD913,D914)</f>
        <v>60</v>
      </c>
      <c r="F914" t="s">
        <v>2992</v>
      </c>
      <c r="G914" t="str">
        <f t="shared" si="99"/>
        <v>Female</v>
      </c>
      <c r="H914" t="s">
        <v>3006</v>
      </c>
      <c r="I914" t="s">
        <v>3019</v>
      </c>
      <c r="K914" t="str">
        <f t="shared" si="100"/>
        <v>Employed</v>
      </c>
      <c r="L914">
        <v>11</v>
      </c>
      <c r="M914">
        <v>1641331</v>
      </c>
      <c r="N914">
        <f t="shared" si="101"/>
        <v>1641331</v>
      </c>
      <c r="O914">
        <v>50257</v>
      </c>
      <c r="P914">
        <v>11.93</v>
      </c>
      <c r="Q914">
        <v>12</v>
      </c>
      <c r="R914" t="s">
        <v>3050</v>
      </c>
      <c r="S914" t="str">
        <f t="shared" si="102"/>
        <v>Agriculture</v>
      </c>
      <c r="T914">
        <v>711</v>
      </c>
      <c r="U914">
        <f t="shared" si="103"/>
        <v>711</v>
      </c>
      <c r="V914">
        <v>4</v>
      </c>
      <c r="W914" t="s">
        <v>3052</v>
      </c>
      <c r="X914" s="3" t="s">
        <v>3780</v>
      </c>
      <c r="Y914" s="3">
        <f t="shared" si="104"/>
        <v>44699</v>
      </c>
      <c r="Z914">
        <v>3.0599999999999999E-2</v>
      </c>
    </row>
    <row r="915" spans="1:26" x14ac:dyDescent="0.35">
      <c r="A915" t="s">
        <v>923</v>
      </c>
      <c r="B915" t="str">
        <f t="shared" si="98"/>
        <v>OK</v>
      </c>
      <c r="C915" t="s">
        <v>2411</v>
      </c>
      <c r="D915" s="2">
        <v>53</v>
      </c>
      <c r="E915">
        <f>IF(OR(D915&lt;18, D915&gt;100),AD914,D915)</f>
        <v>53</v>
      </c>
      <c r="F915" t="s">
        <v>2992</v>
      </c>
      <c r="G915" t="str">
        <f t="shared" si="99"/>
        <v>Female</v>
      </c>
      <c r="H915" t="s">
        <v>3002</v>
      </c>
      <c r="I915" t="s">
        <v>3020</v>
      </c>
      <c r="K915" t="str">
        <f t="shared" si="100"/>
        <v>Self-Employed</v>
      </c>
      <c r="L915">
        <v>10</v>
      </c>
      <c r="M915">
        <v>2167118</v>
      </c>
      <c r="N915">
        <f t="shared" si="101"/>
        <v>2167118</v>
      </c>
      <c r="O915">
        <v>544480</v>
      </c>
      <c r="P915">
        <v>10.18</v>
      </c>
      <c r="Q915">
        <v>12</v>
      </c>
      <c r="R915" t="s">
        <v>3046</v>
      </c>
      <c r="S915" t="str">
        <f t="shared" si="102"/>
        <v>Medical</v>
      </c>
      <c r="T915">
        <v>679</v>
      </c>
      <c r="U915">
        <f t="shared" si="103"/>
        <v>679</v>
      </c>
      <c r="V915">
        <v>7</v>
      </c>
      <c r="W915" t="s">
        <v>3052</v>
      </c>
      <c r="X915" s="3" t="s">
        <v>3781</v>
      </c>
      <c r="Y915" s="3">
        <f t="shared" si="104"/>
        <v>44790</v>
      </c>
      <c r="Z915">
        <v>0.25119999999999998</v>
      </c>
    </row>
    <row r="916" spans="1:26" x14ac:dyDescent="0.35">
      <c r="A916" t="s">
        <v>924</v>
      </c>
      <c r="B916" t="str">
        <f t="shared" si="98"/>
        <v>OK</v>
      </c>
      <c r="C916" t="s">
        <v>2413</v>
      </c>
      <c r="D916" s="2">
        <v>47</v>
      </c>
      <c r="E916">
        <f>IF(OR(D916&lt;18, D916&gt;100),AD915,D916)</f>
        <v>47</v>
      </c>
      <c r="F916" t="s">
        <v>2990</v>
      </c>
      <c r="G916" t="str">
        <f t="shared" si="99"/>
        <v>Male</v>
      </c>
      <c r="H916" t="s">
        <v>2999</v>
      </c>
      <c r="I916" t="s">
        <v>3020</v>
      </c>
      <c r="K916" t="str">
        <f t="shared" si="100"/>
        <v>Self-Employed</v>
      </c>
      <c r="L916">
        <v>19</v>
      </c>
      <c r="M916">
        <v>2328091</v>
      </c>
      <c r="N916">
        <f t="shared" si="101"/>
        <v>2328091</v>
      </c>
      <c r="O916">
        <v>215784</v>
      </c>
      <c r="P916">
        <v>11.91</v>
      </c>
      <c r="Q916">
        <v>12</v>
      </c>
      <c r="R916" t="s">
        <v>3049</v>
      </c>
      <c r="S916" t="str">
        <f t="shared" si="102"/>
        <v>Business</v>
      </c>
      <c r="T916">
        <v>673</v>
      </c>
      <c r="U916">
        <f t="shared" si="103"/>
        <v>673</v>
      </c>
      <c r="V916">
        <v>4</v>
      </c>
      <c r="W916" t="s">
        <v>3053</v>
      </c>
      <c r="X916" s="3" t="s">
        <v>3782</v>
      </c>
      <c r="Y916" s="3">
        <f t="shared" si="104"/>
        <v>44467</v>
      </c>
      <c r="Z916">
        <v>9.2700000000000005E-2</v>
      </c>
    </row>
    <row r="917" spans="1:26" x14ac:dyDescent="0.35">
      <c r="A917" t="s">
        <v>925</v>
      </c>
      <c r="B917" t="str">
        <f t="shared" si="98"/>
        <v>OK</v>
      </c>
      <c r="C917" t="s">
        <v>2414</v>
      </c>
      <c r="D917" s="2">
        <v>21</v>
      </c>
      <c r="E917">
        <f>IF(OR(D917&lt;18, D917&gt;100),AD916,D917)</f>
        <v>21</v>
      </c>
      <c r="F917" t="s">
        <v>2992</v>
      </c>
      <c r="G917" t="str">
        <f t="shared" si="99"/>
        <v>Female</v>
      </c>
      <c r="H917" t="s">
        <v>3006</v>
      </c>
      <c r="I917" t="s">
        <v>3019</v>
      </c>
      <c r="K917" t="str">
        <f t="shared" si="100"/>
        <v>Employed</v>
      </c>
      <c r="L917">
        <v>9</v>
      </c>
      <c r="M917">
        <v>463707</v>
      </c>
      <c r="N917">
        <f t="shared" si="101"/>
        <v>463707</v>
      </c>
      <c r="O917">
        <v>46654</v>
      </c>
      <c r="P917">
        <v>16.86</v>
      </c>
      <c r="Q917">
        <v>48</v>
      </c>
      <c r="R917" t="s">
        <v>3050</v>
      </c>
      <c r="S917" t="str">
        <f t="shared" si="102"/>
        <v>Agriculture</v>
      </c>
      <c r="T917">
        <v>398</v>
      </c>
      <c r="U917">
        <f t="shared" si="103"/>
        <v>398</v>
      </c>
      <c r="V917">
        <v>3</v>
      </c>
      <c r="W917" t="s">
        <v>3054</v>
      </c>
      <c r="X917" s="3" t="s">
        <v>3783</v>
      </c>
      <c r="Y917" s="3">
        <f t="shared" si="104"/>
        <v>44934</v>
      </c>
      <c r="Z917">
        <v>0.10059999999999999</v>
      </c>
    </row>
    <row r="918" spans="1:26" x14ac:dyDescent="0.35">
      <c r="A918" t="s">
        <v>926</v>
      </c>
      <c r="B918" t="str">
        <f t="shared" si="98"/>
        <v>OK</v>
      </c>
      <c r="C918" t="s">
        <v>2415</v>
      </c>
      <c r="D918" s="2">
        <v>57</v>
      </c>
      <c r="E918">
        <f>IF(OR(D918&lt;18, D918&gt;100),AD917,D918)</f>
        <v>57</v>
      </c>
      <c r="F918" t="s">
        <v>2990</v>
      </c>
      <c r="G918" t="str">
        <f t="shared" si="99"/>
        <v>Male</v>
      </c>
      <c r="H918" t="s">
        <v>2998</v>
      </c>
      <c r="I918" t="s">
        <v>3019</v>
      </c>
      <c r="K918" t="str">
        <f t="shared" si="100"/>
        <v>Employed</v>
      </c>
      <c r="L918">
        <v>7</v>
      </c>
      <c r="M918">
        <v>1218199</v>
      </c>
      <c r="N918">
        <f t="shared" si="101"/>
        <v>1218199</v>
      </c>
      <c r="O918">
        <v>283031</v>
      </c>
      <c r="P918">
        <v>18.12</v>
      </c>
      <c r="Q918">
        <v>24</v>
      </c>
      <c r="R918" t="s">
        <v>3047</v>
      </c>
      <c r="S918" t="str">
        <f t="shared" si="102"/>
        <v>Personal</v>
      </c>
      <c r="T918">
        <v>584</v>
      </c>
      <c r="U918">
        <f t="shared" si="103"/>
        <v>584</v>
      </c>
      <c r="V918">
        <v>1</v>
      </c>
      <c r="W918" t="s">
        <v>3053</v>
      </c>
      <c r="X918" s="3" t="s">
        <v>3259</v>
      </c>
      <c r="Y918" s="3">
        <f t="shared" si="104"/>
        <v>44114</v>
      </c>
      <c r="Z918">
        <v>0.23230000000000001</v>
      </c>
    </row>
    <row r="919" spans="1:26" x14ac:dyDescent="0.35">
      <c r="A919" t="s">
        <v>927</v>
      </c>
      <c r="B919" t="str">
        <f t="shared" si="98"/>
        <v>OK</v>
      </c>
      <c r="C919" t="s">
        <v>2416</v>
      </c>
      <c r="D919" s="2">
        <v>43</v>
      </c>
      <c r="E919">
        <f>IF(OR(D919&lt;18, D919&gt;100),AD918,D919)</f>
        <v>43</v>
      </c>
      <c r="F919" t="s">
        <v>2992</v>
      </c>
      <c r="G919" t="str">
        <f t="shared" si="99"/>
        <v>Female</v>
      </c>
      <c r="H919" t="s">
        <v>2999</v>
      </c>
      <c r="I919" t="s">
        <v>3020</v>
      </c>
      <c r="K919" t="str">
        <f t="shared" si="100"/>
        <v>Self-Employed</v>
      </c>
      <c r="L919">
        <v>29</v>
      </c>
      <c r="M919">
        <v>1696450</v>
      </c>
      <c r="N919">
        <f t="shared" si="101"/>
        <v>1696450</v>
      </c>
      <c r="O919">
        <v>65095</v>
      </c>
      <c r="P919">
        <v>12.98</v>
      </c>
      <c r="Q919">
        <v>24</v>
      </c>
      <c r="R919" t="s">
        <v>3048</v>
      </c>
      <c r="S919" t="str">
        <f t="shared" si="102"/>
        <v>Home Improvement</v>
      </c>
      <c r="T919">
        <v>567</v>
      </c>
      <c r="U919">
        <f t="shared" si="103"/>
        <v>567</v>
      </c>
      <c r="V919">
        <v>0</v>
      </c>
      <c r="W919" t="s">
        <v>3052</v>
      </c>
      <c r="X919" s="3" t="s">
        <v>3629</v>
      </c>
      <c r="Y919" s="3">
        <f t="shared" si="104"/>
        <v>44777</v>
      </c>
      <c r="Z919">
        <v>3.8399999999999997E-2</v>
      </c>
    </row>
    <row r="920" spans="1:26" x14ac:dyDescent="0.35">
      <c r="A920" t="s">
        <v>928</v>
      </c>
      <c r="B920" t="str">
        <f t="shared" si="98"/>
        <v>OK</v>
      </c>
      <c r="C920" t="s">
        <v>2417</v>
      </c>
      <c r="D920" s="2">
        <v>54</v>
      </c>
      <c r="E920">
        <f>IF(OR(D920&lt;18, D920&gt;100),AD919,D920)</f>
        <v>54</v>
      </c>
      <c r="F920" t="s">
        <v>2990</v>
      </c>
      <c r="G920" t="str">
        <f t="shared" si="99"/>
        <v>Male</v>
      </c>
      <c r="H920" t="s">
        <v>3007</v>
      </c>
      <c r="I920" t="s">
        <v>3020</v>
      </c>
      <c r="K920" t="str">
        <f t="shared" si="100"/>
        <v>Self-Employed</v>
      </c>
      <c r="L920">
        <v>18</v>
      </c>
      <c r="M920">
        <v>1059903</v>
      </c>
      <c r="N920">
        <f t="shared" si="101"/>
        <v>1059903</v>
      </c>
      <c r="O920">
        <v>126121</v>
      </c>
      <c r="P920">
        <v>12.54</v>
      </c>
      <c r="Q920">
        <v>24</v>
      </c>
      <c r="R920" t="s">
        <v>3051</v>
      </c>
      <c r="S920" t="str">
        <f t="shared" si="102"/>
        <v>Education</v>
      </c>
      <c r="T920">
        <v>309</v>
      </c>
      <c r="U920">
        <f t="shared" si="103"/>
        <v>309</v>
      </c>
      <c r="V920">
        <v>6</v>
      </c>
      <c r="W920" t="s">
        <v>3055</v>
      </c>
      <c r="X920" s="3" t="s">
        <v>3784</v>
      </c>
      <c r="Y920" s="3">
        <v>44469</v>
      </c>
      <c r="Z920">
        <v>0.11899999999999999</v>
      </c>
    </row>
    <row r="921" spans="1:26" x14ac:dyDescent="0.35">
      <c r="A921" t="s">
        <v>929</v>
      </c>
      <c r="B921" t="str">
        <f t="shared" si="98"/>
        <v>OK</v>
      </c>
      <c r="C921" t="s">
        <v>2258</v>
      </c>
      <c r="D921" s="2">
        <v>52</v>
      </c>
      <c r="E921">
        <f>IF(OR(D921&lt;18, D921&gt;100),AD920,D921)</f>
        <v>52</v>
      </c>
      <c r="F921" t="s">
        <v>2990</v>
      </c>
      <c r="G921" t="str">
        <f t="shared" si="99"/>
        <v>Male</v>
      </c>
      <c r="H921" t="s">
        <v>3001</v>
      </c>
      <c r="I921" t="s">
        <v>3020</v>
      </c>
      <c r="K921" t="str">
        <f t="shared" si="100"/>
        <v>Self-Employed</v>
      </c>
      <c r="L921">
        <v>19</v>
      </c>
      <c r="M921">
        <v>340081</v>
      </c>
      <c r="N921">
        <f t="shared" si="101"/>
        <v>340081</v>
      </c>
      <c r="O921">
        <v>260891</v>
      </c>
      <c r="P921">
        <v>16.05</v>
      </c>
      <c r="Q921">
        <v>12</v>
      </c>
      <c r="S921" t="str">
        <f t="shared" si="102"/>
        <v>Unknown</v>
      </c>
      <c r="T921">
        <v>803</v>
      </c>
      <c r="U921">
        <f t="shared" si="103"/>
        <v>803</v>
      </c>
      <c r="V921">
        <v>1</v>
      </c>
      <c r="W921" t="s">
        <v>3053</v>
      </c>
      <c r="X921" s="3" t="s">
        <v>3785</v>
      </c>
      <c r="Y921" s="3">
        <f t="shared" si="104"/>
        <v>44065</v>
      </c>
      <c r="Z921">
        <v>0.7671</v>
      </c>
    </row>
    <row r="922" spans="1:26" x14ac:dyDescent="0.35">
      <c r="A922" t="s">
        <v>930</v>
      </c>
      <c r="B922" t="str">
        <f t="shared" si="98"/>
        <v>OK</v>
      </c>
      <c r="C922" t="s">
        <v>2418</v>
      </c>
      <c r="D922" s="2">
        <v>44</v>
      </c>
      <c r="E922">
        <f>IF(OR(D922&lt;18, D922&gt;100),AD921,D922)</f>
        <v>44</v>
      </c>
      <c r="F922" t="s">
        <v>2992</v>
      </c>
      <c r="G922" t="str">
        <f t="shared" si="99"/>
        <v>Female</v>
      </c>
      <c r="H922" t="s">
        <v>3004</v>
      </c>
      <c r="I922" t="s">
        <v>3020</v>
      </c>
      <c r="K922" t="str">
        <f t="shared" si="100"/>
        <v>Self-Employed</v>
      </c>
      <c r="L922">
        <v>5</v>
      </c>
      <c r="M922">
        <v>581067</v>
      </c>
      <c r="N922">
        <f t="shared" si="101"/>
        <v>581067</v>
      </c>
      <c r="O922">
        <v>672873</v>
      </c>
      <c r="P922">
        <v>24.38</v>
      </c>
      <c r="Q922">
        <v>36</v>
      </c>
      <c r="R922" t="s">
        <v>3049</v>
      </c>
      <c r="S922" t="str">
        <f t="shared" si="102"/>
        <v>Business</v>
      </c>
      <c r="T922">
        <v>477</v>
      </c>
      <c r="U922">
        <f t="shared" si="103"/>
        <v>477</v>
      </c>
      <c r="V922">
        <v>0</v>
      </c>
      <c r="W922" t="s">
        <v>3052</v>
      </c>
      <c r="X922" s="3" t="s">
        <v>3273</v>
      </c>
      <c r="Y922" s="3">
        <f t="shared" si="104"/>
        <v>45190</v>
      </c>
      <c r="Z922">
        <v>1.1579999999999999</v>
      </c>
    </row>
    <row r="923" spans="1:26" x14ac:dyDescent="0.35">
      <c r="A923" t="s">
        <v>931</v>
      </c>
      <c r="B923" t="str">
        <f t="shared" si="98"/>
        <v>OK</v>
      </c>
      <c r="C923" t="s">
        <v>2419</v>
      </c>
      <c r="D923" s="2">
        <v>43</v>
      </c>
      <c r="E923">
        <f>IF(OR(D923&lt;18, D923&gt;100),AD922,D923)</f>
        <v>43</v>
      </c>
      <c r="F923" t="s">
        <v>2990</v>
      </c>
      <c r="G923" t="str">
        <f t="shared" si="99"/>
        <v>Male</v>
      </c>
      <c r="H923" t="s">
        <v>3005</v>
      </c>
      <c r="I923" t="s">
        <v>3019</v>
      </c>
      <c r="K923" t="str">
        <f t="shared" si="100"/>
        <v>Employed</v>
      </c>
      <c r="L923">
        <v>6</v>
      </c>
      <c r="N923">
        <f t="shared" si="101"/>
        <v>1333224</v>
      </c>
      <c r="O923">
        <v>650527</v>
      </c>
      <c r="P923">
        <v>27.27</v>
      </c>
      <c r="Q923">
        <v>60</v>
      </c>
      <c r="R923" t="s">
        <v>3048</v>
      </c>
      <c r="S923" t="str">
        <f t="shared" si="102"/>
        <v>Home Improvement</v>
      </c>
      <c r="T923">
        <v>569</v>
      </c>
      <c r="U923">
        <f t="shared" si="103"/>
        <v>569</v>
      </c>
      <c r="V923">
        <v>0</v>
      </c>
      <c r="W923" t="s">
        <v>3053</v>
      </c>
      <c r="X923" s="3" t="s">
        <v>3786</v>
      </c>
      <c r="Y923" s="3">
        <f t="shared" si="104"/>
        <v>44853</v>
      </c>
      <c r="Z923">
        <v>0.5917</v>
      </c>
    </row>
    <row r="924" spans="1:26" x14ac:dyDescent="0.35">
      <c r="A924" t="s">
        <v>932</v>
      </c>
      <c r="B924" t="str">
        <f t="shared" si="98"/>
        <v>OK</v>
      </c>
      <c r="C924" t="s">
        <v>2420</v>
      </c>
      <c r="D924" s="2">
        <v>63</v>
      </c>
      <c r="E924">
        <f>IF(OR(D924&lt;18, D924&gt;100),AD923,D924)</f>
        <v>63</v>
      </c>
      <c r="F924" t="s">
        <v>2990</v>
      </c>
      <c r="G924" t="str">
        <f t="shared" si="99"/>
        <v>Male</v>
      </c>
      <c r="H924" t="s">
        <v>3005</v>
      </c>
      <c r="I924" t="s">
        <v>3018</v>
      </c>
      <c r="K924" t="str">
        <f t="shared" si="100"/>
        <v>Business Owner</v>
      </c>
      <c r="L924">
        <v>0</v>
      </c>
      <c r="M924">
        <v>2115090</v>
      </c>
      <c r="N924">
        <f t="shared" si="101"/>
        <v>2115090</v>
      </c>
      <c r="O924">
        <v>495738</v>
      </c>
      <c r="P924">
        <v>21.55</v>
      </c>
      <c r="Q924">
        <v>36</v>
      </c>
      <c r="R924" t="s">
        <v>3051</v>
      </c>
      <c r="S924" t="str">
        <f t="shared" si="102"/>
        <v>Education</v>
      </c>
      <c r="T924">
        <v>443</v>
      </c>
      <c r="U924">
        <f t="shared" si="103"/>
        <v>443</v>
      </c>
      <c r="V924">
        <v>0</v>
      </c>
      <c r="W924" t="s">
        <v>3053</v>
      </c>
      <c r="X924" s="3" t="s">
        <v>3787</v>
      </c>
      <c r="Y924" s="3">
        <f t="shared" si="104"/>
        <v>44829</v>
      </c>
      <c r="Z924">
        <v>0.2344</v>
      </c>
    </row>
    <row r="925" spans="1:26" x14ac:dyDescent="0.35">
      <c r="A925" t="s">
        <v>933</v>
      </c>
      <c r="B925" t="str">
        <f t="shared" si="98"/>
        <v>OK</v>
      </c>
      <c r="C925" t="s">
        <v>2421</v>
      </c>
      <c r="D925" s="2">
        <v>43</v>
      </c>
      <c r="E925">
        <f>IF(OR(D925&lt;18, D925&gt;100),AD924,D925)</f>
        <v>43</v>
      </c>
      <c r="F925" t="s">
        <v>2990</v>
      </c>
      <c r="G925" t="str">
        <f t="shared" si="99"/>
        <v>Male</v>
      </c>
      <c r="H925" t="s">
        <v>3004</v>
      </c>
      <c r="I925" t="s">
        <v>3018</v>
      </c>
      <c r="K925" t="str">
        <f t="shared" si="100"/>
        <v>Business Owner</v>
      </c>
      <c r="L925">
        <v>21</v>
      </c>
      <c r="M925">
        <v>2109848</v>
      </c>
      <c r="N925">
        <f t="shared" si="101"/>
        <v>2109848</v>
      </c>
      <c r="O925">
        <v>583466</v>
      </c>
      <c r="P925">
        <v>18.25</v>
      </c>
      <c r="Q925">
        <v>48</v>
      </c>
      <c r="R925" t="s">
        <v>3047</v>
      </c>
      <c r="S925" t="str">
        <f t="shared" si="102"/>
        <v>Personal</v>
      </c>
      <c r="T925">
        <v>630</v>
      </c>
      <c r="U925">
        <f t="shared" si="103"/>
        <v>630</v>
      </c>
      <c r="V925">
        <v>4</v>
      </c>
      <c r="W925" t="s">
        <v>3054</v>
      </c>
      <c r="X925" s="3" t="s">
        <v>3223</v>
      </c>
      <c r="Y925" s="3">
        <f t="shared" si="104"/>
        <v>43973</v>
      </c>
      <c r="Z925">
        <v>0.27650000000000002</v>
      </c>
    </row>
    <row r="926" spans="1:26" x14ac:dyDescent="0.35">
      <c r="A926" t="s">
        <v>934</v>
      </c>
      <c r="B926" t="str">
        <f t="shared" si="98"/>
        <v>OK</v>
      </c>
      <c r="C926" t="s">
        <v>2422</v>
      </c>
      <c r="D926" s="2">
        <v>59</v>
      </c>
      <c r="E926">
        <f>IF(OR(D926&lt;18, D926&gt;100),AD925,D926)</f>
        <v>59</v>
      </c>
      <c r="F926" t="s">
        <v>2992</v>
      </c>
      <c r="G926" t="str">
        <f t="shared" si="99"/>
        <v>Female</v>
      </c>
      <c r="H926" t="s">
        <v>2999</v>
      </c>
      <c r="I926" t="s">
        <v>3021</v>
      </c>
      <c r="K926" t="str">
        <f t="shared" si="100"/>
        <v>Unemployed</v>
      </c>
      <c r="L926">
        <v>26</v>
      </c>
      <c r="M926">
        <v>604226</v>
      </c>
      <c r="N926">
        <f t="shared" si="101"/>
        <v>604226</v>
      </c>
      <c r="O926">
        <v>104700</v>
      </c>
      <c r="P926">
        <v>16.23</v>
      </c>
      <c r="Q926">
        <v>12</v>
      </c>
      <c r="R926" t="s">
        <v>3048</v>
      </c>
      <c r="S926" t="str">
        <f t="shared" si="102"/>
        <v>Home Improvement</v>
      </c>
      <c r="T926">
        <v>569</v>
      </c>
      <c r="U926">
        <f t="shared" si="103"/>
        <v>569</v>
      </c>
      <c r="V926">
        <v>2</v>
      </c>
      <c r="W926" t="s">
        <v>3055</v>
      </c>
      <c r="X926" s="3" t="s">
        <v>3788</v>
      </c>
      <c r="Y926" s="3">
        <f t="shared" si="104"/>
        <v>45135</v>
      </c>
      <c r="Z926">
        <v>0.17330000000000001</v>
      </c>
    </row>
    <row r="927" spans="1:26" x14ac:dyDescent="0.35">
      <c r="A927" t="s">
        <v>935</v>
      </c>
      <c r="B927" t="str">
        <f t="shared" si="98"/>
        <v>OK</v>
      </c>
      <c r="C927" t="s">
        <v>2423</v>
      </c>
      <c r="D927" s="2">
        <v>57</v>
      </c>
      <c r="E927">
        <f>IF(OR(D927&lt;18, D927&gt;100),AD926,D927)</f>
        <v>57</v>
      </c>
      <c r="F927" t="s">
        <v>2992</v>
      </c>
      <c r="G927" t="str">
        <f t="shared" si="99"/>
        <v>Female</v>
      </c>
      <c r="H927" t="s">
        <v>3000</v>
      </c>
      <c r="I927" t="s">
        <v>3020</v>
      </c>
      <c r="K927" t="str">
        <f t="shared" si="100"/>
        <v>Self-Employed</v>
      </c>
      <c r="L927">
        <v>17</v>
      </c>
      <c r="M927">
        <v>1589854</v>
      </c>
      <c r="N927">
        <f t="shared" si="101"/>
        <v>1589854</v>
      </c>
      <c r="O927">
        <v>573781</v>
      </c>
      <c r="P927">
        <v>25.59</v>
      </c>
      <c r="Q927">
        <v>48</v>
      </c>
      <c r="R927" t="s">
        <v>3049</v>
      </c>
      <c r="S927" t="str">
        <f t="shared" si="102"/>
        <v>Business</v>
      </c>
      <c r="T927">
        <v>486</v>
      </c>
      <c r="U927">
        <f t="shared" si="103"/>
        <v>486</v>
      </c>
      <c r="V927">
        <v>4</v>
      </c>
      <c r="W927" t="s">
        <v>3059</v>
      </c>
      <c r="X927" s="3" t="s">
        <v>3789</v>
      </c>
      <c r="Y927" s="3">
        <f t="shared" si="104"/>
        <v>44535</v>
      </c>
      <c r="Z927">
        <v>0.3609</v>
      </c>
    </row>
    <row r="928" spans="1:26" x14ac:dyDescent="0.35">
      <c r="A928" t="s">
        <v>936</v>
      </c>
      <c r="B928" t="str">
        <f t="shared" si="98"/>
        <v>OK</v>
      </c>
      <c r="C928" t="s">
        <v>2424</v>
      </c>
      <c r="D928" s="2">
        <v>53</v>
      </c>
      <c r="E928">
        <f>IF(OR(D928&lt;18, D928&gt;100),AD927,D928)</f>
        <v>53</v>
      </c>
      <c r="F928" t="s">
        <v>2990</v>
      </c>
      <c r="G928" t="str">
        <f t="shared" si="99"/>
        <v>Male</v>
      </c>
      <c r="H928" t="s">
        <v>3001</v>
      </c>
      <c r="I928" t="s">
        <v>3021</v>
      </c>
      <c r="K928" t="str">
        <f t="shared" si="100"/>
        <v>Unemployed</v>
      </c>
      <c r="L928">
        <v>13</v>
      </c>
      <c r="N928">
        <f t="shared" si="101"/>
        <v>1333224</v>
      </c>
      <c r="O928">
        <v>101257</v>
      </c>
      <c r="P928">
        <v>17.43</v>
      </c>
      <c r="Q928">
        <v>12</v>
      </c>
      <c r="R928" t="s">
        <v>3047</v>
      </c>
      <c r="S928" t="str">
        <f t="shared" si="102"/>
        <v>Personal</v>
      </c>
      <c r="T928">
        <v>616</v>
      </c>
      <c r="U928">
        <f t="shared" si="103"/>
        <v>616</v>
      </c>
      <c r="V928">
        <v>7</v>
      </c>
      <c r="W928" t="s">
        <v>3055</v>
      </c>
      <c r="X928" s="3" t="s">
        <v>3254</v>
      </c>
      <c r="Y928" s="3">
        <f t="shared" si="104"/>
        <v>45259</v>
      </c>
      <c r="Z928">
        <v>0.1198</v>
      </c>
    </row>
    <row r="929" spans="1:26" x14ac:dyDescent="0.35">
      <c r="A929" t="s">
        <v>937</v>
      </c>
      <c r="B929" t="str">
        <f t="shared" si="98"/>
        <v>OK</v>
      </c>
      <c r="C929" t="s">
        <v>2425</v>
      </c>
      <c r="D929" s="2">
        <v>46</v>
      </c>
      <c r="E929">
        <f>IF(OR(D929&lt;18, D929&gt;100),AD928,D929)</f>
        <v>46</v>
      </c>
      <c r="F929" t="s">
        <v>2992</v>
      </c>
      <c r="G929" t="str">
        <f t="shared" si="99"/>
        <v>Female</v>
      </c>
      <c r="H929" t="s">
        <v>3001</v>
      </c>
      <c r="I929" t="s">
        <v>3021</v>
      </c>
      <c r="K929" t="str">
        <f t="shared" si="100"/>
        <v>Unemployed</v>
      </c>
      <c r="L929">
        <v>29</v>
      </c>
      <c r="M929">
        <v>253997</v>
      </c>
      <c r="N929">
        <f t="shared" si="101"/>
        <v>253997</v>
      </c>
      <c r="O929">
        <v>43408</v>
      </c>
      <c r="P929">
        <v>16.149999999999999</v>
      </c>
      <c r="Q929">
        <v>48</v>
      </c>
      <c r="R929" t="s">
        <v>3048</v>
      </c>
      <c r="S929" t="str">
        <f t="shared" si="102"/>
        <v>Home Improvement</v>
      </c>
      <c r="T929">
        <v>517</v>
      </c>
      <c r="U929">
        <f t="shared" si="103"/>
        <v>517</v>
      </c>
      <c r="V929">
        <v>0</v>
      </c>
      <c r="W929" t="s">
        <v>3057</v>
      </c>
      <c r="X929" s="3" t="s">
        <v>3083</v>
      </c>
      <c r="Y929" s="3">
        <f t="shared" si="104"/>
        <v>44041</v>
      </c>
      <c r="Z929">
        <v>0.1709</v>
      </c>
    </row>
    <row r="930" spans="1:26" x14ac:dyDescent="0.35">
      <c r="A930" t="s">
        <v>938</v>
      </c>
      <c r="B930" t="str">
        <f t="shared" si="98"/>
        <v>OK</v>
      </c>
      <c r="C930" t="s">
        <v>2426</v>
      </c>
      <c r="D930" s="2">
        <v>52</v>
      </c>
      <c r="E930">
        <f>IF(OR(D930&lt;18, D930&gt;100),AD929,D930)</f>
        <v>52</v>
      </c>
      <c r="F930" t="s">
        <v>2992</v>
      </c>
      <c r="G930" t="str">
        <f t="shared" si="99"/>
        <v>Female</v>
      </c>
      <c r="H930" t="s">
        <v>3013</v>
      </c>
      <c r="I930" t="s">
        <v>3020</v>
      </c>
      <c r="K930" t="str">
        <f t="shared" si="100"/>
        <v>Self-Employed</v>
      </c>
      <c r="L930">
        <v>21</v>
      </c>
      <c r="M930">
        <v>1822892</v>
      </c>
      <c r="N930">
        <f t="shared" si="101"/>
        <v>1822892</v>
      </c>
      <c r="O930">
        <v>639003</v>
      </c>
      <c r="P930">
        <v>20.91</v>
      </c>
      <c r="Q930">
        <v>36</v>
      </c>
      <c r="R930" t="s">
        <v>3048</v>
      </c>
      <c r="S930" t="str">
        <f t="shared" si="102"/>
        <v>Home Improvement</v>
      </c>
      <c r="U930">
        <f t="shared" si="103"/>
        <v>556</v>
      </c>
      <c r="V930">
        <v>7</v>
      </c>
      <c r="W930" t="s">
        <v>3053</v>
      </c>
      <c r="X930" s="3" t="s">
        <v>3720</v>
      </c>
      <c r="Y930" s="3">
        <f t="shared" si="104"/>
        <v>44565</v>
      </c>
      <c r="Z930">
        <v>0.35049999999999998</v>
      </c>
    </row>
    <row r="931" spans="1:26" x14ac:dyDescent="0.35">
      <c r="A931" t="s">
        <v>939</v>
      </c>
      <c r="B931" t="str">
        <f t="shared" si="98"/>
        <v>OK</v>
      </c>
      <c r="C931" t="s">
        <v>2427</v>
      </c>
      <c r="D931" s="2">
        <v>59</v>
      </c>
      <c r="E931">
        <f>IF(OR(D931&lt;18, D931&gt;100),AD930,D931)</f>
        <v>59</v>
      </c>
      <c r="F931" t="s">
        <v>2990</v>
      </c>
      <c r="G931" t="str">
        <f t="shared" si="99"/>
        <v>Male</v>
      </c>
      <c r="H931" t="s">
        <v>3014</v>
      </c>
      <c r="I931" t="s">
        <v>3019</v>
      </c>
      <c r="K931" t="str">
        <f t="shared" si="100"/>
        <v>Employed</v>
      </c>
      <c r="L931">
        <v>27</v>
      </c>
      <c r="M931">
        <v>1398758</v>
      </c>
      <c r="N931">
        <f t="shared" si="101"/>
        <v>1398758</v>
      </c>
      <c r="O931">
        <v>54773</v>
      </c>
      <c r="P931">
        <v>9.85</v>
      </c>
      <c r="Q931">
        <v>60</v>
      </c>
      <c r="R931" t="s">
        <v>3046</v>
      </c>
      <c r="S931" t="str">
        <f t="shared" si="102"/>
        <v>Medical</v>
      </c>
      <c r="T931">
        <v>691</v>
      </c>
      <c r="U931">
        <f t="shared" si="103"/>
        <v>691</v>
      </c>
      <c r="V931">
        <v>4</v>
      </c>
      <c r="W931" t="s">
        <v>3055</v>
      </c>
      <c r="X931" s="3" t="s">
        <v>3742</v>
      </c>
      <c r="Y931" s="3">
        <f t="shared" si="104"/>
        <v>44874</v>
      </c>
      <c r="Z931">
        <v>3.9199999999999999E-2</v>
      </c>
    </row>
    <row r="932" spans="1:26" x14ac:dyDescent="0.35">
      <c r="A932" t="s">
        <v>940</v>
      </c>
      <c r="B932" t="str">
        <f t="shared" si="98"/>
        <v>OK</v>
      </c>
      <c r="C932" t="s">
        <v>2428</v>
      </c>
      <c r="D932" s="2">
        <v>36</v>
      </c>
      <c r="E932">
        <f>IF(OR(D932&lt;18, D932&gt;100),AD931,D932)</f>
        <v>36</v>
      </c>
      <c r="F932" t="s">
        <v>2992</v>
      </c>
      <c r="G932" t="str">
        <f t="shared" si="99"/>
        <v>Female</v>
      </c>
      <c r="H932" t="s">
        <v>3002</v>
      </c>
      <c r="I932" t="s">
        <v>3020</v>
      </c>
      <c r="K932" t="str">
        <f t="shared" si="100"/>
        <v>Self-Employed</v>
      </c>
      <c r="L932">
        <v>10</v>
      </c>
      <c r="M932">
        <v>2382263</v>
      </c>
      <c r="N932">
        <f t="shared" si="101"/>
        <v>2382263</v>
      </c>
      <c r="O932">
        <v>345497</v>
      </c>
      <c r="P932">
        <v>25.8</v>
      </c>
      <c r="Q932">
        <v>60</v>
      </c>
      <c r="R932" t="s">
        <v>3051</v>
      </c>
      <c r="S932" t="str">
        <f t="shared" si="102"/>
        <v>Education</v>
      </c>
      <c r="T932">
        <v>409</v>
      </c>
      <c r="U932">
        <f t="shared" si="103"/>
        <v>409</v>
      </c>
      <c r="V932">
        <v>6</v>
      </c>
      <c r="W932" t="s">
        <v>3056</v>
      </c>
      <c r="X932" s="3" t="s">
        <v>3790</v>
      </c>
      <c r="Y932" s="3">
        <f t="shared" si="104"/>
        <v>44193</v>
      </c>
      <c r="Z932">
        <v>0.14499999999999999</v>
      </c>
    </row>
    <row r="933" spans="1:26" x14ac:dyDescent="0.35">
      <c r="A933" t="s">
        <v>941</v>
      </c>
      <c r="B933" t="str">
        <f t="shared" si="98"/>
        <v>OK</v>
      </c>
      <c r="C933" t="s">
        <v>2429</v>
      </c>
      <c r="D933" s="2">
        <v>34</v>
      </c>
      <c r="E933">
        <f>IF(OR(D933&lt;18, D933&gt;100),AD932,D933)</f>
        <v>34</v>
      </c>
      <c r="F933" t="s">
        <v>2992</v>
      </c>
      <c r="G933" t="str">
        <f t="shared" si="99"/>
        <v>Female</v>
      </c>
      <c r="H933" t="s">
        <v>3005</v>
      </c>
      <c r="I933" t="s">
        <v>3020</v>
      </c>
      <c r="K933" t="str">
        <f t="shared" si="100"/>
        <v>Self-Employed</v>
      </c>
      <c r="L933">
        <v>3</v>
      </c>
      <c r="M933">
        <v>469768</v>
      </c>
      <c r="N933">
        <f t="shared" si="101"/>
        <v>469768</v>
      </c>
      <c r="O933">
        <v>216846</v>
      </c>
      <c r="P933">
        <v>16.55</v>
      </c>
      <c r="Q933">
        <v>60</v>
      </c>
      <c r="R933" t="s">
        <v>3048</v>
      </c>
      <c r="S933" t="str">
        <f t="shared" si="102"/>
        <v>Home Improvement</v>
      </c>
      <c r="T933">
        <v>468</v>
      </c>
      <c r="U933">
        <f t="shared" si="103"/>
        <v>468</v>
      </c>
      <c r="V933">
        <v>3</v>
      </c>
      <c r="W933" t="s">
        <v>3056</v>
      </c>
      <c r="X933" s="3" t="s">
        <v>3408</v>
      </c>
      <c r="Y933" s="3">
        <f t="shared" si="104"/>
        <v>45185</v>
      </c>
      <c r="Z933">
        <v>0.46160000000000001</v>
      </c>
    </row>
    <row r="934" spans="1:26" x14ac:dyDescent="0.35">
      <c r="A934" t="s">
        <v>942</v>
      </c>
      <c r="B934" t="str">
        <f t="shared" si="98"/>
        <v>OK</v>
      </c>
      <c r="C934" t="s">
        <v>2430</v>
      </c>
      <c r="D934" s="2">
        <v>33</v>
      </c>
      <c r="E934">
        <f>IF(OR(D934&lt;18, D934&gt;100),AD933,D934)</f>
        <v>33</v>
      </c>
      <c r="F934" t="s">
        <v>2992</v>
      </c>
      <c r="G934" t="str">
        <f t="shared" si="99"/>
        <v>Female</v>
      </c>
      <c r="H934" t="s">
        <v>3000</v>
      </c>
      <c r="I934" t="s">
        <v>3020</v>
      </c>
      <c r="K934" t="str">
        <f t="shared" si="100"/>
        <v>Self-Employed</v>
      </c>
      <c r="L934">
        <v>1</v>
      </c>
      <c r="M934">
        <v>1262424</v>
      </c>
      <c r="N934">
        <f t="shared" si="101"/>
        <v>1262424</v>
      </c>
      <c r="O934">
        <v>83610</v>
      </c>
      <c r="P934">
        <v>23.98</v>
      </c>
      <c r="Q934">
        <v>24</v>
      </c>
      <c r="R934" t="s">
        <v>3051</v>
      </c>
      <c r="S934" t="str">
        <f t="shared" si="102"/>
        <v>Education</v>
      </c>
      <c r="T934">
        <v>717</v>
      </c>
      <c r="U934">
        <f t="shared" si="103"/>
        <v>717</v>
      </c>
      <c r="V934">
        <v>2</v>
      </c>
      <c r="W934" t="s">
        <v>3055</v>
      </c>
      <c r="X934" s="3" t="s">
        <v>3791</v>
      </c>
      <c r="Y934" s="3">
        <f t="shared" si="104"/>
        <v>44968</v>
      </c>
      <c r="Z934">
        <v>6.6199999999999995E-2</v>
      </c>
    </row>
    <row r="935" spans="1:26" x14ac:dyDescent="0.35">
      <c r="A935" t="s">
        <v>943</v>
      </c>
      <c r="B935" t="str">
        <f t="shared" si="98"/>
        <v>OK</v>
      </c>
      <c r="C935" t="s">
        <v>2431</v>
      </c>
      <c r="D935" s="2">
        <v>35</v>
      </c>
      <c r="E935">
        <f>IF(OR(D935&lt;18, D935&gt;100),AD934,D935)</f>
        <v>35</v>
      </c>
      <c r="G935" t="str">
        <f t="shared" si="99"/>
        <v>Unknown</v>
      </c>
      <c r="H935" t="s">
        <v>3006</v>
      </c>
      <c r="I935" t="s">
        <v>3020</v>
      </c>
      <c r="K935" t="str">
        <f t="shared" si="100"/>
        <v>Self-Employed</v>
      </c>
      <c r="L935">
        <v>28</v>
      </c>
      <c r="N935">
        <f t="shared" si="101"/>
        <v>1333224</v>
      </c>
      <c r="O935">
        <v>358540</v>
      </c>
      <c r="P935">
        <v>11.01</v>
      </c>
      <c r="Q935">
        <v>36</v>
      </c>
      <c r="R935" t="s">
        <v>3050</v>
      </c>
      <c r="S935" t="str">
        <f t="shared" si="102"/>
        <v>Agriculture</v>
      </c>
      <c r="T935">
        <v>636</v>
      </c>
      <c r="U935">
        <f t="shared" si="103"/>
        <v>636</v>
      </c>
      <c r="V935">
        <v>0</v>
      </c>
      <c r="W935" t="s">
        <v>3055</v>
      </c>
      <c r="X935" s="3" t="s">
        <v>3792</v>
      </c>
      <c r="Y935" s="3">
        <f t="shared" si="104"/>
        <v>43927</v>
      </c>
      <c r="Z935">
        <v>0.3155</v>
      </c>
    </row>
    <row r="936" spans="1:26" x14ac:dyDescent="0.35">
      <c r="A936" t="s">
        <v>944</v>
      </c>
      <c r="B936" t="str">
        <f t="shared" si="98"/>
        <v>OK</v>
      </c>
      <c r="C936" t="s">
        <v>2432</v>
      </c>
      <c r="D936" s="2">
        <v>59</v>
      </c>
      <c r="E936">
        <f>IF(OR(D936&lt;18, D936&gt;100),AD935,D936)</f>
        <v>59</v>
      </c>
      <c r="F936" t="s">
        <v>2992</v>
      </c>
      <c r="G936" t="str">
        <f t="shared" si="99"/>
        <v>Female</v>
      </c>
      <c r="H936" t="s">
        <v>2999</v>
      </c>
      <c r="I936" t="s">
        <v>3020</v>
      </c>
      <c r="K936" t="str">
        <f t="shared" si="100"/>
        <v>Self-Employed</v>
      </c>
      <c r="L936">
        <v>29</v>
      </c>
      <c r="M936">
        <v>2032610</v>
      </c>
      <c r="N936">
        <f t="shared" si="101"/>
        <v>2032610</v>
      </c>
      <c r="O936">
        <v>428808</v>
      </c>
      <c r="P936">
        <v>19.05</v>
      </c>
      <c r="Q936">
        <v>24</v>
      </c>
      <c r="R936" t="s">
        <v>3049</v>
      </c>
      <c r="S936" t="str">
        <f t="shared" si="102"/>
        <v>Business</v>
      </c>
      <c r="T936">
        <v>666</v>
      </c>
      <c r="U936">
        <f t="shared" si="103"/>
        <v>666</v>
      </c>
      <c r="V936">
        <v>1</v>
      </c>
      <c r="W936" t="s">
        <v>3052</v>
      </c>
      <c r="X936" s="3" t="s">
        <v>3650</v>
      </c>
      <c r="Y936" s="3">
        <f t="shared" si="104"/>
        <v>45140</v>
      </c>
      <c r="Z936">
        <v>0.21099999999999999</v>
      </c>
    </row>
    <row r="937" spans="1:26" x14ac:dyDescent="0.35">
      <c r="A937" t="s">
        <v>945</v>
      </c>
      <c r="B937" t="str">
        <f t="shared" si="98"/>
        <v>OK</v>
      </c>
      <c r="C937" t="s">
        <v>2433</v>
      </c>
      <c r="D937" s="2">
        <v>31</v>
      </c>
      <c r="E937">
        <f>IF(OR(D937&lt;18, D937&gt;100),AD936,D937)</f>
        <v>31</v>
      </c>
      <c r="F937" t="s">
        <v>2992</v>
      </c>
      <c r="G937" t="str">
        <f t="shared" si="99"/>
        <v>Female</v>
      </c>
      <c r="H937" t="s">
        <v>3000</v>
      </c>
      <c r="I937" t="s">
        <v>3021</v>
      </c>
      <c r="K937" t="str">
        <f t="shared" si="100"/>
        <v>Unemployed</v>
      </c>
      <c r="L937">
        <v>5</v>
      </c>
      <c r="M937">
        <v>623316</v>
      </c>
      <c r="N937">
        <f t="shared" si="101"/>
        <v>623316</v>
      </c>
      <c r="O937">
        <v>693249</v>
      </c>
      <c r="P937">
        <v>13</v>
      </c>
      <c r="Q937">
        <v>60</v>
      </c>
      <c r="R937" t="s">
        <v>3048</v>
      </c>
      <c r="S937" t="str">
        <f t="shared" si="102"/>
        <v>Home Improvement</v>
      </c>
      <c r="T937">
        <v>469</v>
      </c>
      <c r="U937">
        <f t="shared" si="103"/>
        <v>469</v>
      </c>
      <c r="V937">
        <v>7</v>
      </c>
      <c r="W937" t="s">
        <v>3057</v>
      </c>
      <c r="X937" s="3" t="s">
        <v>3793</v>
      </c>
      <c r="Y937" s="3">
        <f t="shared" si="104"/>
        <v>44079</v>
      </c>
      <c r="Z937">
        <v>1.1122000000000001</v>
      </c>
    </row>
    <row r="938" spans="1:26" x14ac:dyDescent="0.35">
      <c r="A938" t="s">
        <v>946</v>
      </c>
      <c r="B938" t="str">
        <f t="shared" si="98"/>
        <v>OK</v>
      </c>
      <c r="C938" t="s">
        <v>2434</v>
      </c>
      <c r="D938" s="2">
        <v>29</v>
      </c>
      <c r="E938">
        <f>IF(OR(D938&lt;18, D938&gt;100),AD937,D938)</f>
        <v>29</v>
      </c>
      <c r="F938" t="s">
        <v>2992</v>
      </c>
      <c r="G938" t="str">
        <f t="shared" si="99"/>
        <v>Female</v>
      </c>
      <c r="H938" t="s">
        <v>3005</v>
      </c>
      <c r="I938" t="s">
        <v>3018</v>
      </c>
      <c r="K938" t="str">
        <f t="shared" si="100"/>
        <v>Business Owner</v>
      </c>
      <c r="L938">
        <v>9</v>
      </c>
      <c r="M938">
        <v>1522057</v>
      </c>
      <c r="N938">
        <f t="shared" si="101"/>
        <v>1522057</v>
      </c>
      <c r="O938">
        <v>310446</v>
      </c>
      <c r="P938">
        <v>13.78</v>
      </c>
      <c r="Q938">
        <v>12</v>
      </c>
      <c r="R938" t="s">
        <v>3049</v>
      </c>
      <c r="S938" t="str">
        <f t="shared" si="102"/>
        <v>Business</v>
      </c>
      <c r="T938">
        <v>812</v>
      </c>
      <c r="U938">
        <f t="shared" si="103"/>
        <v>812</v>
      </c>
      <c r="V938">
        <v>7</v>
      </c>
      <c r="W938" t="s">
        <v>3053</v>
      </c>
      <c r="X938" s="3" t="s">
        <v>3794</v>
      </c>
      <c r="Y938" s="3">
        <f t="shared" si="104"/>
        <v>45272</v>
      </c>
      <c r="Z938">
        <v>0.20399999999999999</v>
      </c>
    </row>
    <row r="939" spans="1:26" x14ac:dyDescent="0.35">
      <c r="A939" t="s">
        <v>947</v>
      </c>
      <c r="B939" t="str">
        <f t="shared" si="98"/>
        <v>OK</v>
      </c>
      <c r="C939" t="s">
        <v>2435</v>
      </c>
      <c r="D939" s="2">
        <v>28</v>
      </c>
      <c r="E939">
        <f>IF(OR(D939&lt;18, D939&gt;100),AD938,D939)</f>
        <v>28</v>
      </c>
      <c r="F939" t="s">
        <v>2992</v>
      </c>
      <c r="G939" t="str">
        <f t="shared" si="99"/>
        <v>Female</v>
      </c>
      <c r="H939" t="s">
        <v>3003</v>
      </c>
      <c r="I939" t="s">
        <v>3018</v>
      </c>
      <c r="K939" t="str">
        <f t="shared" si="100"/>
        <v>Business Owner</v>
      </c>
      <c r="L939">
        <v>2</v>
      </c>
      <c r="M939">
        <v>1348932</v>
      </c>
      <c r="N939">
        <f t="shared" si="101"/>
        <v>1348932</v>
      </c>
      <c r="O939">
        <v>189934</v>
      </c>
      <c r="P939">
        <v>14.94</v>
      </c>
      <c r="Q939">
        <v>24</v>
      </c>
      <c r="R939" t="s">
        <v>3046</v>
      </c>
      <c r="S939" t="str">
        <f t="shared" si="102"/>
        <v>Medical</v>
      </c>
      <c r="T939">
        <v>841</v>
      </c>
      <c r="U939">
        <f t="shared" si="103"/>
        <v>841</v>
      </c>
      <c r="V939">
        <v>5</v>
      </c>
      <c r="W939" t="s">
        <v>3053</v>
      </c>
      <c r="X939" s="3" t="s">
        <v>3795</v>
      </c>
      <c r="Y939" s="3">
        <f t="shared" si="104"/>
        <v>44056</v>
      </c>
      <c r="Z939">
        <v>0.14080000000000001</v>
      </c>
    </row>
    <row r="940" spans="1:26" x14ac:dyDescent="0.35">
      <c r="A940" t="s">
        <v>948</v>
      </c>
      <c r="B940" t="str">
        <f t="shared" si="98"/>
        <v>OK</v>
      </c>
      <c r="C940" t="s">
        <v>2436</v>
      </c>
      <c r="D940" s="2">
        <v>62</v>
      </c>
      <c r="E940">
        <f>IF(OR(D940&lt;18, D940&gt;100),AD939,D940)</f>
        <v>62</v>
      </c>
      <c r="F940" t="s">
        <v>2992</v>
      </c>
      <c r="G940" t="str">
        <f t="shared" si="99"/>
        <v>Female</v>
      </c>
      <c r="H940" t="s">
        <v>3006</v>
      </c>
      <c r="I940" t="s">
        <v>3021</v>
      </c>
      <c r="K940" t="str">
        <f t="shared" si="100"/>
        <v>Unemployed</v>
      </c>
      <c r="L940">
        <v>21</v>
      </c>
      <c r="M940">
        <v>2110082</v>
      </c>
      <c r="N940">
        <f t="shared" si="101"/>
        <v>2110082</v>
      </c>
      <c r="O940">
        <v>95403</v>
      </c>
      <c r="P940">
        <v>25.08</v>
      </c>
      <c r="Q940">
        <v>24</v>
      </c>
      <c r="R940" t="s">
        <v>3046</v>
      </c>
      <c r="S940" t="str">
        <f t="shared" si="102"/>
        <v>Medical</v>
      </c>
      <c r="U940">
        <f t="shared" si="103"/>
        <v>556</v>
      </c>
      <c r="V940">
        <v>7</v>
      </c>
      <c r="W940" t="s">
        <v>3056</v>
      </c>
      <c r="X940" s="3" t="s">
        <v>3088</v>
      </c>
      <c r="Y940" s="3">
        <f t="shared" si="104"/>
        <v>43971</v>
      </c>
      <c r="Z940">
        <v>4.5199999999999997E-2</v>
      </c>
    </row>
    <row r="941" spans="1:26" x14ac:dyDescent="0.35">
      <c r="A941" t="s">
        <v>949</v>
      </c>
      <c r="B941" t="str">
        <f t="shared" si="98"/>
        <v>OK</v>
      </c>
      <c r="C941" t="s">
        <v>2437</v>
      </c>
      <c r="D941" s="2">
        <v>25</v>
      </c>
      <c r="E941">
        <f>IF(OR(D941&lt;18, D941&gt;100),AD940,D941)</f>
        <v>25</v>
      </c>
      <c r="F941" t="s">
        <v>2992</v>
      </c>
      <c r="G941" t="str">
        <f t="shared" si="99"/>
        <v>Female</v>
      </c>
      <c r="H941" t="s">
        <v>3003</v>
      </c>
      <c r="K941" t="str">
        <f t="shared" si="100"/>
        <v>Unknown</v>
      </c>
      <c r="L941">
        <v>27</v>
      </c>
      <c r="M941">
        <v>928321</v>
      </c>
      <c r="N941">
        <f t="shared" si="101"/>
        <v>928321</v>
      </c>
      <c r="O941">
        <v>672755</v>
      </c>
      <c r="P941">
        <v>10.87</v>
      </c>
      <c r="Q941">
        <v>60</v>
      </c>
      <c r="R941" t="s">
        <v>3047</v>
      </c>
      <c r="S941" t="str">
        <f t="shared" si="102"/>
        <v>Personal</v>
      </c>
      <c r="T941">
        <v>775</v>
      </c>
      <c r="U941">
        <f t="shared" si="103"/>
        <v>775</v>
      </c>
      <c r="V941">
        <v>6</v>
      </c>
      <c r="W941" t="s">
        <v>3053</v>
      </c>
      <c r="X941" s="3" t="s">
        <v>3796</v>
      </c>
      <c r="Y941" s="3">
        <f t="shared" si="104"/>
        <v>45221</v>
      </c>
      <c r="Z941">
        <v>0.72470000000000001</v>
      </c>
    </row>
    <row r="942" spans="1:26" x14ac:dyDescent="0.35">
      <c r="A942" t="s">
        <v>950</v>
      </c>
      <c r="B942" t="str">
        <f t="shared" si="98"/>
        <v>OK</v>
      </c>
      <c r="C942" t="s">
        <v>2438</v>
      </c>
      <c r="D942" s="2">
        <v>58</v>
      </c>
      <c r="E942">
        <f>IF(OR(D942&lt;18, D942&gt;100),AD941,D942)</f>
        <v>58</v>
      </c>
      <c r="F942" t="s">
        <v>2990</v>
      </c>
      <c r="G942" t="str">
        <f t="shared" si="99"/>
        <v>Male</v>
      </c>
      <c r="H942" t="s">
        <v>3005</v>
      </c>
      <c r="I942" t="s">
        <v>3018</v>
      </c>
      <c r="K942" t="str">
        <f t="shared" si="100"/>
        <v>Business Owner</v>
      </c>
      <c r="L942">
        <v>11</v>
      </c>
      <c r="M942">
        <v>419968</v>
      </c>
      <c r="N942">
        <f t="shared" si="101"/>
        <v>419968</v>
      </c>
      <c r="O942">
        <v>317016</v>
      </c>
      <c r="P942">
        <v>11.38</v>
      </c>
      <c r="Q942">
        <v>24</v>
      </c>
      <c r="R942" t="s">
        <v>3051</v>
      </c>
      <c r="S942" t="str">
        <f t="shared" si="102"/>
        <v>Education</v>
      </c>
      <c r="T942">
        <v>564</v>
      </c>
      <c r="U942">
        <f t="shared" si="103"/>
        <v>564</v>
      </c>
      <c r="V942">
        <v>7</v>
      </c>
      <c r="W942" t="s">
        <v>3052</v>
      </c>
      <c r="X942" s="3" t="s">
        <v>3451</v>
      </c>
      <c r="Y942" s="3">
        <f t="shared" si="104"/>
        <v>44723</v>
      </c>
      <c r="Z942">
        <v>0.75490000000000002</v>
      </c>
    </row>
    <row r="943" spans="1:26" x14ac:dyDescent="0.35">
      <c r="A943" t="s">
        <v>951</v>
      </c>
      <c r="B943" t="str">
        <f t="shared" si="98"/>
        <v>OK</v>
      </c>
      <c r="C943" t="s">
        <v>2439</v>
      </c>
      <c r="D943" s="2">
        <v>64</v>
      </c>
      <c r="E943">
        <f>IF(OR(D943&lt;18, D943&gt;100),AD942,D943)</f>
        <v>64</v>
      </c>
      <c r="F943" t="s">
        <v>2992</v>
      </c>
      <c r="G943" t="str">
        <f t="shared" si="99"/>
        <v>Female</v>
      </c>
      <c r="H943" t="s">
        <v>3002</v>
      </c>
      <c r="I943" t="s">
        <v>3019</v>
      </c>
      <c r="K943" t="str">
        <f t="shared" si="100"/>
        <v>Employed</v>
      </c>
      <c r="L943">
        <v>9</v>
      </c>
      <c r="M943">
        <v>687365</v>
      </c>
      <c r="N943">
        <f t="shared" si="101"/>
        <v>687365</v>
      </c>
      <c r="O943">
        <v>541244</v>
      </c>
      <c r="P943">
        <v>16.899999999999999</v>
      </c>
      <c r="Q943">
        <v>36</v>
      </c>
      <c r="R943" t="s">
        <v>3049</v>
      </c>
      <c r="S943" t="str">
        <f t="shared" si="102"/>
        <v>Business</v>
      </c>
      <c r="T943">
        <v>319</v>
      </c>
      <c r="U943">
        <f t="shared" si="103"/>
        <v>319</v>
      </c>
      <c r="V943">
        <v>5</v>
      </c>
      <c r="W943" t="s">
        <v>3054</v>
      </c>
      <c r="X943" s="3" t="s">
        <v>3797</v>
      </c>
      <c r="Y943" s="3">
        <f t="shared" si="104"/>
        <v>44858</v>
      </c>
      <c r="Z943">
        <v>0.78739999999999999</v>
      </c>
    </row>
    <row r="944" spans="1:26" x14ac:dyDescent="0.35">
      <c r="A944" t="s">
        <v>952</v>
      </c>
      <c r="B944" t="str">
        <f t="shared" si="98"/>
        <v>OK</v>
      </c>
      <c r="C944" t="s">
        <v>2440</v>
      </c>
      <c r="D944" s="2">
        <v>56</v>
      </c>
      <c r="E944">
        <f>IF(OR(D944&lt;18, D944&gt;100),AD943,D944)</f>
        <v>56</v>
      </c>
      <c r="F944" t="s">
        <v>2996</v>
      </c>
      <c r="G944" t="str">
        <f t="shared" si="99"/>
        <v>Female</v>
      </c>
      <c r="H944" t="s">
        <v>3005</v>
      </c>
      <c r="I944" t="s">
        <v>3020</v>
      </c>
      <c r="K944" t="str">
        <f t="shared" si="100"/>
        <v>Self-Employed</v>
      </c>
      <c r="L944">
        <v>7</v>
      </c>
      <c r="M944">
        <v>499972</v>
      </c>
      <c r="N944">
        <f t="shared" si="101"/>
        <v>499972</v>
      </c>
      <c r="O944">
        <v>181081</v>
      </c>
      <c r="P944">
        <v>14.78</v>
      </c>
      <c r="Q944">
        <v>60</v>
      </c>
      <c r="R944" t="s">
        <v>3050</v>
      </c>
      <c r="S944" t="str">
        <f t="shared" si="102"/>
        <v>Agriculture</v>
      </c>
      <c r="T944">
        <v>626</v>
      </c>
      <c r="U944">
        <f t="shared" si="103"/>
        <v>626</v>
      </c>
      <c r="V944">
        <v>4</v>
      </c>
      <c r="W944" t="s">
        <v>3053</v>
      </c>
      <c r="X944" s="3" t="s">
        <v>3798</v>
      </c>
      <c r="Y944" s="3">
        <f t="shared" si="104"/>
        <v>44422</v>
      </c>
      <c r="Z944">
        <v>0.36220000000000002</v>
      </c>
    </row>
    <row r="945" spans="1:26" x14ac:dyDescent="0.35">
      <c r="A945" t="s">
        <v>953</v>
      </c>
      <c r="B945" t="str">
        <f t="shared" si="98"/>
        <v>OK</v>
      </c>
      <c r="C945" t="s">
        <v>2441</v>
      </c>
      <c r="D945" s="2">
        <v>54</v>
      </c>
      <c r="E945">
        <f>IF(OR(D945&lt;18, D945&gt;100),AD944,D945)</f>
        <v>54</v>
      </c>
      <c r="F945" t="s">
        <v>2992</v>
      </c>
      <c r="G945" t="str">
        <f t="shared" si="99"/>
        <v>Female</v>
      </c>
      <c r="H945" t="s">
        <v>3006</v>
      </c>
      <c r="I945" t="s">
        <v>3021</v>
      </c>
      <c r="K945" t="str">
        <f t="shared" si="100"/>
        <v>Unemployed</v>
      </c>
      <c r="L945">
        <v>22</v>
      </c>
      <c r="M945">
        <v>931518</v>
      </c>
      <c r="N945">
        <f t="shared" si="101"/>
        <v>931518</v>
      </c>
      <c r="O945">
        <v>143728</v>
      </c>
      <c r="P945">
        <v>8.73</v>
      </c>
      <c r="Q945">
        <v>48</v>
      </c>
      <c r="R945" t="s">
        <v>3048</v>
      </c>
      <c r="S945" t="str">
        <f t="shared" si="102"/>
        <v>Home Improvement</v>
      </c>
      <c r="T945">
        <v>658</v>
      </c>
      <c r="U945">
        <f t="shared" si="103"/>
        <v>658</v>
      </c>
      <c r="V945">
        <v>3</v>
      </c>
      <c r="W945" t="s">
        <v>3056</v>
      </c>
      <c r="X945" s="3" t="s">
        <v>3145</v>
      </c>
      <c r="Y945" s="3">
        <f t="shared" si="104"/>
        <v>44448</v>
      </c>
      <c r="Z945">
        <v>0.15429999999999999</v>
      </c>
    </row>
    <row r="946" spans="1:26" x14ac:dyDescent="0.35">
      <c r="A946" t="s">
        <v>954</v>
      </c>
      <c r="B946" t="str">
        <f t="shared" si="98"/>
        <v>OK</v>
      </c>
      <c r="C946" t="s">
        <v>2442</v>
      </c>
      <c r="D946" s="2">
        <v>46</v>
      </c>
      <c r="E946">
        <f>IF(OR(D946&lt;18, D946&gt;100),AD945,D946)</f>
        <v>46</v>
      </c>
      <c r="F946" t="s">
        <v>2992</v>
      </c>
      <c r="G946" t="str">
        <f t="shared" si="99"/>
        <v>Female</v>
      </c>
      <c r="H946" t="s">
        <v>2999</v>
      </c>
      <c r="I946" t="s">
        <v>3018</v>
      </c>
      <c r="K946" t="str">
        <f t="shared" si="100"/>
        <v>Business Owner</v>
      </c>
      <c r="L946">
        <v>3</v>
      </c>
      <c r="M946">
        <v>239182</v>
      </c>
      <c r="N946">
        <f t="shared" si="101"/>
        <v>239182</v>
      </c>
      <c r="O946">
        <v>443177</v>
      </c>
      <c r="P946">
        <v>21.59</v>
      </c>
      <c r="Q946">
        <v>24</v>
      </c>
      <c r="R946" t="s">
        <v>3046</v>
      </c>
      <c r="S946" t="str">
        <f t="shared" si="102"/>
        <v>Medical</v>
      </c>
      <c r="T946">
        <v>766</v>
      </c>
      <c r="U946">
        <f t="shared" si="103"/>
        <v>766</v>
      </c>
      <c r="V946">
        <v>6</v>
      </c>
      <c r="W946" t="s">
        <v>3056</v>
      </c>
      <c r="X946" s="3" t="s">
        <v>3799</v>
      </c>
      <c r="Y946" s="3">
        <f t="shared" si="104"/>
        <v>44866</v>
      </c>
      <c r="Z946">
        <v>1.8529</v>
      </c>
    </row>
    <row r="947" spans="1:26" x14ac:dyDescent="0.35">
      <c r="A947" t="s">
        <v>955</v>
      </c>
      <c r="B947" t="str">
        <f t="shared" si="98"/>
        <v>OK</v>
      </c>
      <c r="C947" t="s">
        <v>2443</v>
      </c>
      <c r="D947" s="2">
        <v>49</v>
      </c>
      <c r="E947">
        <f>IF(OR(D947&lt;18, D947&gt;100),AD946,D947)</f>
        <v>49</v>
      </c>
      <c r="F947" t="s">
        <v>2990</v>
      </c>
      <c r="G947" t="str">
        <f t="shared" si="99"/>
        <v>Male</v>
      </c>
      <c r="H947" t="s">
        <v>3005</v>
      </c>
      <c r="I947" t="s">
        <v>3018</v>
      </c>
      <c r="K947" t="str">
        <f t="shared" si="100"/>
        <v>Business Owner</v>
      </c>
      <c r="L947">
        <v>19</v>
      </c>
      <c r="M947">
        <v>326470</v>
      </c>
      <c r="N947">
        <f t="shared" si="101"/>
        <v>326470</v>
      </c>
      <c r="O947">
        <v>256562</v>
      </c>
      <c r="P947">
        <v>24.11</v>
      </c>
      <c r="Q947">
        <v>36</v>
      </c>
      <c r="R947" t="s">
        <v>3048</v>
      </c>
      <c r="S947" t="str">
        <f t="shared" si="102"/>
        <v>Home Improvement</v>
      </c>
      <c r="T947">
        <v>712</v>
      </c>
      <c r="U947">
        <f t="shared" si="103"/>
        <v>712</v>
      </c>
      <c r="V947">
        <v>0</v>
      </c>
      <c r="W947" t="s">
        <v>3055</v>
      </c>
      <c r="X947" s="3" t="s">
        <v>3149</v>
      </c>
      <c r="Y947" s="3">
        <f t="shared" si="104"/>
        <v>43933</v>
      </c>
      <c r="Z947">
        <v>0.78590000000000004</v>
      </c>
    </row>
    <row r="948" spans="1:26" x14ac:dyDescent="0.35">
      <c r="A948" t="s">
        <v>956</v>
      </c>
      <c r="B948" t="str">
        <f t="shared" si="98"/>
        <v>OK</v>
      </c>
      <c r="C948" t="s">
        <v>2444</v>
      </c>
      <c r="D948" s="2">
        <v>49</v>
      </c>
      <c r="E948">
        <f>IF(OR(D948&lt;18, D948&gt;100),AD947,D948)</f>
        <v>49</v>
      </c>
      <c r="F948" t="s">
        <v>2990</v>
      </c>
      <c r="G948" t="str">
        <f t="shared" si="99"/>
        <v>Male</v>
      </c>
      <c r="H948" t="s">
        <v>3002</v>
      </c>
      <c r="I948" t="s">
        <v>3019</v>
      </c>
      <c r="K948" t="str">
        <f t="shared" si="100"/>
        <v>Employed</v>
      </c>
      <c r="L948">
        <v>26</v>
      </c>
      <c r="M948">
        <v>1322953</v>
      </c>
      <c r="N948">
        <f t="shared" si="101"/>
        <v>1322953</v>
      </c>
      <c r="O948">
        <v>173245</v>
      </c>
      <c r="P948">
        <v>15.44</v>
      </c>
      <c r="Q948">
        <v>12</v>
      </c>
      <c r="R948" t="s">
        <v>3048</v>
      </c>
      <c r="S948" t="str">
        <f t="shared" si="102"/>
        <v>Home Improvement</v>
      </c>
      <c r="T948">
        <v>648</v>
      </c>
      <c r="U948">
        <f t="shared" si="103"/>
        <v>648</v>
      </c>
      <c r="V948">
        <v>3</v>
      </c>
      <c r="W948" t="s">
        <v>3057</v>
      </c>
      <c r="X948" s="3" t="s">
        <v>3800</v>
      </c>
      <c r="Y948" s="3">
        <f t="shared" si="104"/>
        <v>44059</v>
      </c>
      <c r="Z948">
        <v>0.13100000000000001</v>
      </c>
    </row>
    <row r="949" spans="1:26" x14ac:dyDescent="0.35">
      <c r="A949" t="s">
        <v>777</v>
      </c>
      <c r="B949" t="str">
        <f t="shared" si="98"/>
        <v>OK</v>
      </c>
      <c r="C949" t="s">
        <v>2266</v>
      </c>
      <c r="D949" s="2">
        <v>53</v>
      </c>
      <c r="E949">
        <f>IF(OR(D949&lt;18, D949&gt;100),AD948,D949)</f>
        <v>53</v>
      </c>
      <c r="F949" t="s">
        <v>2990</v>
      </c>
      <c r="G949" t="str">
        <f t="shared" si="99"/>
        <v>Male</v>
      </c>
      <c r="H949" t="s">
        <v>3006</v>
      </c>
      <c r="K949" t="str">
        <f t="shared" si="100"/>
        <v>Unknown</v>
      </c>
      <c r="L949">
        <v>0</v>
      </c>
      <c r="M949">
        <v>2166062</v>
      </c>
      <c r="N949">
        <f t="shared" si="101"/>
        <v>2166062</v>
      </c>
      <c r="O949">
        <v>631985</v>
      </c>
      <c r="P949">
        <v>13.63</v>
      </c>
      <c r="Q949">
        <v>36</v>
      </c>
      <c r="R949" t="s">
        <v>3051</v>
      </c>
      <c r="S949" t="str">
        <f t="shared" si="102"/>
        <v>Education</v>
      </c>
      <c r="T949">
        <v>322</v>
      </c>
      <c r="U949">
        <f t="shared" si="103"/>
        <v>322</v>
      </c>
      <c r="V949">
        <v>1</v>
      </c>
      <c r="W949" t="s">
        <v>3057</v>
      </c>
      <c r="X949" s="3" t="s">
        <v>3692</v>
      </c>
      <c r="Y949" s="3">
        <f t="shared" si="104"/>
        <v>45173</v>
      </c>
      <c r="Z949">
        <v>0.2918</v>
      </c>
    </row>
    <row r="950" spans="1:26" x14ac:dyDescent="0.35">
      <c r="A950" t="s">
        <v>957</v>
      </c>
      <c r="B950" t="str">
        <f t="shared" si="98"/>
        <v>OK</v>
      </c>
      <c r="C950" t="s">
        <v>2445</v>
      </c>
      <c r="D950" s="2">
        <v>48</v>
      </c>
      <c r="E950">
        <f>IF(OR(D950&lt;18, D950&gt;100),AD949,D950)</f>
        <v>48</v>
      </c>
      <c r="F950" t="s">
        <v>2992</v>
      </c>
      <c r="G950" t="str">
        <f t="shared" si="99"/>
        <v>Female</v>
      </c>
      <c r="H950" t="s">
        <v>2998</v>
      </c>
      <c r="I950" t="s">
        <v>3020</v>
      </c>
      <c r="K950" t="str">
        <f t="shared" si="100"/>
        <v>Self-Employed</v>
      </c>
      <c r="L950">
        <v>22</v>
      </c>
      <c r="M950">
        <v>445798</v>
      </c>
      <c r="N950">
        <f t="shared" si="101"/>
        <v>445798</v>
      </c>
      <c r="O950">
        <v>119003</v>
      </c>
      <c r="P950">
        <v>9.6199999999999992</v>
      </c>
      <c r="Q950">
        <v>48</v>
      </c>
      <c r="R950" t="s">
        <v>3051</v>
      </c>
      <c r="S950" t="str">
        <f t="shared" si="102"/>
        <v>Education</v>
      </c>
      <c r="T950">
        <v>796</v>
      </c>
      <c r="U950">
        <f t="shared" si="103"/>
        <v>796</v>
      </c>
      <c r="V950">
        <v>6</v>
      </c>
      <c r="W950" t="s">
        <v>3055</v>
      </c>
      <c r="X950" s="3" t="s">
        <v>3476</v>
      </c>
      <c r="Y950" s="3">
        <f t="shared" si="104"/>
        <v>44136</v>
      </c>
      <c r="Z950">
        <v>0.26690000000000003</v>
      </c>
    </row>
    <row r="951" spans="1:26" x14ac:dyDescent="0.35">
      <c r="A951" t="s">
        <v>958</v>
      </c>
      <c r="B951" t="str">
        <f t="shared" si="98"/>
        <v>OK</v>
      </c>
      <c r="C951" t="s">
        <v>2446</v>
      </c>
      <c r="D951" s="2">
        <v>54</v>
      </c>
      <c r="E951">
        <f>IF(OR(D951&lt;18, D951&gt;100),AD950,D951)</f>
        <v>54</v>
      </c>
      <c r="F951" t="s">
        <v>2992</v>
      </c>
      <c r="G951" t="str">
        <f t="shared" si="99"/>
        <v>Female</v>
      </c>
      <c r="H951" t="s">
        <v>3003</v>
      </c>
      <c r="I951" t="s">
        <v>3020</v>
      </c>
      <c r="K951" t="str">
        <f t="shared" si="100"/>
        <v>Self-Employed</v>
      </c>
      <c r="L951">
        <v>19</v>
      </c>
      <c r="M951">
        <v>1890524</v>
      </c>
      <c r="N951">
        <f t="shared" si="101"/>
        <v>1890524</v>
      </c>
      <c r="O951">
        <v>270144</v>
      </c>
      <c r="P951">
        <v>25.72</v>
      </c>
      <c r="Q951">
        <v>24</v>
      </c>
      <c r="R951" t="s">
        <v>3051</v>
      </c>
      <c r="S951" t="str">
        <f t="shared" si="102"/>
        <v>Education</v>
      </c>
      <c r="T951">
        <v>485</v>
      </c>
      <c r="U951">
        <f t="shared" si="103"/>
        <v>485</v>
      </c>
      <c r="V951">
        <v>2</v>
      </c>
      <c r="W951" t="s">
        <v>3057</v>
      </c>
      <c r="X951" s="3" t="s">
        <v>3801</v>
      </c>
      <c r="Y951" s="3">
        <f t="shared" si="104"/>
        <v>44439</v>
      </c>
      <c r="Z951">
        <v>0.1429</v>
      </c>
    </row>
    <row r="952" spans="1:26" x14ac:dyDescent="0.35">
      <c r="A952" t="s">
        <v>959</v>
      </c>
      <c r="B952" t="str">
        <f t="shared" si="98"/>
        <v>OK</v>
      </c>
      <c r="C952" t="s">
        <v>2447</v>
      </c>
      <c r="D952" s="2">
        <v>56</v>
      </c>
      <c r="E952">
        <f>IF(OR(D952&lt;18, D952&gt;100),AD951,D952)</f>
        <v>56</v>
      </c>
      <c r="F952" t="s">
        <v>2990</v>
      </c>
      <c r="G952" t="str">
        <f t="shared" si="99"/>
        <v>Male</v>
      </c>
      <c r="H952" t="s">
        <v>3002</v>
      </c>
      <c r="I952" t="s">
        <v>3021</v>
      </c>
      <c r="K952" t="str">
        <f t="shared" si="100"/>
        <v>Unemployed</v>
      </c>
      <c r="L952">
        <v>27</v>
      </c>
      <c r="M952">
        <v>1972725</v>
      </c>
      <c r="N952">
        <f t="shared" si="101"/>
        <v>1972725</v>
      </c>
      <c r="O952">
        <v>113330</v>
      </c>
      <c r="P952">
        <v>12.03</v>
      </c>
      <c r="Q952">
        <v>12</v>
      </c>
      <c r="R952" t="s">
        <v>3049</v>
      </c>
      <c r="S952" t="str">
        <f t="shared" si="102"/>
        <v>Business</v>
      </c>
      <c r="T952">
        <v>355</v>
      </c>
      <c r="U952">
        <f t="shared" si="103"/>
        <v>355</v>
      </c>
      <c r="V952">
        <v>4</v>
      </c>
      <c r="W952" t="s">
        <v>3054</v>
      </c>
      <c r="X952" s="3" t="s">
        <v>3292</v>
      </c>
      <c r="Y952" s="3">
        <f t="shared" si="104"/>
        <v>45196</v>
      </c>
      <c r="Z952">
        <v>5.74E-2</v>
      </c>
    </row>
    <row r="953" spans="1:26" x14ac:dyDescent="0.35">
      <c r="A953" t="s">
        <v>960</v>
      </c>
      <c r="B953" t="str">
        <f t="shared" si="98"/>
        <v>OK</v>
      </c>
      <c r="C953" t="s">
        <v>2448</v>
      </c>
      <c r="D953" s="2">
        <v>41</v>
      </c>
      <c r="E953">
        <f>IF(OR(D953&lt;18, D953&gt;100),AD952,D953)</f>
        <v>41</v>
      </c>
      <c r="F953" t="s">
        <v>2990</v>
      </c>
      <c r="G953" t="str">
        <f t="shared" si="99"/>
        <v>Male</v>
      </c>
      <c r="H953" t="s">
        <v>2998</v>
      </c>
      <c r="I953" t="s">
        <v>3018</v>
      </c>
      <c r="K953" t="str">
        <f t="shared" si="100"/>
        <v>Business Owner</v>
      </c>
      <c r="L953">
        <v>28</v>
      </c>
      <c r="M953">
        <v>2126793</v>
      </c>
      <c r="N953">
        <f t="shared" si="101"/>
        <v>2126793</v>
      </c>
      <c r="O953">
        <v>224535</v>
      </c>
      <c r="P953">
        <v>17.72</v>
      </c>
      <c r="Q953">
        <v>12</v>
      </c>
      <c r="R953" t="s">
        <v>3046</v>
      </c>
      <c r="S953" t="str">
        <f t="shared" si="102"/>
        <v>Medical</v>
      </c>
      <c r="T953">
        <v>647</v>
      </c>
      <c r="U953">
        <f t="shared" si="103"/>
        <v>647</v>
      </c>
      <c r="V953">
        <v>6</v>
      </c>
      <c r="W953" t="s">
        <v>3056</v>
      </c>
      <c r="X953" s="3" t="s">
        <v>3802</v>
      </c>
      <c r="Y953" s="3">
        <f t="shared" si="104"/>
        <v>44271</v>
      </c>
      <c r="Z953">
        <v>0.1056</v>
      </c>
    </row>
    <row r="954" spans="1:26" x14ac:dyDescent="0.35">
      <c r="A954" t="s">
        <v>961</v>
      </c>
      <c r="B954" t="str">
        <f t="shared" si="98"/>
        <v>OK</v>
      </c>
      <c r="C954" t="s">
        <v>2449</v>
      </c>
      <c r="D954" s="2">
        <v>44</v>
      </c>
      <c r="E954">
        <f>IF(OR(D954&lt;18, D954&gt;100),AD953,D954)</f>
        <v>44</v>
      </c>
      <c r="F954" t="s">
        <v>2992</v>
      </c>
      <c r="G954" t="str">
        <f t="shared" si="99"/>
        <v>Female</v>
      </c>
      <c r="H954" t="s">
        <v>2999</v>
      </c>
      <c r="I954" t="s">
        <v>3020</v>
      </c>
      <c r="K954" t="str">
        <f t="shared" si="100"/>
        <v>Self-Employed</v>
      </c>
      <c r="L954">
        <v>9</v>
      </c>
      <c r="M954">
        <v>901001</v>
      </c>
      <c r="N954">
        <f t="shared" si="101"/>
        <v>901001</v>
      </c>
      <c r="O954">
        <v>433523</v>
      </c>
      <c r="P954">
        <v>15.99</v>
      </c>
      <c r="Q954">
        <v>36</v>
      </c>
      <c r="R954" t="s">
        <v>3050</v>
      </c>
      <c r="S954" t="str">
        <f t="shared" si="102"/>
        <v>Agriculture</v>
      </c>
      <c r="T954">
        <v>737</v>
      </c>
      <c r="U954">
        <f t="shared" si="103"/>
        <v>737</v>
      </c>
      <c r="V954">
        <v>3</v>
      </c>
      <c r="W954" t="s">
        <v>3053</v>
      </c>
      <c r="X954" s="3" t="s">
        <v>3803</v>
      </c>
      <c r="Y954" s="3">
        <f t="shared" si="104"/>
        <v>43870</v>
      </c>
      <c r="Z954">
        <v>0.48120000000000002</v>
      </c>
    </row>
    <row r="955" spans="1:26" x14ac:dyDescent="0.35">
      <c r="A955" t="s">
        <v>962</v>
      </c>
      <c r="B955" t="str">
        <f t="shared" si="98"/>
        <v>OK</v>
      </c>
      <c r="C955" t="s">
        <v>2450</v>
      </c>
      <c r="D955" s="2">
        <v>48</v>
      </c>
      <c r="E955">
        <f>IF(OR(D955&lt;18, D955&gt;100),AD954,D955)</f>
        <v>48</v>
      </c>
      <c r="F955" t="s">
        <v>2992</v>
      </c>
      <c r="G955" t="str">
        <f t="shared" si="99"/>
        <v>Female</v>
      </c>
      <c r="H955" t="s">
        <v>3017</v>
      </c>
      <c r="I955" t="s">
        <v>3019</v>
      </c>
      <c r="K955" t="str">
        <f t="shared" si="100"/>
        <v>Employed</v>
      </c>
      <c r="L955">
        <v>21</v>
      </c>
      <c r="M955">
        <v>2020083</v>
      </c>
      <c r="N955">
        <f t="shared" si="101"/>
        <v>2020083</v>
      </c>
      <c r="O955">
        <v>217097</v>
      </c>
      <c r="P955">
        <v>11.36</v>
      </c>
      <c r="Q955">
        <v>36</v>
      </c>
      <c r="R955" t="s">
        <v>3049</v>
      </c>
      <c r="S955" t="str">
        <f t="shared" si="102"/>
        <v>Business</v>
      </c>
      <c r="T955">
        <v>379</v>
      </c>
      <c r="U955">
        <f t="shared" si="103"/>
        <v>379</v>
      </c>
      <c r="V955">
        <v>7</v>
      </c>
      <c r="W955" t="s">
        <v>3057</v>
      </c>
      <c r="X955" s="3" t="s">
        <v>3680</v>
      </c>
      <c r="Y955" s="3">
        <f t="shared" si="104"/>
        <v>44959</v>
      </c>
      <c r="Z955">
        <v>0.1075</v>
      </c>
    </row>
    <row r="956" spans="1:26" x14ac:dyDescent="0.35">
      <c r="A956" t="s">
        <v>963</v>
      </c>
      <c r="B956" t="str">
        <f t="shared" si="98"/>
        <v>OK</v>
      </c>
      <c r="C956" t="s">
        <v>2451</v>
      </c>
      <c r="D956" s="2">
        <v>50</v>
      </c>
      <c r="E956">
        <f>IF(OR(D956&lt;18, D956&gt;100),AD955,D956)</f>
        <v>50</v>
      </c>
      <c r="G956" t="str">
        <f t="shared" si="99"/>
        <v>Unknown</v>
      </c>
      <c r="H956" t="s">
        <v>2998</v>
      </c>
      <c r="I956" t="s">
        <v>3020</v>
      </c>
      <c r="K956" t="str">
        <f t="shared" si="100"/>
        <v>Self-Employed</v>
      </c>
      <c r="L956">
        <v>7</v>
      </c>
      <c r="M956">
        <v>2049059</v>
      </c>
      <c r="N956">
        <f t="shared" si="101"/>
        <v>2049059</v>
      </c>
      <c r="O956">
        <v>33261</v>
      </c>
      <c r="P956">
        <v>16.37</v>
      </c>
      <c r="Q956">
        <v>36</v>
      </c>
      <c r="R956" t="s">
        <v>3047</v>
      </c>
      <c r="S956" t="str">
        <f t="shared" si="102"/>
        <v>Personal</v>
      </c>
      <c r="T956">
        <v>650</v>
      </c>
      <c r="U956">
        <f t="shared" si="103"/>
        <v>650</v>
      </c>
      <c r="V956">
        <v>1</v>
      </c>
      <c r="W956" t="s">
        <v>3057</v>
      </c>
      <c r="X956" s="3" t="s">
        <v>3804</v>
      </c>
      <c r="Y956" s="3">
        <f t="shared" si="104"/>
        <v>44385</v>
      </c>
      <c r="Z956">
        <v>1.6199999999999999E-2</v>
      </c>
    </row>
    <row r="957" spans="1:26" x14ac:dyDescent="0.35">
      <c r="A957" t="s">
        <v>964</v>
      </c>
      <c r="B957" t="str">
        <f t="shared" ref="B957:B1020" si="105">IF(A957="", "MISSING", "OK")</f>
        <v>OK</v>
      </c>
      <c r="C957" t="s">
        <v>2452</v>
      </c>
      <c r="D957" s="2">
        <v>26</v>
      </c>
      <c r="E957">
        <f>IF(OR(D957&lt;18, D957&gt;100),AD956,D957)</f>
        <v>26</v>
      </c>
      <c r="F957" t="s">
        <v>2990</v>
      </c>
      <c r="G957" t="str">
        <f t="shared" si="99"/>
        <v>Male</v>
      </c>
      <c r="H957" t="s">
        <v>3002</v>
      </c>
      <c r="I957" t="s">
        <v>3021</v>
      </c>
      <c r="K957" t="str">
        <f t="shared" si="100"/>
        <v>Unemployed</v>
      </c>
      <c r="L957">
        <v>10</v>
      </c>
      <c r="M957">
        <v>2172825</v>
      </c>
      <c r="N957">
        <f t="shared" si="101"/>
        <v>2172825</v>
      </c>
      <c r="O957">
        <v>548714</v>
      </c>
      <c r="P957">
        <v>13.06</v>
      </c>
      <c r="Q957">
        <v>24</v>
      </c>
      <c r="R957" t="s">
        <v>3046</v>
      </c>
      <c r="S957" t="str">
        <f t="shared" si="102"/>
        <v>Medical</v>
      </c>
      <c r="T957">
        <v>566</v>
      </c>
      <c r="U957">
        <f t="shared" si="103"/>
        <v>566</v>
      </c>
      <c r="V957">
        <v>6</v>
      </c>
      <c r="W957" t="s">
        <v>3053</v>
      </c>
      <c r="X957" s="3" t="s">
        <v>3805</v>
      </c>
      <c r="Y957" s="3">
        <f t="shared" si="104"/>
        <v>44890</v>
      </c>
      <c r="Z957">
        <v>0.2525</v>
      </c>
    </row>
    <row r="958" spans="1:26" x14ac:dyDescent="0.35">
      <c r="A958" t="s">
        <v>965</v>
      </c>
      <c r="B958" t="str">
        <f t="shared" si="105"/>
        <v>OK</v>
      </c>
      <c r="C958" t="s">
        <v>2453</v>
      </c>
      <c r="D958" s="2">
        <v>34</v>
      </c>
      <c r="E958">
        <f>IF(OR(D958&lt;18, D958&gt;100),AD957,D958)</f>
        <v>34</v>
      </c>
      <c r="G958" t="str">
        <f t="shared" si="99"/>
        <v>Unknown</v>
      </c>
      <c r="H958" t="s">
        <v>3002</v>
      </c>
      <c r="I958" t="s">
        <v>3020</v>
      </c>
      <c r="K958" t="str">
        <f t="shared" si="100"/>
        <v>Self-Employed</v>
      </c>
      <c r="L958">
        <v>26</v>
      </c>
      <c r="M958">
        <v>1955922</v>
      </c>
      <c r="N958">
        <f t="shared" si="101"/>
        <v>1955922</v>
      </c>
      <c r="O958">
        <v>523516</v>
      </c>
      <c r="P958">
        <v>8.94</v>
      </c>
      <c r="Q958">
        <v>60</v>
      </c>
      <c r="R958" t="s">
        <v>3046</v>
      </c>
      <c r="S958" t="str">
        <f t="shared" si="102"/>
        <v>Medical</v>
      </c>
      <c r="T958">
        <v>347</v>
      </c>
      <c r="U958">
        <f t="shared" si="103"/>
        <v>347</v>
      </c>
      <c r="V958">
        <v>3</v>
      </c>
      <c r="W958" t="s">
        <v>3052</v>
      </c>
      <c r="X958" s="3" t="s">
        <v>3806</v>
      </c>
      <c r="Y958" s="3">
        <f t="shared" si="104"/>
        <v>44658</v>
      </c>
      <c r="Z958">
        <v>0.26769999999999999</v>
      </c>
    </row>
    <row r="959" spans="1:26" x14ac:dyDescent="0.35">
      <c r="A959" t="s">
        <v>966</v>
      </c>
      <c r="B959" t="str">
        <f t="shared" si="105"/>
        <v>OK</v>
      </c>
      <c r="C959" t="s">
        <v>2454</v>
      </c>
      <c r="D959" s="2">
        <v>56</v>
      </c>
      <c r="E959">
        <f>IF(OR(D959&lt;18, D959&gt;100),AD958,D959)</f>
        <v>56</v>
      </c>
      <c r="F959" t="s">
        <v>2992</v>
      </c>
      <c r="G959" t="str">
        <f t="shared" si="99"/>
        <v>Female</v>
      </c>
      <c r="H959" t="s">
        <v>2998</v>
      </c>
      <c r="I959" t="s">
        <v>3018</v>
      </c>
      <c r="K959" t="str">
        <f t="shared" si="100"/>
        <v>Business Owner</v>
      </c>
      <c r="L959">
        <v>16</v>
      </c>
      <c r="M959">
        <v>1948967</v>
      </c>
      <c r="N959">
        <f t="shared" si="101"/>
        <v>1948967</v>
      </c>
      <c r="O959">
        <v>515413</v>
      </c>
      <c r="P959">
        <v>18.010000000000002</v>
      </c>
      <c r="Q959">
        <v>60</v>
      </c>
      <c r="R959" t="s">
        <v>3050</v>
      </c>
      <c r="S959" t="str">
        <f t="shared" si="102"/>
        <v>Agriculture</v>
      </c>
      <c r="T959">
        <v>359</v>
      </c>
      <c r="U959">
        <f t="shared" si="103"/>
        <v>359</v>
      </c>
      <c r="V959">
        <v>5</v>
      </c>
      <c r="W959" t="s">
        <v>3056</v>
      </c>
      <c r="X959" s="3" t="s">
        <v>3691</v>
      </c>
      <c r="Y959" s="3">
        <f t="shared" si="104"/>
        <v>44491</v>
      </c>
      <c r="Z959">
        <v>0.26450000000000001</v>
      </c>
    </row>
    <row r="960" spans="1:26" x14ac:dyDescent="0.35">
      <c r="A960" t="s">
        <v>967</v>
      </c>
      <c r="B960" t="str">
        <f t="shared" si="105"/>
        <v>OK</v>
      </c>
      <c r="C960" t="s">
        <v>2455</v>
      </c>
      <c r="D960" s="2">
        <v>30</v>
      </c>
      <c r="E960">
        <f>IF(OR(D960&lt;18, D960&gt;100),AD959,D960)</f>
        <v>30</v>
      </c>
      <c r="F960" t="s">
        <v>2990</v>
      </c>
      <c r="G960" t="str">
        <f t="shared" si="99"/>
        <v>Male</v>
      </c>
      <c r="H960" t="s">
        <v>3003</v>
      </c>
      <c r="I960" t="s">
        <v>3018</v>
      </c>
      <c r="K960" t="str">
        <f t="shared" si="100"/>
        <v>Business Owner</v>
      </c>
      <c r="L960">
        <v>6</v>
      </c>
      <c r="M960">
        <v>2345251</v>
      </c>
      <c r="N960">
        <f t="shared" si="101"/>
        <v>2345251</v>
      </c>
      <c r="O960">
        <v>725191</v>
      </c>
      <c r="P960">
        <v>19.57</v>
      </c>
      <c r="Q960">
        <v>60</v>
      </c>
      <c r="R960" t="s">
        <v>3046</v>
      </c>
      <c r="S960" t="str">
        <f t="shared" si="102"/>
        <v>Medical</v>
      </c>
      <c r="T960">
        <v>796</v>
      </c>
      <c r="U960">
        <f t="shared" si="103"/>
        <v>796</v>
      </c>
      <c r="V960">
        <v>3</v>
      </c>
      <c r="W960" t="s">
        <v>3052</v>
      </c>
      <c r="X960" s="3" t="s">
        <v>3807</v>
      </c>
      <c r="Y960" s="3">
        <f t="shared" si="104"/>
        <v>45153</v>
      </c>
      <c r="Z960">
        <v>0.30919999999999997</v>
      </c>
    </row>
    <row r="961" spans="1:26" x14ac:dyDescent="0.35">
      <c r="A961" t="s">
        <v>968</v>
      </c>
      <c r="B961" t="str">
        <f t="shared" si="105"/>
        <v>OK</v>
      </c>
      <c r="C961" t="s">
        <v>2456</v>
      </c>
      <c r="D961" s="2">
        <v>47</v>
      </c>
      <c r="E961">
        <f>IF(OR(D961&lt;18, D961&gt;100),AD960,D961)</f>
        <v>47</v>
      </c>
      <c r="F961" t="s">
        <v>2992</v>
      </c>
      <c r="G961" t="str">
        <f t="shared" si="99"/>
        <v>Female</v>
      </c>
      <c r="H961" t="s">
        <v>2999</v>
      </c>
      <c r="I961" t="s">
        <v>3020</v>
      </c>
      <c r="K961" t="str">
        <f t="shared" si="100"/>
        <v>Self-Employed</v>
      </c>
      <c r="L961">
        <v>25</v>
      </c>
      <c r="M961">
        <v>533299</v>
      </c>
      <c r="N961">
        <f t="shared" si="101"/>
        <v>533299</v>
      </c>
      <c r="O961">
        <v>591441</v>
      </c>
      <c r="P961">
        <v>13.02</v>
      </c>
      <c r="Q961">
        <v>36</v>
      </c>
      <c r="R961" t="s">
        <v>3046</v>
      </c>
      <c r="S961" t="str">
        <f t="shared" si="102"/>
        <v>Medical</v>
      </c>
      <c r="T961">
        <v>452</v>
      </c>
      <c r="U961">
        <f t="shared" si="103"/>
        <v>452</v>
      </c>
      <c r="V961">
        <v>1</v>
      </c>
      <c r="W961" t="s">
        <v>3053</v>
      </c>
      <c r="X961" s="3" t="s">
        <v>3808</v>
      </c>
      <c r="Y961" s="3">
        <f t="shared" si="104"/>
        <v>44415</v>
      </c>
      <c r="Z961">
        <v>1.109</v>
      </c>
    </row>
    <row r="962" spans="1:26" x14ac:dyDescent="0.35">
      <c r="A962" t="s">
        <v>969</v>
      </c>
      <c r="B962" t="str">
        <f t="shared" si="105"/>
        <v>OK</v>
      </c>
      <c r="C962" t="s">
        <v>2457</v>
      </c>
      <c r="D962" s="2">
        <v>25</v>
      </c>
      <c r="E962">
        <f>IF(OR(D962&lt;18, D962&gt;100),AD961,D962)</f>
        <v>25</v>
      </c>
      <c r="F962" t="s">
        <v>2990</v>
      </c>
      <c r="G962" t="str">
        <f t="shared" si="99"/>
        <v>Male</v>
      </c>
      <c r="H962" t="s">
        <v>3006</v>
      </c>
      <c r="I962" t="s">
        <v>3020</v>
      </c>
      <c r="K962" t="str">
        <f t="shared" si="100"/>
        <v>Self-Employed</v>
      </c>
      <c r="L962">
        <v>5</v>
      </c>
      <c r="M962">
        <v>219279</v>
      </c>
      <c r="N962">
        <f t="shared" si="101"/>
        <v>219279</v>
      </c>
      <c r="O962">
        <v>309134</v>
      </c>
      <c r="P962">
        <v>8.44</v>
      </c>
      <c r="Q962">
        <v>48</v>
      </c>
      <c r="R962" t="s">
        <v>3051</v>
      </c>
      <c r="S962" t="str">
        <f t="shared" si="102"/>
        <v>Education</v>
      </c>
      <c r="T962">
        <v>362</v>
      </c>
      <c r="U962">
        <f t="shared" si="103"/>
        <v>362</v>
      </c>
      <c r="V962">
        <v>3</v>
      </c>
      <c r="W962" t="s">
        <v>3052</v>
      </c>
      <c r="X962" s="3" t="s">
        <v>3809</v>
      </c>
      <c r="Y962" s="3">
        <f t="shared" si="104"/>
        <v>44347</v>
      </c>
      <c r="Z962">
        <v>1.4097999999999999</v>
      </c>
    </row>
    <row r="963" spans="1:26" x14ac:dyDescent="0.35">
      <c r="A963" t="s">
        <v>970</v>
      </c>
      <c r="B963" t="str">
        <f t="shared" si="105"/>
        <v>OK</v>
      </c>
      <c r="C963" t="s">
        <v>2458</v>
      </c>
      <c r="D963" s="2">
        <v>36</v>
      </c>
      <c r="E963">
        <f>IF(OR(D963&lt;18, D963&gt;100),AD962,D963)</f>
        <v>36</v>
      </c>
      <c r="F963" t="s">
        <v>2990</v>
      </c>
      <c r="G963" t="str">
        <f t="shared" ref="G963:G1026" si="106">IF(F963="", "Unknown", IF(OR(F963="F", F963="FEMALE", F963="Female"), "Female", IF(OR(F963="M", F963="MALE", F963="Male"), "Male", "Other")))</f>
        <v>Male</v>
      </c>
      <c r="H963" t="s">
        <v>3000</v>
      </c>
      <c r="I963" t="s">
        <v>3019</v>
      </c>
      <c r="K963" t="str">
        <f t="shared" ref="K963:K1026" si="107">IF(I963="", "Unknown", I963)</f>
        <v>Employed</v>
      </c>
      <c r="L963">
        <v>25</v>
      </c>
      <c r="M963">
        <v>812259</v>
      </c>
      <c r="N963">
        <f t="shared" ref="N963:N1026" si="108">IF(OR(M963="",M963&lt;0),$AD$3,M963)</f>
        <v>812259</v>
      </c>
      <c r="O963">
        <v>289956</v>
      </c>
      <c r="P963">
        <v>23.88</v>
      </c>
      <c r="Q963">
        <v>36</v>
      </c>
      <c r="R963" t="s">
        <v>3051</v>
      </c>
      <c r="S963" t="str">
        <f t="shared" ref="S963:S1026" si="109">IF(R963="", "Unknown", R963)</f>
        <v>Education</v>
      </c>
      <c r="T963">
        <v>341</v>
      </c>
      <c r="U963">
        <f t="shared" ref="U963:U1026" si="110">IF(OR(T963="",T963&gt;999),$AD$2,T963)</f>
        <v>341</v>
      </c>
      <c r="V963">
        <v>2</v>
      </c>
      <c r="W963" t="s">
        <v>3053</v>
      </c>
      <c r="X963" s="3" t="s">
        <v>3810</v>
      </c>
      <c r="Y963" s="3">
        <f t="shared" ref="Y963:Y1026" si="111">IF(ISNUMBER(X963), X963, DATEVALUE(X963))</f>
        <v>44962</v>
      </c>
      <c r="Z963">
        <v>0.35699999999999998</v>
      </c>
    </row>
    <row r="964" spans="1:26" x14ac:dyDescent="0.35">
      <c r="A964" t="s">
        <v>971</v>
      </c>
      <c r="B964" t="str">
        <f t="shared" si="105"/>
        <v>OK</v>
      </c>
      <c r="C964" t="s">
        <v>2459</v>
      </c>
      <c r="D964" s="2">
        <v>59</v>
      </c>
      <c r="E964">
        <f>IF(OR(D964&lt;18, D964&gt;100),AD963,D964)</f>
        <v>59</v>
      </c>
      <c r="F964" t="s">
        <v>2990</v>
      </c>
      <c r="G964" t="str">
        <f t="shared" si="106"/>
        <v>Male</v>
      </c>
      <c r="H964" t="s">
        <v>3007</v>
      </c>
      <c r="I964" t="s">
        <v>3021</v>
      </c>
      <c r="K964" t="str">
        <f t="shared" si="107"/>
        <v>Unemployed</v>
      </c>
      <c r="L964">
        <v>9</v>
      </c>
      <c r="M964">
        <v>1421968</v>
      </c>
      <c r="N964">
        <f t="shared" si="108"/>
        <v>1421968</v>
      </c>
      <c r="O964">
        <v>423551</v>
      </c>
      <c r="P964">
        <v>22.52</v>
      </c>
      <c r="Q964">
        <v>48</v>
      </c>
      <c r="R964" t="s">
        <v>3049</v>
      </c>
      <c r="S964" t="str">
        <f t="shared" si="109"/>
        <v>Business</v>
      </c>
      <c r="T964">
        <v>316</v>
      </c>
      <c r="U964">
        <f t="shared" si="110"/>
        <v>316</v>
      </c>
      <c r="V964">
        <v>5</v>
      </c>
      <c r="W964" t="s">
        <v>3053</v>
      </c>
      <c r="X964" s="3" t="s">
        <v>3811</v>
      </c>
      <c r="Y964" s="3">
        <f t="shared" si="111"/>
        <v>44081</v>
      </c>
      <c r="Z964">
        <v>0.2979</v>
      </c>
    </row>
    <row r="965" spans="1:26" x14ac:dyDescent="0.35">
      <c r="A965" t="s">
        <v>972</v>
      </c>
      <c r="B965" t="str">
        <f t="shared" si="105"/>
        <v>OK</v>
      </c>
      <c r="C965" t="s">
        <v>2460</v>
      </c>
      <c r="D965" s="2">
        <v>32</v>
      </c>
      <c r="E965">
        <f>IF(OR(D965&lt;18, D965&gt;100),AD964,D965)</f>
        <v>32</v>
      </c>
      <c r="F965" t="s">
        <v>2993</v>
      </c>
      <c r="G965" t="str">
        <f t="shared" si="106"/>
        <v>Male</v>
      </c>
      <c r="H965" t="s">
        <v>2999</v>
      </c>
      <c r="I965" t="s">
        <v>3021</v>
      </c>
      <c r="K965" t="str">
        <f t="shared" si="107"/>
        <v>Unemployed</v>
      </c>
      <c r="L965">
        <v>19</v>
      </c>
      <c r="M965">
        <v>298413</v>
      </c>
      <c r="N965">
        <f t="shared" si="108"/>
        <v>298413</v>
      </c>
      <c r="O965">
        <v>162180</v>
      </c>
      <c r="P965">
        <v>10.07</v>
      </c>
      <c r="Q965">
        <v>60</v>
      </c>
      <c r="R965" t="s">
        <v>3049</v>
      </c>
      <c r="S965" t="str">
        <f t="shared" si="109"/>
        <v>Business</v>
      </c>
      <c r="T965">
        <v>616</v>
      </c>
      <c r="U965">
        <f t="shared" si="110"/>
        <v>616</v>
      </c>
      <c r="V965">
        <v>3</v>
      </c>
      <c r="W965" t="s">
        <v>3054</v>
      </c>
      <c r="X965" s="3" t="s">
        <v>3812</v>
      </c>
      <c r="Y965" s="3">
        <f t="shared" si="111"/>
        <v>45192</v>
      </c>
      <c r="Z965">
        <v>0.54349999999999998</v>
      </c>
    </row>
    <row r="966" spans="1:26" x14ac:dyDescent="0.35">
      <c r="A966" t="s">
        <v>973</v>
      </c>
      <c r="B966" t="str">
        <f t="shared" si="105"/>
        <v>OK</v>
      </c>
      <c r="C966" t="s">
        <v>2461</v>
      </c>
      <c r="D966" s="2">
        <v>53</v>
      </c>
      <c r="E966">
        <f>IF(OR(D966&lt;18, D966&gt;100),AD965,D966)</f>
        <v>53</v>
      </c>
      <c r="F966" t="s">
        <v>2990</v>
      </c>
      <c r="G966" t="str">
        <f t="shared" si="106"/>
        <v>Male</v>
      </c>
      <c r="H966" t="s">
        <v>3006</v>
      </c>
      <c r="I966" t="s">
        <v>3018</v>
      </c>
      <c r="K966" t="str">
        <f t="shared" si="107"/>
        <v>Business Owner</v>
      </c>
      <c r="L966">
        <v>11</v>
      </c>
      <c r="M966">
        <v>1388052</v>
      </c>
      <c r="N966">
        <f t="shared" si="108"/>
        <v>1388052</v>
      </c>
      <c r="O966">
        <v>657199</v>
      </c>
      <c r="P966">
        <v>8.7899999999999991</v>
      </c>
      <c r="Q966">
        <v>24</v>
      </c>
      <c r="R966" t="s">
        <v>3047</v>
      </c>
      <c r="S966" t="str">
        <f t="shared" si="109"/>
        <v>Personal</v>
      </c>
      <c r="T966">
        <v>767</v>
      </c>
      <c r="U966">
        <f t="shared" si="110"/>
        <v>767</v>
      </c>
      <c r="V966">
        <v>5</v>
      </c>
      <c r="W966" t="s">
        <v>3055</v>
      </c>
      <c r="X966" s="3" t="s">
        <v>3121</v>
      </c>
      <c r="Y966" s="3">
        <f t="shared" si="111"/>
        <v>44219</v>
      </c>
      <c r="Z966">
        <v>0.47349999999999998</v>
      </c>
    </row>
    <row r="967" spans="1:26" x14ac:dyDescent="0.35">
      <c r="A967" t="s">
        <v>974</v>
      </c>
      <c r="B967" t="str">
        <f t="shared" si="105"/>
        <v>OK</v>
      </c>
      <c r="C967" t="s">
        <v>2462</v>
      </c>
      <c r="D967" s="2">
        <v>50</v>
      </c>
      <c r="E967">
        <f>IF(OR(D967&lt;18, D967&gt;100),AD966,D967)</f>
        <v>50</v>
      </c>
      <c r="F967" t="s">
        <v>2992</v>
      </c>
      <c r="G967" t="str">
        <f t="shared" si="106"/>
        <v>Female</v>
      </c>
      <c r="H967" t="s">
        <v>3001</v>
      </c>
      <c r="I967" t="s">
        <v>3019</v>
      </c>
      <c r="K967" t="str">
        <f t="shared" si="107"/>
        <v>Employed</v>
      </c>
      <c r="L967">
        <v>1</v>
      </c>
      <c r="M967">
        <v>1559904</v>
      </c>
      <c r="N967">
        <f t="shared" si="108"/>
        <v>1559904</v>
      </c>
      <c r="O967">
        <v>392251</v>
      </c>
      <c r="P967">
        <v>13.12</v>
      </c>
      <c r="Q967">
        <v>60</v>
      </c>
      <c r="R967" t="s">
        <v>3048</v>
      </c>
      <c r="S967" t="str">
        <f t="shared" si="109"/>
        <v>Home Improvement</v>
      </c>
      <c r="T967">
        <v>675</v>
      </c>
      <c r="U967">
        <f t="shared" si="110"/>
        <v>675</v>
      </c>
      <c r="V967">
        <v>0</v>
      </c>
      <c r="W967" t="s">
        <v>3055</v>
      </c>
      <c r="X967" s="3" t="s">
        <v>3813</v>
      </c>
      <c r="Y967" s="3">
        <f t="shared" si="111"/>
        <v>45183</v>
      </c>
      <c r="Z967">
        <v>0.2515</v>
      </c>
    </row>
    <row r="968" spans="1:26" x14ac:dyDescent="0.35">
      <c r="A968" t="s">
        <v>975</v>
      </c>
      <c r="B968" t="str">
        <f t="shared" si="105"/>
        <v>OK</v>
      </c>
      <c r="C968" t="s">
        <v>1972</v>
      </c>
      <c r="D968" s="2">
        <v>50</v>
      </c>
      <c r="E968">
        <f>IF(OR(D968&lt;18, D968&gt;100),AD967,D968)</f>
        <v>50</v>
      </c>
      <c r="F968" t="s">
        <v>2990</v>
      </c>
      <c r="G968" t="str">
        <f t="shared" si="106"/>
        <v>Male</v>
      </c>
      <c r="H968" t="s">
        <v>3005</v>
      </c>
      <c r="I968" t="s">
        <v>3020</v>
      </c>
      <c r="K968" t="str">
        <f t="shared" si="107"/>
        <v>Self-Employed</v>
      </c>
      <c r="L968">
        <v>13</v>
      </c>
      <c r="M968">
        <v>2097043</v>
      </c>
      <c r="N968">
        <f t="shared" si="108"/>
        <v>2097043</v>
      </c>
      <c r="O968">
        <v>775675</v>
      </c>
      <c r="P968">
        <v>13.18</v>
      </c>
      <c r="Q968">
        <v>48</v>
      </c>
      <c r="R968" t="s">
        <v>3049</v>
      </c>
      <c r="S968" t="str">
        <f t="shared" si="109"/>
        <v>Business</v>
      </c>
      <c r="T968">
        <v>338</v>
      </c>
      <c r="U968">
        <f t="shared" si="110"/>
        <v>338</v>
      </c>
      <c r="V968">
        <v>4</v>
      </c>
      <c r="W968" t="s">
        <v>3052</v>
      </c>
      <c r="X968" s="3" t="s">
        <v>3814</v>
      </c>
      <c r="Y968" s="3">
        <f t="shared" si="111"/>
        <v>44396</v>
      </c>
      <c r="Z968">
        <v>0.36990000000000001</v>
      </c>
    </row>
    <row r="969" spans="1:26" x14ac:dyDescent="0.35">
      <c r="A969" t="s">
        <v>976</v>
      </c>
      <c r="B969" t="str">
        <f t="shared" si="105"/>
        <v>OK</v>
      </c>
      <c r="C969" t="s">
        <v>2463</v>
      </c>
      <c r="D969" s="2">
        <v>58</v>
      </c>
      <c r="E969">
        <f>IF(OR(D969&lt;18, D969&gt;100),AD968,D969)</f>
        <v>58</v>
      </c>
      <c r="F969" t="s">
        <v>2992</v>
      </c>
      <c r="G969" t="str">
        <f t="shared" si="106"/>
        <v>Female</v>
      </c>
      <c r="H969" t="s">
        <v>3000</v>
      </c>
      <c r="I969" t="s">
        <v>3021</v>
      </c>
      <c r="K969" t="str">
        <f t="shared" si="107"/>
        <v>Unemployed</v>
      </c>
      <c r="L969">
        <v>15</v>
      </c>
      <c r="M969">
        <v>1907408</v>
      </c>
      <c r="N969">
        <f t="shared" si="108"/>
        <v>1907408</v>
      </c>
      <c r="O969">
        <v>540616</v>
      </c>
      <c r="P969">
        <v>11.03</v>
      </c>
      <c r="Q969">
        <v>24</v>
      </c>
      <c r="R969" t="s">
        <v>3049</v>
      </c>
      <c r="S969" t="str">
        <f t="shared" si="109"/>
        <v>Business</v>
      </c>
      <c r="T969">
        <v>574</v>
      </c>
      <c r="U969">
        <f t="shared" si="110"/>
        <v>574</v>
      </c>
      <c r="V969">
        <v>0</v>
      </c>
      <c r="W969" t="s">
        <v>3054</v>
      </c>
      <c r="X969" s="3" t="s">
        <v>3251</v>
      </c>
      <c r="Y969" s="3">
        <f t="shared" si="111"/>
        <v>44659</v>
      </c>
      <c r="Z969">
        <v>0.28339999999999999</v>
      </c>
    </row>
    <row r="970" spans="1:26" x14ac:dyDescent="0.35">
      <c r="A970" t="s">
        <v>977</v>
      </c>
      <c r="B970" t="str">
        <f t="shared" si="105"/>
        <v>OK</v>
      </c>
      <c r="C970" t="s">
        <v>2464</v>
      </c>
      <c r="D970" s="2">
        <v>53</v>
      </c>
      <c r="E970">
        <f>IF(OR(D970&lt;18, D970&gt;100),AD969,D970)</f>
        <v>53</v>
      </c>
      <c r="F970" t="s">
        <v>2992</v>
      </c>
      <c r="G970" t="str">
        <f t="shared" si="106"/>
        <v>Female</v>
      </c>
      <c r="H970" t="s">
        <v>2998</v>
      </c>
      <c r="I970" t="s">
        <v>3021</v>
      </c>
      <c r="K970" t="str">
        <f t="shared" si="107"/>
        <v>Unemployed</v>
      </c>
      <c r="L970">
        <v>18</v>
      </c>
      <c r="M970">
        <v>976657</v>
      </c>
      <c r="N970">
        <f t="shared" si="108"/>
        <v>976657</v>
      </c>
      <c r="O970">
        <v>512402</v>
      </c>
      <c r="P970">
        <v>21.76</v>
      </c>
      <c r="Q970">
        <v>12</v>
      </c>
      <c r="R970" t="s">
        <v>3046</v>
      </c>
      <c r="S970" t="str">
        <f t="shared" si="109"/>
        <v>Medical</v>
      </c>
      <c r="T970">
        <v>501</v>
      </c>
      <c r="U970">
        <f t="shared" si="110"/>
        <v>501</v>
      </c>
      <c r="V970">
        <v>1</v>
      </c>
      <c r="W970" t="s">
        <v>3054</v>
      </c>
      <c r="X970" s="3" t="s">
        <v>3815</v>
      </c>
      <c r="Y970" s="3">
        <f t="shared" si="111"/>
        <v>44211</v>
      </c>
      <c r="Z970">
        <v>0.52459999999999996</v>
      </c>
    </row>
    <row r="971" spans="1:26" x14ac:dyDescent="0.35">
      <c r="A971" t="s">
        <v>978</v>
      </c>
      <c r="B971" t="str">
        <f t="shared" si="105"/>
        <v>OK</v>
      </c>
      <c r="C971" t="s">
        <v>2465</v>
      </c>
      <c r="D971" s="2">
        <v>57</v>
      </c>
      <c r="E971">
        <f>IF(OR(D971&lt;18, D971&gt;100),AD970,D971)</f>
        <v>57</v>
      </c>
      <c r="F971" t="s">
        <v>2990</v>
      </c>
      <c r="G971" t="str">
        <f t="shared" si="106"/>
        <v>Male</v>
      </c>
      <c r="H971" t="s">
        <v>3002</v>
      </c>
      <c r="I971" t="s">
        <v>3021</v>
      </c>
      <c r="K971" t="str">
        <f t="shared" si="107"/>
        <v>Unemployed</v>
      </c>
      <c r="L971">
        <v>15</v>
      </c>
      <c r="M971">
        <v>1064056</v>
      </c>
      <c r="N971">
        <f t="shared" si="108"/>
        <v>1064056</v>
      </c>
      <c r="O971">
        <v>691009</v>
      </c>
      <c r="P971">
        <v>15.02</v>
      </c>
      <c r="Q971">
        <v>12</v>
      </c>
      <c r="R971" t="s">
        <v>3050</v>
      </c>
      <c r="S971" t="str">
        <f t="shared" si="109"/>
        <v>Agriculture</v>
      </c>
      <c r="T971">
        <v>720</v>
      </c>
      <c r="U971">
        <f t="shared" si="110"/>
        <v>720</v>
      </c>
      <c r="V971">
        <v>2</v>
      </c>
      <c r="W971" t="s">
        <v>3056</v>
      </c>
      <c r="X971" s="3" t="s">
        <v>3482</v>
      </c>
      <c r="Y971" s="3">
        <f t="shared" si="111"/>
        <v>44400</v>
      </c>
      <c r="Z971">
        <v>0.64939999999999998</v>
      </c>
    </row>
    <row r="972" spans="1:26" x14ac:dyDescent="0.35">
      <c r="A972" t="s">
        <v>979</v>
      </c>
      <c r="B972" t="str">
        <f t="shared" si="105"/>
        <v>OK</v>
      </c>
      <c r="C972" t="s">
        <v>2466</v>
      </c>
      <c r="D972" s="2">
        <v>54</v>
      </c>
      <c r="E972">
        <f>IF(OR(D972&lt;18, D972&gt;100),AD971,D972)</f>
        <v>54</v>
      </c>
      <c r="F972" t="s">
        <v>2992</v>
      </c>
      <c r="G972" t="str">
        <f t="shared" si="106"/>
        <v>Female</v>
      </c>
      <c r="H972" t="s">
        <v>3005</v>
      </c>
      <c r="I972" t="s">
        <v>3018</v>
      </c>
      <c r="K972" t="str">
        <f t="shared" si="107"/>
        <v>Business Owner</v>
      </c>
      <c r="L972">
        <v>20</v>
      </c>
      <c r="M972">
        <v>2027865</v>
      </c>
      <c r="N972">
        <f t="shared" si="108"/>
        <v>2027865</v>
      </c>
      <c r="O972">
        <v>611343</v>
      </c>
      <c r="P972">
        <v>13.55</v>
      </c>
      <c r="Q972">
        <v>48</v>
      </c>
      <c r="R972" t="s">
        <v>3051</v>
      </c>
      <c r="S972" t="str">
        <f t="shared" si="109"/>
        <v>Education</v>
      </c>
      <c r="T972">
        <v>656</v>
      </c>
      <c r="U972">
        <f t="shared" si="110"/>
        <v>656</v>
      </c>
      <c r="V972">
        <v>0</v>
      </c>
      <c r="W972" t="s">
        <v>3057</v>
      </c>
      <c r="X972" s="3" t="s">
        <v>3816</v>
      </c>
      <c r="Y972" s="3">
        <f t="shared" si="111"/>
        <v>44266</v>
      </c>
      <c r="Z972">
        <v>0.30149999999999999</v>
      </c>
    </row>
    <row r="973" spans="1:26" x14ac:dyDescent="0.35">
      <c r="A973" t="s">
        <v>980</v>
      </c>
      <c r="B973" t="str">
        <f t="shared" si="105"/>
        <v>OK</v>
      </c>
      <c r="C973" t="s">
        <v>2467</v>
      </c>
      <c r="D973" s="2">
        <v>61</v>
      </c>
      <c r="E973">
        <f>IF(OR(D973&lt;18, D973&gt;100),AD972,D973)</f>
        <v>61</v>
      </c>
      <c r="F973" t="s">
        <v>2992</v>
      </c>
      <c r="G973" t="str">
        <f t="shared" si="106"/>
        <v>Female</v>
      </c>
      <c r="H973" t="s">
        <v>3005</v>
      </c>
      <c r="I973" t="s">
        <v>3018</v>
      </c>
      <c r="K973" t="str">
        <f t="shared" si="107"/>
        <v>Business Owner</v>
      </c>
      <c r="L973">
        <v>29</v>
      </c>
      <c r="M973">
        <v>419017</v>
      </c>
      <c r="N973">
        <f t="shared" si="108"/>
        <v>419017</v>
      </c>
      <c r="O973">
        <v>267572</v>
      </c>
      <c r="P973">
        <v>26.3</v>
      </c>
      <c r="Q973">
        <v>60</v>
      </c>
      <c r="R973" t="s">
        <v>3047</v>
      </c>
      <c r="S973" t="str">
        <f t="shared" si="109"/>
        <v>Personal</v>
      </c>
      <c r="T973">
        <v>480</v>
      </c>
      <c r="U973">
        <f t="shared" si="110"/>
        <v>480</v>
      </c>
      <c r="V973">
        <v>7</v>
      </c>
      <c r="W973" t="s">
        <v>3053</v>
      </c>
      <c r="X973" s="3" t="s">
        <v>3817</v>
      </c>
      <c r="Y973" s="3">
        <f t="shared" si="111"/>
        <v>44798</v>
      </c>
      <c r="Z973">
        <v>0.63859999999999995</v>
      </c>
    </row>
    <row r="974" spans="1:26" x14ac:dyDescent="0.35">
      <c r="A974" t="s">
        <v>981</v>
      </c>
      <c r="B974" t="str">
        <f t="shared" si="105"/>
        <v>OK</v>
      </c>
      <c r="C974" t="s">
        <v>2468</v>
      </c>
      <c r="D974" s="2">
        <v>57</v>
      </c>
      <c r="E974">
        <f>IF(OR(D974&lt;18, D974&gt;100),AD973,D974)</f>
        <v>57</v>
      </c>
      <c r="G974" t="str">
        <f t="shared" si="106"/>
        <v>Unknown</v>
      </c>
      <c r="H974" t="s">
        <v>3006</v>
      </c>
      <c r="I974" t="s">
        <v>3021</v>
      </c>
      <c r="K974" t="str">
        <f t="shared" si="107"/>
        <v>Unemployed</v>
      </c>
      <c r="L974">
        <v>23</v>
      </c>
      <c r="M974">
        <v>843689</v>
      </c>
      <c r="N974">
        <f t="shared" si="108"/>
        <v>843689</v>
      </c>
      <c r="O974">
        <v>644624</v>
      </c>
      <c r="P974">
        <v>22.85</v>
      </c>
      <c r="Q974">
        <v>24</v>
      </c>
      <c r="R974" t="s">
        <v>3047</v>
      </c>
      <c r="S974" t="str">
        <f t="shared" si="109"/>
        <v>Personal</v>
      </c>
      <c r="T974">
        <v>674</v>
      </c>
      <c r="U974">
        <f t="shared" si="110"/>
        <v>674</v>
      </c>
      <c r="V974">
        <v>7</v>
      </c>
      <c r="W974" t="s">
        <v>3053</v>
      </c>
      <c r="X974" s="3" t="s">
        <v>3818</v>
      </c>
      <c r="Y974" s="3">
        <f t="shared" si="111"/>
        <v>45244</v>
      </c>
      <c r="Z974">
        <v>0.7641</v>
      </c>
    </row>
    <row r="975" spans="1:26" x14ac:dyDescent="0.35">
      <c r="A975" t="s">
        <v>982</v>
      </c>
      <c r="B975" t="str">
        <f t="shared" si="105"/>
        <v>OK</v>
      </c>
      <c r="C975" t="s">
        <v>2469</v>
      </c>
      <c r="D975" s="2">
        <v>29</v>
      </c>
      <c r="E975">
        <f>IF(OR(D975&lt;18, D975&gt;100),AD974,D975)</f>
        <v>29</v>
      </c>
      <c r="F975" t="s">
        <v>2990</v>
      </c>
      <c r="G975" t="str">
        <f t="shared" si="106"/>
        <v>Male</v>
      </c>
      <c r="H975" t="s">
        <v>3014</v>
      </c>
      <c r="I975" t="s">
        <v>3020</v>
      </c>
      <c r="K975" t="str">
        <f t="shared" si="107"/>
        <v>Self-Employed</v>
      </c>
      <c r="L975">
        <v>22</v>
      </c>
      <c r="M975">
        <v>1831143</v>
      </c>
      <c r="N975">
        <f t="shared" si="108"/>
        <v>1831143</v>
      </c>
      <c r="O975">
        <v>533951</v>
      </c>
      <c r="P975">
        <v>27.07</v>
      </c>
      <c r="Q975">
        <v>12</v>
      </c>
      <c r="R975" t="s">
        <v>3050</v>
      </c>
      <c r="S975" t="str">
        <f t="shared" si="109"/>
        <v>Agriculture</v>
      </c>
      <c r="T975">
        <v>340</v>
      </c>
      <c r="U975">
        <f t="shared" si="110"/>
        <v>340</v>
      </c>
      <c r="V975">
        <v>4</v>
      </c>
      <c r="W975" t="s">
        <v>3057</v>
      </c>
      <c r="X975" s="3" t="s">
        <v>3819</v>
      </c>
      <c r="Y975" s="3">
        <f t="shared" si="111"/>
        <v>44199</v>
      </c>
      <c r="Z975">
        <v>0.29160000000000003</v>
      </c>
    </row>
    <row r="976" spans="1:26" x14ac:dyDescent="0.35">
      <c r="A976" t="s">
        <v>983</v>
      </c>
      <c r="B976" t="str">
        <f t="shared" si="105"/>
        <v>OK</v>
      </c>
      <c r="C976" t="s">
        <v>2470</v>
      </c>
      <c r="D976" s="2">
        <v>40</v>
      </c>
      <c r="E976">
        <f>IF(OR(D976&lt;18, D976&gt;100),AD975,D976)</f>
        <v>40</v>
      </c>
      <c r="F976" t="s">
        <v>2990</v>
      </c>
      <c r="G976" t="str">
        <f t="shared" si="106"/>
        <v>Male</v>
      </c>
      <c r="H976" t="s">
        <v>2999</v>
      </c>
      <c r="I976" t="s">
        <v>3018</v>
      </c>
      <c r="K976" t="str">
        <f t="shared" si="107"/>
        <v>Business Owner</v>
      </c>
      <c r="L976">
        <v>5</v>
      </c>
      <c r="M976">
        <v>1594022</v>
      </c>
      <c r="N976">
        <f t="shared" si="108"/>
        <v>1594022</v>
      </c>
      <c r="O976">
        <v>81753</v>
      </c>
      <c r="P976">
        <v>9.83</v>
      </c>
      <c r="Q976">
        <v>24</v>
      </c>
      <c r="R976" t="s">
        <v>3051</v>
      </c>
      <c r="S976" t="str">
        <f t="shared" si="109"/>
        <v>Education</v>
      </c>
      <c r="T976">
        <v>467</v>
      </c>
      <c r="U976">
        <f t="shared" si="110"/>
        <v>467</v>
      </c>
      <c r="V976">
        <v>2</v>
      </c>
      <c r="W976" t="s">
        <v>3054</v>
      </c>
      <c r="X976" s="3" t="s">
        <v>3162</v>
      </c>
      <c r="Y976" s="3">
        <f t="shared" si="111"/>
        <v>44089</v>
      </c>
      <c r="Z976">
        <v>5.1299999999999998E-2</v>
      </c>
    </row>
    <row r="977" spans="1:26" x14ac:dyDescent="0.35">
      <c r="A977" t="s">
        <v>984</v>
      </c>
      <c r="B977" t="str">
        <f t="shared" si="105"/>
        <v>OK</v>
      </c>
      <c r="C977" t="s">
        <v>2471</v>
      </c>
      <c r="D977" s="2">
        <v>30</v>
      </c>
      <c r="E977">
        <f>IF(OR(D977&lt;18, D977&gt;100),AD976,D977)</f>
        <v>30</v>
      </c>
      <c r="F977" t="s">
        <v>2992</v>
      </c>
      <c r="G977" t="str">
        <f t="shared" si="106"/>
        <v>Female</v>
      </c>
      <c r="H977" t="s">
        <v>3007</v>
      </c>
      <c r="I977" t="s">
        <v>3019</v>
      </c>
      <c r="K977" t="str">
        <f t="shared" si="107"/>
        <v>Employed</v>
      </c>
      <c r="L977">
        <v>24</v>
      </c>
      <c r="M977">
        <v>2312786</v>
      </c>
      <c r="N977">
        <f t="shared" si="108"/>
        <v>2312786</v>
      </c>
      <c r="O977">
        <v>99818</v>
      </c>
      <c r="P977">
        <v>18.07</v>
      </c>
      <c r="Q977">
        <v>24</v>
      </c>
      <c r="R977" t="s">
        <v>3047</v>
      </c>
      <c r="S977" t="str">
        <f t="shared" si="109"/>
        <v>Personal</v>
      </c>
      <c r="T977">
        <v>540</v>
      </c>
      <c r="U977">
        <f t="shared" si="110"/>
        <v>540</v>
      </c>
      <c r="V977">
        <v>5</v>
      </c>
      <c r="W977" t="s">
        <v>3052</v>
      </c>
      <c r="X977" s="3" t="s">
        <v>3395</v>
      </c>
      <c r="Y977" s="3">
        <f t="shared" si="111"/>
        <v>44495</v>
      </c>
      <c r="Z977">
        <v>4.3200000000000002E-2</v>
      </c>
    </row>
    <row r="978" spans="1:26" x14ac:dyDescent="0.35">
      <c r="A978" t="s">
        <v>985</v>
      </c>
      <c r="B978" t="str">
        <f t="shared" si="105"/>
        <v>OK</v>
      </c>
      <c r="C978" t="s">
        <v>2472</v>
      </c>
      <c r="D978" s="2">
        <v>23</v>
      </c>
      <c r="E978">
        <f>IF(OR(D978&lt;18, D978&gt;100),AD977,D978)</f>
        <v>23</v>
      </c>
      <c r="F978" t="s">
        <v>2990</v>
      </c>
      <c r="G978" t="str">
        <f t="shared" si="106"/>
        <v>Male</v>
      </c>
      <c r="H978" t="s">
        <v>2999</v>
      </c>
      <c r="I978" t="s">
        <v>3018</v>
      </c>
      <c r="K978" t="str">
        <f t="shared" si="107"/>
        <v>Business Owner</v>
      </c>
      <c r="L978">
        <v>5</v>
      </c>
      <c r="M978">
        <v>1324620</v>
      </c>
      <c r="N978">
        <f t="shared" si="108"/>
        <v>1324620</v>
      </c>
      <c r="O978">
        <v>513992</v>
      </c>
      <c r="P978">
        <v>19.940000000000001</v>
      </c>
      <c r="Q978">
        <v>60</v>
      </c>
      <c r="R978" t="s">
        <v>3050</v>
      </c>
      <c r="S978" t="str">
        <f t="shared" si="109"/>
        <v>Agriculture</v>
      </c>
      <c r="T978">
        <v>385</v>
      </c>
      <c r="U978">
        <f t="shared" si="110"/>
        <v>385</v>
      </c>
      <c r="V978">
        <v>7</v>
      </c>
      <c r="W978" t="s">
        <v>3052</v>
      </c>
      <c r="X978" s="3" t="s">
        <v>3820</v>
      </c>
      <c r="Y978" s="3">
        <f t="shared" si="111"/>
        <v>44208</v>
      </c>
      <c r="Z978">
        <v>0.38800000000000001</v>
      </c>
    </row>
    <row r="979" spans="1:26" x14ac:dyDescent="0.35">
      <c r="A979" t="s">
        <v>986</v>
      </c>
      <c r="B979" t="str">
        <f t="shared" si="105"/>
        <v>OK</v>
      </c>
      <c r="C979" t="s">
        <v>2473</v>
      </c>
      <c r="D979" s="2">
        <v>38</v>
      </c>
      <c r="E979">
        <f>IF(OR(D979&lt;18, D979&gt;100),AD978,D979)</f>
        <v>38</v>
      </c>
      <c r="F979" t="s">
        <v>2990</v>
      </c>
      <c r="G979" t="str">
        <f t="shared" si="106"/>
        <v>Male</v>
      </c>
      <c r="H979" t="s">
        <v>2999</v>
      </c>
      <c r="I979" t="s">
        <v>3019</v>
      </c>
      <c r="K979" t="str">
        <f t="shared" si="107"/>
        <v>Employed</v>
      </c>
      <c r="L979">
        <v>17</v>
      </c>
      <c r="M979">
        <v>1861076</v>
      </c>
      <c r="N979">
        <f t="shared" si="108"/>
        <v>1861076</v>
      </c>
      <c r="O979">
        <v>74330</v>
      </c>
      <c r="P979">
        <v>24.41</v>
      </c>
      <c r="Q979">
        <v>12</v>
      </c>
      <c r="R979" t="s">
        <v>3049</v>
      </c>
      <c r="S979" t="str">
        <f t="shared" si="109"/>
        <v>Business</v>
      </c>
      <c r="T979">
        <v>387</v>
      </c>
      <c r="U979">
        <f t="shared" si="110"/>
        <v>387</v>
      </c>
      <c r="V979">
        <v>6</v>
      </c>
      <c r="W979" t="s">
        <v>3055</v>
      </c>
      <c r="X979" s="3" t="s">
        <v>3622</v>
      </c>
      <c r="Y979" s="3">
        <f t="shared" si="111"/>
        <v>45103</v>
      </c>
      <c r="Z979">
        <v>3.9899999999999998E-2</v>
      </c>
    </row>
    <row r="980" spans="1:26" x14ac:dyDescent="0.35">
      <c r="A980" t="s">
        <v>987</v>
      </c>
      <c r="B980" t="str">
        <f t="shared" si="105"/>
        <v>OK</v>
      </c>
      <c r="C980" t="s">
        <v>2474</v>
      </c>
      <c r="D980" s="2">
        <v>48</v>
      </c>
      <c r="E980">
        <f>IF(OR(D980&lt;18, D980&gt;100),AD979,D980)</f>
        <v>48</v>
      </c>
      <c r="F980" t="s">
        <v>2990</v>
      </c>
      <c r="G980" t="str">
        <f t="shared" si="106"/>
        <v>Male</v>
      </c>
      <c r="H980" t="s">
        <v>3000</v>
      </c>
      <c r="I980" t="s">
        <v>3019</v>
      </c>
      <c r="K980" t="str">
        <f t="shared" si="107"/>
        <v>Employed</v>
      </c>
      <c r="L980">
        <v>27</v>
      </c>
      <c r="M980">
        <v>2101277</v>
      </c>
      <c r="N980">
        <f t="shared" si="108"/>
        <v>2101277</v>
      </c>
      <c r="O980">
        <v>381447</v>
      </c>
      <c r="P980">
        <v>19.71</v>
      </c>
      <c r="Q980">
        <v>12</v>
      </c>
      <c r="R980" t="s">
        <v>3051</v>
      </c>
      <c r="S980" t="str">
        <f t="shared" si="109"/>
        <v>Education</v>
      </c>
      <c r="T980">
        <v>808</v>
      </c>
      <c r="U980">
        <f t="shared" si="110"/>
        <v>808</v>
      </c>
      <c r="V980">
        <v>3</v>
      </c>
      <c r="W980" t="s">
        <v>3054</v>
      </c>
      <c r="X980" s="3" t="s">
        <v>3821</v>
      </c>
      <c r="Y980" s="3">
        <f t="shared" si="111"/>
        <v>45256</v>
      </c>
      <c r="Z980">
        <v>0.18149999999999999</v>
      </c>
    </row>
    <row r="981" spans="1:26" x14ac:dyDescent="0.35">
      <c r="A981" t="s">
        <v>988</v>
      </c>
      <c r="B981" t="str">
        <f t="shared" si="105"/>
        <v>OK</v>
      </c>
      <c r="C981" t="s">
        <v>2475</v>
      </c>
      <c r="D981" s="2">
        <v>36</v>
      </c>
      <c r="E981">
        <f>IF(OR(D981&lt;18, D981&gt;100),AD980,D981)</f>
        <v>36</v>
      </c>
      <c r="F981" t="s">
        <v>2992</v>
      </c>
      <c r="G981" t="str">
        <f t="shared" si="106"/>
        <v>Female</v>
      </c>
      <c r="H981" t="s">
        <v>3000</v>
      </c>
      <c r="I981" t="s">
        <v>3020</v>
      </c>
      <c r="K981" t="str">
        <f t="shared" si="107"/>
        <v>Self-Employed</v>
      </c>
      <c r="L981">
        <v>16</v>
      </c>
      <c r="M981">
        <v>486094</v>
      </c>
      <c r="N981">
        <f t="shared" si="108"/>
        <v>486094</v>
      </c>
      <c r="O981">
        <v>391344</v>
      </c>
      <c r="P981">
        <v>9.02</v>
      </c>
      <c r="Q981">
        <v>24</v>
      </c>
      <c r="R981" t="s">
        <v>3048</v>
      </c>
      <c r="S981" t="str">
        <f t="shared" si="109"/>
        <v>Home Improvement</v>
      </c>
      <c r="T981">
        <v>648</v>
      </c>
      <c r="U981">
        <f t="shared" si="110"/>
        <v>648</v>
      </c>
      <c r="V981">
        <v>1</v>
      </c>
      <c r="W981" t="s">
        <v>3054</v>
      </c>
      <c r="X981" s="3" t="s">
        <v>3492</v>
      </c>
      <c r="Y981" s="3">
        <f t="shared" si="111"/>
        <v>45245</v>
      </c>
      <c r="Z981">
        <v>0.80510000000000004</v>
      </c>
    </row>
    <row r="982" spans="1:26" x14ac:dyDescent="0.35">
      <c r="A982" t="s">
        <v>989</v>
      </c>
      <c r="B982" t="str">
        <f t="shared" si="105"/>
        <v>OK</v>
      </c>
      <c r="C982" t="s">
        <v>2476</v>
      </c>
      <c r="D982" s="2">
        <v>53</v>
      </c>
      <c r="E982">
        <f>IF(OR(D982&lt;18, D982&gt;100),AD981,D982)</f>
        <v>53</v>
      </c>
      <c r="F982" t="s">
        <v>2992</v>
      </c>
      <c r="G982" t="str">
        <f t="shared" si="106"/>
        <v>Female</v>
      </c>
      <c r="H982" t="s">
        <v>3005</v>
      </c>
      <c r="I982" t="s">
        <v>3020</v>
      </c>
      <c r="K982" t="str">
        <f t="shared" si="107"/>
        <v>Self-Employed</v>
      </c>
      <c r="L982">
        <v>18</v>
      </c>
      <c r="M982">
        <v>1104133</v>
      </c>
      <c r="N982">
        <f t="shared" si="108"/>
        <v>1104133</v>
      </c>
      <c r="O982">
        <v>56468</v>
      </c>
      <c r="P982">
        <v>21.81</v>
      </c>
      <c r="Q982">
        <v>12</v>
      </c>
      <c r="R982" t="s">
        <v>3047</v>
      </c>
      <c r="S982" t="str">
        <f t="shared" si="109"/>
        <v>Personal</v>
      </c>
      <c r="T982">
        <v>309</v>
      </c>
      <c r="U982">
        <f t="shared" si="110"/>
        <v>309</v>
      </c>
      <c r="V982">
        <v>4</v>
      </c>
      <c r="W982" t="s">
        <v>3056</v>
      </c>
      <c r="X982" s="3" t="s">
        <v>3655</v>
      </c>
      <c r="Y982" s="3">
        <f t="shared" si="111"/>
        <v>43995</v>
      </c>
      <c r="Z982">
        <v>5.11E-2</v>
      </c>
    </row>
    <row r="983" spans="1:26" x14ac:dyDescent="0.35">
      <c r="A983" t="s">
        <v>990</v>
      </c>
      <c r="B983" t="str">
        <f t="shared" si="105"/>
        <v>OK</v>
      </c>
      <c r="C983" t="s">
        <v>2477</v>
      </c>
      <c r="D983" s="2">
        <v>33</v>
      </c>
      <c r="E983">
        <f>IF(OR(D983&lt;18, D983&gt;100),AD982,D983)</f>
        <v>33</v>
      </c>
      <c r="F983" t="s">
        <v>2992</v>
      </c>
      <c r="G983" t="str">
        <f t="shared" si="106"/>
        <v>Female</v>
      </c>
      <c r="H983" t="s">
        <v>3003</v>
      </c>
      <c r="I983" t="s">
        <v>3021</v>
      </c>
      <c r="K983" t="str">
        <f t="shared" si="107"/>
        <v>Unemployed</v>
      </c>
      <c r="L983">
        <v>20</v>
      </c>
      <c r="M983">
        <v>321214</v>
      </c>
      <c r="N983">
        <f t="shared" si="108"/>
        <v>321214</v>
      </c>
      <c r="O983">
        <v>216375</v>
      </c>
      <c r="P983">
        <v>13.54</v>
      </c>
      <c r="Q983">
        <v>24</v>
      </c>
      <c r="R983" t="s">
        <v>3049</v>
      </c>
      <c r="S983" t="str">
        <f t="shared" si="109"/>
        <v>Business</v>
      </c>
      <c r="T983">
        <v>844</v>
      </c>
      <c r="U983">
        <f t="shared" si="110"/>
        <v>844</v>
      </c>
      <c r="V983">
        <v>6</v>
      </c>
      <c r="W983" t="s">
        <v>3052</v>
      </c>
      <c r="X983" s="3" t="s">
        <v>3822</v>
      </c>
      <c r="Y983" s="3">
        <f t="shared" si="111"/>
        <v>45147</v>
      </c>
      <c r="Z983">
        <v>0.67359999999999998</v>
      </c>
    </row>
    <row r="984" spans="1:26" x14ac:dyDescent="0.35">
      <c r="A984" t="s">
        <v>991</v>
      </c>
      <c r="B984" t="str">
        <f t="shared" si="105"/>
        <v>OK</v>
      </c>
      <c r="C984" t="s">
        <v>2478</v>
      </c>
      <c r="D984" s="2">
        <v>29</v>
      </c>
      <c r="E984">
        <f>IF(OR(D984&lt;18, D984&gt;100),AD983,D984)</f>
        <v>29</v>
      </c>
      <c r="F984" t="s">
        <v>2992</v>
      </c>
      <c r="G984" t="str">
        <f t="shared" si="106"/>
        <v>Female</v>
      </c>
      <c r="H984" t="s">
        <v>3005</v>
      </c>
      <c r="I984" t="s">
        <v>3021</v>
      </c>
      <c r="K984" t="str">
        <f t="shared" si="107"/>
        <v>Unemployed</v>
      </c>
      <c r="L984">
        <v>29</v>
      </c>
      <c r="M984">
        <v>473894</v>
      </c>
      <c r="N984">
        <f t="shared" si="108"/>
        <v>473894</v>
      </c>
      <c r="O984">
        <v>448276</v>
      </c>
      <c r="P984" t="s">
        <v>3036</v>
      </c>
      <c r="Q984">
        <v>24</v>
      </c>
      <c r="R984" t="s">
        <v>3047</v>
      </c>
      <c r="S984" t="str">
        <f t="shared" si="109"/>
        <v>Personal</v>
      </c>
      <c r="T984">
        <v>564</v>
      </c>
      <c r="U984">
        <f t="shared" si="110"/>
        <v>564</v>
      </c>
      <c r="V984">
        <v>4</v>
      </c>
      <c r="W984" t="s">
        <v>3055</v>
      </c>
      <c r="X984" s="3" t="s">
        <v>3823</v>
      </c>
      <c r="Y984" s="3">
        <f t="shared" si="111"/>
        <v>44412</v>
      </c>
      <c r="Z984">
        <v>0.94589999999999996</v>
      </c>
    </row>
    <row r="985" spans="1:26" x14ac:dyDescent="0.35">
      <c r="A985" t="s">
        <v>992</v>
      </c>
      <c r="B985" t="str">
        <f t="shared" si="105"/>
        <v>OK</v>
      </c>
      <c r="C985" t="s">
        <v>2479</v>
      </c>
      <c r="D985" s="2">
        <v>61</v>
      </c>
      <c r="E985">
        <f>IF(OR(D985&lt;18, D985&gt;100),AD984,D985)</f>
        <v>61</v>
      </c>
      <c r="F985" t="s">
        <v>2997</v>
      </c>
      <c r="G985" t="str">
        <f t="shared" si="106"/>
        <v>Male</v>
      </c>
      <c r="H985" t="s">
        <v>3001</v>
      </c>
      <c r="I985" t="s">
        <v>3019</v>
      </c>
      <c r="K985" t="str">
        <f t="shared" si="107"/>
        <v>Employed</v>
      </c>
      <c r="L985">
        <v>28</v>
      </c>
      <c r="M985">
        <v>2275588</v>
      </c>
      <c r="N985">
        <f t="shared" si="108"/>
        <v>2275588</v>
      </c>
      <c r="O985">
        <v>449505</v>
      </c>
      <c r="P985">
        <v>10.92</v>
      </c>
      <c r="Q985">
        <v>60</v>
      </c>
      <c r="R985" t="s">
        <v>3047</v>
      </c>
      <c r="S985" t="str">
        <f t="shared" si="109"/>
        <v>Personal</v>
      </c>
      <c r="T985">
        <v>632</v>
      </c>
      <c r="U985">
        <f t="shared" si="110"/>
        <v>632</v>
      </c>
      <c r="V985">
        <v>3</v>
      </c>
      <c r="W985" t="s">
        <v>3054</v>
      </c>
      <c r="X985" s="3" t="s">
        <v>3824</v>
      </c>
      <c r="Y985" s="3">
        <f t="shared" si="111"/>
        <v>44351</v>
      </c>
      <c r="Z985">
        <v>0.19750000000000001</v>
      </c>
    </row>
    <row r="986" spans="1:26" x14ac:dyDescent="0.35">
      <c r="A986" t="s">
        <v>993</v>
      </c>
      <c r="B986" t="str">
        <f t="shared" si="105"/>
        <v>OK</v>
      </c>
      <c r="C986" t="s">
        <v>2480</v>
      </c>
      <c r="D986" s="2">
        <v>49</v>
      </c>
      <c r="E986">
        <f>IF(OR(D986&lt;18, D986&gt;100),AD985,D986)</f>
        <v>49</v>
      </c>
      <c r="F986" t="s">
        <v>2992</v>
      </c>
      <c r="G986" t="str">
        <f t="shared" si="106"/>
        <v>Female</v>
      </c>
      <c r="H986" t="s">
        <v>2999</v>
      </c>
      <c r="I986" t="s">
        <v>3018</v>
      </c>
      <c r="K986" t="str">
        <f t="shared" si="107"/>
        <v>Business Owner</v>
      </c>
      <c r="L986">
        <v>14</v>
      </c>
      <c r="M986">
        <v>355211</v>
      </c>
      <c r="N986">
        <f t="shared" si="108"/>
        <v>355211</v>
      </c>
      <c r="O986">
        <v>128946</v>
      </c>
      <c r="P986">
        <v>21.43</v>
      </c>
      <c r="Q986">
        <v>36</v>
      </c>
      <c r="R986" t="s">
        <v>3047</v>
      </c>
      <c r="S986" t="str">
        <f t="shared" si="109"/>
        <v>Personal</v>
      </c>
      <c r="T986">
        <v>721</v>
      </c>
      <c r="U986">
        <f t="shared" si="110"/>
        <v>721</v>
      </c>
      <c r="V986">
        <v>7</v>
      </c>
      <c r="W986" t="s">
        <v>3054</v>
      </c>
      <c r="X986" s="3" t="s">
        <v>3656</v>
      </c>
      <c r="Y986" s="3">
        <f t="shared" si="111"/>
        <v>43985</v>
      </c>
      <c r="Z986">
        <v>0.36299999999999999</v>
      </c>
    </row>
    <row r="987" spans="1:26" x14ac:dyDescent="0.35">
      <c r="A987" t="s">
        <v>994</v>
      </c>
      <c r="B987" t="str">
        <f t="shared" si="105"/>
        <v>OK</v>
      </c>
      <c r="C987" t="s">
        <v>2481</v>
      </c>
      <c r="D987" s="2">
        <v>50</v>
      </c>
      <c r="E987">
        <f>IF(OR(D987&lt;18, D987&gt;100),AD986,D987)</f>
        <v>50</v>
      </c>
      <c r="F987" t="s">
        <v>2990</v>
      </c>
      <c r="G987" t="str">
        <f t="shared" si="106"/>
        <v>Male</v>
      </c>
      <c r="H987" t="s">
        <v>3004</v>
      </c>
      <c r="I987" t="s">
        <v>3021</v>
      </c>
      <c r="K987" t="str">
        <f t="shared" si="107"/>
        <v>Unemployed</v>
      </c>
      <c r="L987">
        <v>25</v>
      </c>
      <c r="M987">
        <v>1616536</v>
      </c>
      <c r="N987">
        <f t="shared" si="108"/>
        <v>1616536</v>
      </c>
      <c r="O987">
        <v>793221</v>
      </c>
      <c r="P987">
        <v>10.4</v>
      </c>
      <c r="Q987">
        <v>60</v>
      </c>
      <c r="R987" t="s">
        <v>3050</v>
      </c>
      <c r="S987" t="str">
        <f t="shared" si="109"/>
        <v>Agriculture</v>
      </c>
      <c r="T987">
        <v>817</v>
      </c>
      <c r="U987">
        <f t="shared" si="110"/>
        <v>817</v>
      </c>
      <c r="V987">
        <v>5</v>
      </c>
      <c r="W987" t="s">
        <v>3054</v>
      </c>
      <c r="X987" s="3" t="s">
        <v>3825</v>
      </c>
      <c r="Y987" s="3">
        <f t="shared" si="111"/>
        <v>44370</v>
      </c>
      <c r="Z987">
        <v>0.49070000000000003</v>
      </c>
    </row>
    <row r="988" spans="1:26" x14ac:dyDescent="0.35">
      <c r="A988" t="s">
        <v>995</v>
      </c>
      <c r="B988" t="str">
        <f t="shared" si="105"/>
        <v>OK</v>
      </c>
      <c r="C988" t="s">
        <v>2482</v>
      </c>
      <c r="D988" s="2">
        <v>39</v>
      </c>
      <c r="E988">
        <f>IF(OR(D988&lt;18, D988&gt;100),AD987,D988)</f>
        <v>39</v>
      </c>
      <c r="F988" t="s">
        <v>2990</v>
      </c>
      <c r="G988" t="str">
        <f t="shared" si="106"/>
        <v>Male</v>
      </c>
      <c r="H988" t="s">
        <v>3002</v>
      </c>
      <c r="I988" t="s">
        <v>3020</v>
      </c>
      <c r="K988" t="str">
        <f t="shared" si="107"/>
        <v>Self-Employed</v>
      </c>
      <c r="L988">
        <v>20</v>
      </c>
      <c r="M988">
        <v>568076</v>
      </c>
      <c r="N988">
        <f t="shared" si="108"/>
        <v>568076</v>
      </c>
      <c r="O988">
        <v>289150</v>
      </c>
      <c r="P988">
        <v>24.29</v>
      </c>
      <c r="Q988">
        <v>60</v>
      </c>
      <c r="R988" t="s">
        <v>3049</v>
      </c>
      <c r="S988" t="str">
        <f t="shared" si="109"/>
        <v>Business</v>
      </c>
      <c r="T988">
        <v>754</v>
      </c>
      <c r="U988">
        <f t="shared" si="110"/>
        <v>754</v>
      </c>
      <c r="V988">
        <v>1</v>
      </c>
      <c r="W988" t="s">
        <v>3054</v>
      </c>
      <c r="X988" s="3" t="s">
        <v>3826</v>
      </c>
      <c r="Y988" s="3">
        <f t="shared" si="111"/>
        <v>43941</v>
      </c>
      <c r="Z988">
        <v>0.50900000000000001</v>
      </c>
    </row>
    <row r="989" spans="1:26" x14ac:dyDescent="0.35">
      <c r="A989" t="s">
        <v>996</v>
      </c>
      <c r="B989" t="str">
        <f t="shared" si="105"/>
        <v>OK</v>
      </c>
      <c r="C989" t="s">
        <v>2483</v>
      </c>
      <c r="D989" s="2">
        <v>23</v>
      </c>
      <c r="E989">
        <f>IF(OR(D989&lt;18, D989&gt;100),AD988,D989)</f>
        <v>23</v>
      </c>
      <c r="F989" t="s">
        <v>2992</v>
      </c>
      <c r="G989" t="str">
        <f t="shared" si="106"/>
        <v>Female</v>
      </c>
      <c r="H989" t="s">
        <v>3004</v>
      </c>
      <c r="I989" t="s">
        <v>3020</v>
      </c>
      <c r="K989" t="str">
        <f t="shared" si="107"/>
        <v>Self-Employed</v>
      </c>
      <c r="L989">
        <v>28</v>
      </c>
      <c r="M989">
        <v>664410</v>
      </c>
      <c r="N989">
        <f t="shared" si="108"/>
        <v>664410</v>
      </c>
      <c r="O989">
        <v>578158</v>
      </c>
      <c r="P989">
        <v>24.82</v>
      </c>
      <c r="Q989">
        <v>24</v>
      </c>
      <c r="R989" t="s">
        <v>3047</v>
      </c>
      <c r="S989" t="str">
        <f t="shared" si="109"/>
        <v>Personal</v>
      </c>
      <c r="T989">
        <v>499</v>
      </c>
      <c r="U989">
        <f t="shared" si="110"/>
        <v>499</v>
      </c>
      <c r="V989">
        <v>6</v>
      </c>
      <c r="W989" t="s">
        <v>3057</v>
      </c>
      <c r="X989" s="3" t="s">
        <v>3618</v>
      </c>
      <c r="Y989" s="3">
        <f t="shared" si="111"/>
        <v>43976</v>
      </c>
      <c r="Z989">
        <v>0.87019999999999997</v>
      </c>
    </row>
    <row r="990" spans="1:26" x14ac:dyDescent="0.35">
      <c r="A990" t="s">
        <v>997</v>
      </c>
      <c r="B990" t="str">
        <f t="shared" si="105"/>
        <v>OK</v>
      </c>
      <c r="C990" t="s">
        <v>2484</v>
      </c>
      <c r="D990" s="2">
        <v>50</v>
      </c>
      <c r="E990">
        <f>IF(OR(D990&lt;18, D990&gt;100),AD989,D990)</f>
        <v>50</v>
      </c>
      <c r="F990" t="s">
        <v>2992</v>
      </c>
      <c r="G990" t="str">
        <f t="shared" si="106"/>
        <v>Female</v>
      </c>
      <c r="H990" t="s">
        <v>3002</v>
      </c>
      <c r="I990" t="s">
        <v>3021</v>
      </c>
      <c r="K990" t="str">
        <f t="shared" si="107"/>
        <v>Unemployed</v>
      </c>
      <c r="L990">
        <v>21</v>
      </c>
      <c r="M990">
        <v>214707</v>
      </c>
      <c r="N990">
        <f t="shared" si="108"/>
        <v>214707</v>
      </c>
      <c r="O990">
        <v>637632</v>
      </c>
      <c r="P990">
        <v>24.89</v>
      </c>
      <c r="Q990">
        <v>48</v>
      </c>
      <c r="R990" t="s">
        <v>3048</v>
      </c>
      <c r="S990" t="str">
        <f t="shared" si="109"/>
        <v>Home Improvement</v>
      </c>
      <c r="T990">
        <v>774</v>
      </c>
      <c r="U990">
        <f t="shared" si="110"/>
        <v>774</v>
      </c>
      <c r="V990">
        <v>1</v>
      </c>
      <c r="W990" t="s">
        <v>3052</v>
      </c>
      <c r="X990" s="3" t="s">
        <v>3827</v>
      </c>
      <c r="Y990" s="3">
        <f t="shared" si="111"/>
        <v>43835</v>
      </c>
      <c r="Z990">
        <v>2.9698000000000002</v>
      </c>
    </row>
    <row r="991" spans="1:26" x14ac:dyDescent="0.35">
      <c r="A991" t="s">
        <v>998</v>
      </c>
      <c r="B991" t="str">
        <f t="shared" si="105"/>
        <v>OK</v>
      </c>
      <c r="C991" t="s">
        <v>2485</v>
      </c>
      <c r="D991" s="2">
        <v>42</v>
      </c>
      <c r="E991">
        <f>IF(OR(D991&lt;18, D991&gt;100),AD990,D991)</f>
        <v>42</v>
      </c>
      <c r="F991" t="s">
        <v>2992</v>
      </c>
      <c r="G991" t="str">
        <f t="shared" si="106"/>
        <v>Female</v>
      </c>
      <c r="H991" t="s">
        <v>3001</v>
      </c>
      <c r="I991" t="s">
        <v>3021</v>
      </c>
      <c r="K991" t="str">
        <f t="shared" si="107"/>
        <v>Unemployed</v>
      </c>
      <c r="L991">
        <v>29</v>
      </c>
      <c r="M991">
        <v>1699825</v>
      </c>
      <c r="N991">
        <f t="shared" si="108"/>
        <v>1699825</v>
      </c>
      <c r="O991">
        <v>530491</v>
      </c>
      <c r="P991">
        <v>15.12</v>
      </c>
      <c r="Q991">
        <v>36</v>
      </c>
      <c r="R991" t="s">
        <v>3046</v>
      </c>
      <c r="S991" t="str">
        <f t="shared" si="109"/>
        <v>Medical</v>
      </c>
      <c r="T991">
        <v>411</v>
      </c>
      <c r="U991">
        <f t="shared" si="110"/>
        <v>411</v>
      </c>
      <c r="V991">
        <v>4</v>
      </c>
      <c r="W991" t="s">
        <v>3056</v>
      </c>
      <c r="X991" s="3" t="s">
        <v>3828</v>
      </c>
      <c r="Y991" s="3">
        <f t="shared" si="111"/>
        <v>43982</v>
      </c>
      <c r="Z991">
        <v>0.31209999999999999</v>
      </c>
    </row>
    <row r="992" spans="1:26" x14ac:dyDescent="0.35">
      <c r="A992" t="s">
        <v>999</v>
      </c>
      <c r="B992" t="str">
        <f t="shared" si="105"/>
        <v>OK</v>
      </c>
      <c r="C992" t="s">
        <v>2486</v>
      </c>
      <c r="D992" s="2">
        <v>53</v>
      </c>
      <c r="E992">
        <f>IF(OR(D992&lt;18, D992&gt;100),AD991,D992)</f>
        <v>53</v>
      </c>
      <c r="F992" t="s">
        <v>2990</v>
      </c>
      <c r="G992" t="str">
        <f t="shared" si="106"/>
        <v>Male</v>
      </c>
      <c r="H992" t="s">
        <v>3002</v>
      </c>
      <c r="I992" t="s">
        <v>3019</v>
      </c>
      <c r="K992" t="str">
        <f t="shared" si="107"/>
        <v>Employed</v>
      </c>
      <c r="L992">
        <v>5</v>
      </c>
      <c r="M992">
        <v>1942999</v>
      </c>
      <c r="N992">
        <f t="shared" si="108"/>
        <v>1942999</v>
      </c>
      <c r="O992">
        <v>768149</v>
      </c>
      <c r="P992">
        <v>24.2</v>
      </c>
      <c r="Q992">
        <v>12</v>
      </c>
      <c r="R992" t="s">
        <v>3047</v>
      </c>
      <c r="S992" t="str">
        <f t="shared" si="109"/>
        <v>Personal</v>
      </c>
      <c r="T992">
        <v>533</v>
      </c>
      <c r="U992">
        <f t="shared" si="110"/>
        <v>533</v>
      </c>
      <c r="V992">
        <v>7</v>
      </c>
      <c r="W992" t="s">
        <v>3057</v>
      </c>
      <c r="X992" s="3" t="s">
        <v>3829</v>
      </c>
      <c r="Y992" s="3">
        <f t="shared" si="111"/>
        <v>43936</v>
      </c>
      <c r="Z992">
        <v>0.39529999999999998</v>
      </c>
    </row>
    <row r="993" spans="1:26" x14ac:dyDescent="0.35">
      <c r="A993" t="s">
        <v>1000</v>
      </c>
      <c r="B993" t="str">
        <f t="shared" si="105"/>
        <v>OK</v>
      </c>
      <c r="C993" t="s">
        <v>2487</v>
      </c>
      <c r="D993" s="2">
        <v>26</v>
      </c>
      <c r="E993">
        <f>IF(OR(D993&lt;18, D993&gt;100),AD992,D993)</f>
        <v>26</v>
      </c>
      <c r="F993" t="s">
        <v>2990</v>
      </c>
      <c r="G993" t="str">
        <f t="shared" si="106"/>
        <v>Male</v>
      </c>
      <c r="H993" t="s">
        <v>3004</v>
      </c>
      <c r="I993" t="s">
        <v>3018</v>
      </c>
      <c r="K993" t="str">
        <f t="shared" si="107"/>
        <v>Business Owner</v>
      </c>
      <c r="L993">
        <v>14</v>
      </c>
      <c r="N993">
        <f t="shared" si="108"/>
        <v>1333224</v>
      </c>
      <c r="O993">
        <v>711381</v>
      </c>
      <c r="P993">
        <v>14.88</v>
      </c>
      <c r="Q993">
        <v>48</v>
      </c>
      <c r="R993" t="s">
        <v>3051</v>
      </c>
      <c r="S993" t="str">
        <f t="shared" si="109"/>
        <v>Education</v>
      </c>
      <c r="T993">
        <v>395</v>
      </c>
      <c r="U993">
        <f t="shared" si="110"/>
        <v>395</v>
      </c>
      <c r="V993">
        <v>5</v>
      </c>
      <c r="W993" t="s">
        <v>3054</v>
      </c>
      <c r="X993" s="3" t="s">
        <v>3830</v>
      </c>
      <c r="Y993" s="3">
        <f t="shared" si="111"/>
        <v>44596</v>
      </c>
      <c r="Z993">
        <v>0.31900000000000001</v>
      </c>
    </row>
    <row r="994" spans="1:26" x14ac:dyDescent="0.35">
      <c r="A994" t="s">
        <v>1001</v>
      </c>
      <c r="B994" t="str">
        <f t="shared" si="105"/>
        <v>OK</v>
      </c>
      <c r="C994" t="s">
        <v>2488</v>
      </c>
      <c r="D994" s="2">
        <v>49</v>
      </c>
      <c r="E994">
        <f>IF(OR(D994&lt;18, D994&gt;100),AD993,D994)</f>
        <v>49</v>
      </c>
      <c r="F994" t="s">
        <v>2992</v>
      </c>
      <c r="G994" t="str">
        <f t="shared" si="106"/>
        <v>Female</v>
      </c>
      <c r="H994" t="s">
        <v>3000</v>
      </c>
      <c r="K994" t="str">
        <f t="shared" si="107"/>
        <v>Unknown</v>
      </c>
      <c r="L994">
        <v>20</v>
      </c>
      <c r="M994">
        <v>1037342</v>
      </c>
      <c r="N994">
        <f t="shared" si="108"/>
        <v>1037342</v>
      </c>
      <c r="O994">
        <v>27485</v>
      </c>
      <c r="P994">
        <v>8.1999999999999993</v>
      </c>
      <c r="Q994">
        <v>24</v>
      </c>
      <c r="R994" t="s">
        <v>3050</v>
      </c>
      <c r="S994" t="str">
        <f t="shared" si="109"/>
        <v>Agriculture</v>
      </c>
      <c r="T994">
        <v>465</v>
      </c>
      <c r="U994">
        <f t="shared" si="110"/>
        <v>465</v>
      </c>
      <c r="V994">
        <v>3</v>
      </c>
      <c r="W994" t="s">
        <v>3055</v>
      </c>
      <c r="X994" s="3" t="s">
        <v>3831</v>
      </c>
      <c r="Y994" s="3">
        <f t="shared" si="111"/>
        <v>44943</v>
      </c>
      <c r="Z994">
        <v>2.6499999999999999E-2</v>
      </c>
    </row>
    <row r="995" spans="1:26" x14ac:dyDescent="0.35">
      <c r="A995" t="s">
        <v>1002</v>
      </c>
      <c r="B995" t="str">
        <f t="shared" si="105"/>
        <v>OK</v>
      </c>
      <c r="C995" t="s">
        <v>2489</v>
      </c>
      <c r="D995" s="2">
        <v>55</v>
      </c>
      <c r="E995">
        <f>IF(OR(D995&lt;18, D995&gt;100),AD994,D995)</f>
        <v>55</v>
      </c>
      <c r="F995" t="s">
        <v>2990</v>
      </c>
      <c r="G995" t="str">
        <f t="shared" si="106"/>
        <v>Male</v>
      </c>
      <c r="H995" t="s">
        <v>3002</v>
      </c>
      <c r="I995" t="s">
        <v>3018</v>
      </c>
      <c r="K995" t="str">
        <f t="shared" si="107"/>
        <v>Business Owner</v>
      </c>
      <c r="L995">
        <v>18</v>
      </c>
      <c r="M995">
        <v>1994188</v>
      </c>
      <c r="N995">
        <f t="shared" si="108"/>
        <v>1994188</v>
      </c>
      <c r="O995">
        <v>430834</v>
      </c>
      <c r="P995">
        <v>20.28</v>
      </c>
      <c r="Q995">
        <v>36</v>
      </c>
      <c r="R995" t="s">
        <v>3051</v>
      </c>
      <c r="S995" t="str">
        <f t="shared" si="109"/>
        <v>Education</v>
      </c>
      <c r="T995">
        <v>821</v>
      </c>
      <c r="U995">
        <f t="shared" si="110"/>
        <v>821</v>
      </c>
      <c r="V995">
        <v>4</v>
      </c>
      <c r="W995" t="s">
        <v>3056</v>
      </c>
      <c r="X995" s="3" t="s">
        <v>3832</v>
      </c>
      <c r="Y995" s="3">
        <f t="shared" si="111"/>
        <v>43961</v>
      </c>
      <c r="Z995">
        <v>0.216</v>
      </c>
    </row>
    <row r="996" spans="1:26" x14ac:dyDescent="0.35">
      <c r="A996" t="s">
        <v>1003</v>
      </c>
      <c r="B996" t="str">
        <f t="shared" si="105"/>
        <v>OK</v>
      </c>
      <c r="C996" t="s">
        <v>2490</v>
      </c>
      <c r="D996" s="2">
        <v>62</v>
      </c>
      <c r="E996">
        <f>IF(OR(D996&lt;18, D996&gt;100),AD995,D996)</f>
        <v>62</v>
      </c>
      <c r="F996" t="s">
        <v>2992</v>
      </c>
      <c r="G996" t="str">
        <f t="shared" si="106"/>
        <v>Female</v>
      </c>
      <c r="H996" t="s">
        <v>2999</v>
      </c>
      <c r="I996" t="s">
        <v>3018</v>
      </c>
      <c r="K996" t="str">
        <f t="shared" si="107"/>
        <v>Business Owner</v>
      </c>
      <c r="L996">
        <v>18</v>
      </c>
      <c r="M996">
        <v>1586368</v>
      </c>
      <c r="N996">
        <f t="shared" si="108"/>
        <v>1586368</v>
      </c>
      <c r="O996">
        <v>546670</v>
      </c>
      <c r="P996">
        <v>25.59</v>
      </c>
      <c r="Q996">
        <v>24</v>
      </c>
      <c r="R996" t="s">
        <v>3047</v>
      </c>
      <c r="S996" t="str">
        <f t="shared" si="109"/>
        <v>Personal</v>
      </c>
      <c r="T996">
        <v>716</v>
      </c>
      <c r="U996">
        <f t="shared" si="110"/>
        <v>716</v>
      </c>
      <c r="V996">
        <v>2</v>
      </c>
      <c r="W996" t="s">
        <v>3052</v>
      </c>
      <c r="X996" s="3" t="s">
        <v>3833</v>
      </c>
      <c r="Y996" s="3">
        <f t="shared" si="111"/>
        <v>44011</v>
      </c>
      <c r="Z996">
        <v>0.34460000000000002</v>
      </c>
    </row>
    <row r="997" spans="1:26" x14ac:dyDescent="0.35">
      <c r="A997" t="s">
        <v>1004</v>
      </c>
      <c r="B997" t="str">
        <f t="shared" si="105"/>
        <v>OK</v>
      </c>
      <c r="C997" t="s">
        <v>2491</v>
      </c>
      <c r="D997" s="2">
        <v>51</v>
      </c>
      <c r="E997">
        <f>IF(OR(D997&lt;18, D997&gt;100),AD996,D997)</f>
        <v>51</v>
      </c>
      <c r="F997" t="s">
        <v>2992</v>
      </c>
      <c r="G997" t="str">
        <f t="shared" si="106"/>
        <v>Female</v>
      </c>
      <c r="H997" t="s">
        <v>3005</v>
      </c>
      <c r="I997" t="s">
        <v>3019</v>
      </c>
      <c r="K997" t="str">
        <f t="shared" si="107"/>
        <v>Employed</v>
      </c>
      <c r="L997">
        <v>25</v>
      </c>
      <c r="M997">
        <v>1734623</v>
      </c>
      <c r="N997">
        <f t="shared" si="108"/>
        <v>1734623</v>
      </c>
      <c r="O997">
        <v>519909</v>
      </c>
      <c r="P997">
        <v>8.5</v>
      </c>
      <c r="Q997">
        <v>60</v>
      </c>
      <c r="R997" t="s">
        <v>3047</v>
      </c>
      <c r="S997" t="str">
        <f t="shared" si="109"/>
        <v>Personal</v>
      </c>
      <c r="T997">
        <v>684</v>
      </c>
      <c r="U997">
        <f t="shared" si="110"/>
        <v>684</v>
      </c>
      <c r="V997">
        <v>5</v>
      </c>
      <c r="W997" t="s">
        <v>3057</v>
      </c>
      <c r="X997" s="3" t="s">
        <v>3482</v>
      </c>
      <c r="Y997" s="3">
        <f t="shared" si="111"/>
        <v>44400</v>
      </c>
      <c r="Z997">
        <v>0.29970000000000002</v>
      </c>
    </row>
    <row r="998" spans="1:26" x14ac:dyDescent="0.35">
      <c r="A998" t="s">
        <v>1005</v>
      </c>
      <c r="B998" t="str">
        <f t="shared" si="105"/>
        <v>OK</v>
      </c>
      <c r="C998" t="s">
        <v>2492</v>
      </c>
      <c r="D998" s="2">
        <v>53</v>
      </c>
      <c r="E998">
        <f>IF(OR(D998&lt;18, D998&gt;100),AD997,D998)</f>
        <v>53</v>
      </c>
      <c r="F998" t="s">
        <v>2992</v>
      </c>
      <c r="G998" t="str">
        <f t="shared" si="106"/>
        <v>Female</v>
      </c>
      <c r="H998" t="s">
        <v>2999</v>
      </c>
      <c r="I998" t="s">
        <v>3019</v>
      </c>
      <c r="K998" t="str">
        <f t="shared" si="107"/>
        <v>Employed</v>
      </c>
      <c r="L998">
        <v>26</v>
      </c>
      <c r="M998">
        <v>-1958599</v>
      </c>
      <c r="N998">
        <f t="shared" si="108"/>
        <v>1333224</v>
      </c>
      <c r="O998">
        <v>516013</v>
      </c>
      <c r="P998">
        <v>14</v>
      </c>
      <c r="Q998">
        <v>12</v>
      </c>
      <c r="R998" t="s">
        <v>3046</v>
      </c>
      <c r="S998" t="str">
        <f t="shared" si="109"/>
        <v>Medical</v>
      </c>
      <c r="T998">
        <v>525</v>
      </c>
      <c r="U998">
        <f t="shared" si="110"/>
        <v>525</v>
      </c>
      <c r="V998">
        <v>1</v>
      </c>
      <c r="W998" t="s">
        <v>3053</v>
      </c>
      <c r="X998" s="3" t="s">
        <v>3250</v>
      </c>
      <c r="Y998" s="3">
        <f t="shared" si="111"/>
        <v>45111</v>
      </c>
      <c r="Z998">
        <v>0.26350000000000001</v>
      </c>
    </row>
    <row r="999" spans="1:26" x14ac:dyDescent="0.35">
      <c r="A999" t="s">
        <v>1006</v>
      </c>
      <c r="B999" t="str">
        <f t="shared" si="105"/>
        <v>OK</v>
      </c>
      <c r="C999" t="s">
        <v>2493</v>
      </c>
      <c r="D999" s="2">
        <v>30</v>
      </c>
      <c r="E999">
        <f>IF(OR(D999&lt;18, D999&gt;100),AD998,D999)</f>
        <v>30</v>
      </c>
      <c r="F999" t="s">
        <v>2990</v>
      </c>
      <c r="G999" t="str">
        <f t="shared" si="106"/>
        <v>Male</v>
      </c>
      <c r="H999" t="s">
        <v>3001</v>
      </c>
      <c r="I999" t="s">
        <v>3021</v>
      </c>
      <c r="K999" t="str">
        <f t="shared" si="107"/>
        <v>Unemployed</v>
      </c>
      <c r="L999">
        <v>18</v>
      </c>
      <c r="M999">
        <v>1987992</v>
      </c>
      <c r="N999">
        <f t="shared" si="108"/>
        <v>1987992</v>
      </c>
      <c r="O999">
        <v>427085</v>
      </c>
      <c r="P999">
        <v>24.47</v>
      </c>
      <c r="Q999">
        <v>60</v>
      </c>
      <c r="R999" t="s">
        <v>3048</v>
      </c>
      <c r="S999" t="str">
        <f t="shared" si="109"/>
        <v>Home Improvement</v>
      </c>
      <c r="T999">
        <v>429</v>
      </c>
      <c r="U999">
        <f t="shared" si="110"/>
        <v>429</v>
      </c>
      <c r="V999">
        <v>4</v>
      </c>
      <c r="W999" t="s">
        <v>3054</v>
      </c>
      <c r="X999" s="3" t="s">
        <v>3834</v>
      </c>
      <c r="Y999" s="3">
        <f t="shared" si="111"/>
        <v>44977</v>
      </c>
      <c r="Z999">
        <v>0.21479999999999999</v>
      </c>
    </row>
    <row r="1000" spans="1:26" x14ac:dyDescent="0.35">
      <c r="A1000" t="s">
        <v>1007</v>
      </c>
      <c r="B1000" t="str">
        <f t="shared" si="105"/>
        <v>OK</v>
      </c>
      <c r="C1000" t="s">
        <v>2494</v>
      </c>
      <c r="D1000" s="2">
        <v>29</v>
      </c>
      <c r="E1000">
        <f>IF(OR(D1000&lt;18, D1000&gt;100),AD999,D1000)</f>
        <v>29</v>
      </c>
      <c r="F1000" t="s">
        <v>2992</v>
      </c>
      <c r="G1000" t="str">
        <f t="shared" si="106"/>
        <v>Female</v>
      </c>
      <c r="H1000" t="s">
        <v>3004</v>
      </c>
      <c r="I1000" t="s">
        <v>3020</v>
      </c>
      <c r="K1000" t="str">
        <f t="shared" si="107"/>
        <v>Self-Employed</v>
      </c>
      <c r="L1000">
        <v>7</v>
      </c>
      <c r="M1000">
        <v>2010815</v>
      </c>
      <c r="N1000">
        <f t="shared" si="108"/>
        <v>2010815</v>
      </c>
      <c r="O1000">
        <v>241035</v>
      </c>
      <c r="P1000">
        <v>26.58</v>
      </c>
      <c r="Q1000">
        <v>60</v>
      </c>
      <c r="S1000" t="str">
        <f t="shared" si="109"/>
        <v>Unknown</v>
      </c>
      <c r="T1000">
        <v>389</v>
      </c>
      <c r="U1000">
        <f t="shared" si="110"/>
        <v>389</v>
      </c>
      <c r="V1000">
        <v>6</v>
      </c>
      <c r="W1000" t="s">
        <v>3055</v>
      </c>
      <c r="X1000" s="3" t="s">
        <v>3537</v>
      </c>
      <c r="Y1000" s="3">
        <f t="shared" si="111"/>
        <v>44332</v>
      </c>
      <c r="Z1000">
        <v>0.11990000000000001</v>
      </c>
    </row>
    <row r="1001" spans="1:26" x14ac:dyDescent="0.35">
      <c r="A1001" t="s">
        <v>1008</v>
      </c>
      <c r="B1001" t="str">
        <f t="shared" si="105"/>
        <v>OK</v>
      </c>
      <c r="C1001" t="s">
        <v>2495</v>
      </c>
      <c r="D1001" s="2">
        <v>60</v>
      </c>
      <c r="E1001">
        <f>IF(OR(D1001&lt;18, D1001&gt;100),AD1000,D1001)</f>
        <v>60</v>
      </c>
      <c r="F1001" t="s">
        <v>2992</v>
      </c>
      <c r="G1001" t="str">
        <f t="shared" si="106"/>
        <v>Female</v>
      </c>
      <c r="H1001" t="s">
        <v>3008</v>
      </c>
      <c r="I1001" t="s">
        <v>3020</v>
      </c>
      <c r="K1001" t="str">
        <f t="shared" si="107"/>
        <v>Self-Employed</v>
      </c>
      <c r="L1001">
        <v>18</v>
      </c>
      <c r="M1001">
        <v>1254961</v>
      </c>
      <c r="N1001">
        <f t="shared" si="108"/>
        <v>1254961</v>
      </c>
      <c r="O1001">
        <v>22257</v>
      </c>
      <c r="P1001">
        <v>27.8</v>
      </c>
      <c r="Q1001">
        <v>60</v>
      </c>
      <c r="R1001" t="s">
        <v>3047</v>
      </c>
      <c r="S1001" t="str">
        <f t="shared" si="109"/>
        <v>Personal</v>
      </c>
      <c r="T1001">
        <v>662</v>
      </c>
      <c r="U1001">
        <f t="shared" si="110"/>
        <v>662</v>
      </c>
      <c r="V1001">
        <v>1</v>
      </c>
      <c r="W1001" t="s">
        <v>3056</v>
      </c>
      <c r="X1001" s="3" t="s">
        <v>3502</v>
      </c>
      <c r="Y1001" s="3">
        <f t="shared" si="111"/>
        <v>44373</v>
      </c>
      <c r="Z1001">
        <v>1.77E-2</v>
      </c>
    </row>
    <row r="1002" spans="1:26" x14ac:dyDescent="0.35">
      <c r="A1002" t="s">
        <v>1009</v>
      </c>
      <c r="B1002" t="str">
        <f t="shared" si="105"/>
        <v>OK</v>
      </c>
      <c r="C1002" t="s">
        <v>2496</v>
      </c>
      <c r="D1002" s="2">
        <v>51</v>
      </c>
      <c r="E1002">
        <f>IF(OR(D1002&lt;18, D1002&gt;100),AD1001,D1002)</f>
        <v>51</v>
      </c>
      <c r="F1002" t="s">
        <v>2990</v>
      </c>
      <c r="G1002" t="str">
        <f t="shared" si="106"/>
        <v>Male</v>
      </c>
      <c r="H1002" t="s">
        <v>3006</v>
      </c>
      <c r="I1002" t="s">
        <v>3018</v>
      </c>
      <c r="K1002" t="str">
        <f t="shared" si="107"/>
        <v>Business Owner</v>
      </c>
      <c r="L1002">
        <v>21</v>
      </c>
      <c r="M1002">
        <v>2178197</v>
      </c>
      <c r="N1002">
        <f t="shared" si="108"/>
        <v>2178197</v>
      </c>
      <c r="O1002">
        <v>188616</v>
      </c>
      <c r="P1002">
        <v>12.37</v>
      </c>
      <c r="Q1002">
        <v>48</v>
      </c>
      <c r="R1002" t="s">
        <v>3051</v>
      </c>
      <c r="S1002" t="str">
        <f t="shared" si="109"/>
        <v>Education</v>
      </c>
      <c r="T1002">
        <v>538</v>
      </c>
      <c r="U1002">
        <f t="shared" si="110"/>
        <v>538</v>
      </c>
      <c r="V1002">
        <v>6</v>
      </c>
      <c r="W1002" t="s">
        <v>3057</v>
      </c>
      <c r="X1002" s="3" t="s">
        <v>3227</v>
      </c>
      <c r="Y1002" s="3">
        <f t="shared" si="111"/>
        <v>44503</v>
      </c>
      <c r="Z1002">
        <v>8.6599999999999996E-2</v>
      </c>
    </row>
    <row r="1003" spans="1:26" x14ac:dyDescent="0.35">
      <c r="A1003" t="s">
        <v>1010</v>
      </c>
      <c r="B1003" t="str">
        <f t="shared" si="105"/>
        <v>OK</v>
      </c>
      <c r="C1003" t="s">
        <v>2497</v>
      </c>
      <c r="D1003" s="2">
        <v>50</v>
      </c>
      <c r="E1003">
        <f>IF(OR(D1003&lt;18, D1003&gt;100),AD1002,D1003)</f>
        <v>50</v>
      </c>
      <c r="F1003" t="s">
        <v>2992</v>
      </c>
      <c r="G1003" t="str">
        <f t="shared" si="106"/>
        <v>Female</v>
      </c>
      <c r="H1003" t="s">
        <v>3009</v>
      </c>
      <c r="I1003" t="s">
        <v>3018</v>
      </c>
      <c r="K1003" t="str">
        <f t="shared" si="107"/>
        <v>Business Owner</v>
      </c>
      <c r="L1003">
        <v>9</v>
      </c>
      <c r="M1003">
        <v>2076220</v>
      </c>
      <c r="N1003">
        <f t="shared" si="108"/>
        <v>2076220</v>
      </c>
      <c r="O1003">
        <v>107178</v>
      </c>
      <c r="P1003">
        <v>21.42</v>
      </c>
      <c r="Q1003">
        <v>12</v>
      </c>
      <c r="R1003" t="s">
        <v>3051</v>
      </c>
      <c r="S1003" t="str">
        <f t="shared" si="109"/>
        <v>Education</v>
      </c>
      <c r="T1003">
        <v>639</v>
      </c>
      <c r="U1003">
        <f t="shared" si="110"/>
        <v>639</v>
      </c>
      <c r="V1003">
        <v>1</v>
      </c>
      <c r="W1003" t="s">
        <v>3060</v>
      </c>
      <c r="X1003" s="3" t="s">
        <v>3835</v>
      </c>
      <c r="Y1003" s="3">
        <f t="shared" si="111"/>
        <v>43948</v>
      </c>
      <c r="Z1003">
        <v>5.16E-2</v>
      </c>
    </row>
    <row r="1004" spans="1:26" x14ac:dyDescent="0.35">
      <c r="A1004" t="s">
        <v>1011</v>
      </c>
      <c r="B1004" t="str">
        <f t="shared" si="105"/>
        <v>OK</v>
      </c>
      <c r="C1004" t="s">
        <v>2498</v>
      </c>
      <c r="D1004" s="2">
        <v>26</v>
      </c>
      <c r="E1004">
        <f>IF(OR(D1004&lt;18, D1004&gt;100),AD1003,D1004)</f>
        <v>26</v>
      </c>
      <c r="F1004" t="s">
        <v>2992</v>
      </c>
      <c r="G1004" t="str">
        <f t="shared" si="106"/>
        <v>Female</v>
      </c>
      <c r="H1004" t="s">
        <v>3013</v>
      </c>
      <c r="I1004" t="s">
        <v>3018</v>
      </c>
      <c r="K1004" t="str">
        <f t="shared" si="107"/>
        <v>Business Owner</v>
      </c>
      <c r="L1004">
        <v>24</v>
      </c>
      <c r="M1004">
        <v>1381700</v>
      </c>
      <c r="N1004">
        <f t="shared" si="108"/>
        <v>1381700</v>
      </c>
      <c r="O1004">
        <v>480014</v>
      </c>
      <c r="P1004">
        <v>22.83</v>
      </c>
      <c r="Q1004">
        <v>12</v>
      </c>
      <c r="R1004" t="s">
        <v>3048</v>
      </c>
      <c r="S1004" t="str">
        <f t="shared" si="109"/>
        <v>Home Improvement</v>
      </c>
      <c r="T1004">
        <v>563</v>
      </c>
      <c r="U1004">
        <f t="shared" si="110"/>
        <v>563</v>
      </c>
      <c r="V1004">
        <v>1</v>
      </c>
      <c r="W1004" t="s">
        <v>3056</v>
      </c>
      <c r="X1004" s="3" t="s">
        <v>3836</v>
      </c>
      <c r="Y1004" s="3">
        <f t="shared" si="111"/>
        <v>44644</v>
      </c>
      <c r="Z1004">
        <v>0.34739999999999999</v>
      </c>
    </row>
    <row r="1005" spans="1:26" x14ac:dyDescent="0.35">
      <c r="A1005" t="s">
        <v>1012</v>
      </c>
      <c r="B1005" t="str">
        <f t="shared" si="105"/>
        <v>OK</v>
      </c>
      <c r="C1005" t="s">
        <v>2499</v>
      </c>
      <c r="D1005" s="2">
        <v>38</v>
      </c>
      <c r="E1005">
        <f>IF(OR(D1005&lt;18, D1005&gt;100),AD1004,D1005)</f>
        <v>38</v>
      </c>
      <c r="F1005" t="s">
        <v>2992</v>
      </c>
      <c r="G1005" t="str">
        <f t="shared" si="106"/>
        <v>Female</v>
      </c>
      <c r="H1005" t="s">
        <v>3007</v>
      </c>
      <c r="I1005" t="s">
        <v>3021</v>
      </c>
      <c r="K1005" t="str">
        <f t="shared" si="107"/>
        <v>Unemployed</v>
      </c>
      <c r="L1005">
        <v>16</v>
      </c>
      <c r="M1005">
        <v>1133692</v>
      </c>
      <c r="N1005">
        <f t="shared" si="108"/>
        <v>1133692</v>
      </c>
      <c r="O1005">
        <v>713590</v>
      </c>
      <c r="P1005">
        <v>27.4</v>
      </c>
      <c r="Q1005">
        <v>48</v>
      </c>
      <c r="R1005" t="s">
        <v>3050</v>
      </c>
      <c r="S1005" t="str">
        <f t="shared" si="109"/>
        <v>Agriculture</v>
      </c>
      <c r="T1005">
        <v>528</v>
      </c>
      <c r="U1005">
        <f t="shared" si="110"/>
        <v>528</v>
      </c>
      <c r="V1005">
        <v>0</v>
      </c>
      <c r="W1005" t="s">
        <v>3055</v>
      </c>
      <c r="X1005" s="3" t="s">
        <v>3094</v>
      </c>
      <c r="Y1005" s="3">
        <f t="shared" si="111"/>
        <v>43934</v>
      </c>
      <c r="Z1005">
        <v>0.62939999999999996</v>
      </c>
    </row>
    <row r="1006" spans="1:26" x14ac:dyDescent="0.35">
      <c r="A1006" t="s">
        <v>1013</v>
      </c>
      <c r="B1006" t="str">
        <f t="shared" si="105"/>
        <v>OK</v>
      </c>
      <c r="C1006" t="s">
        <v>2500</v>
      </c>
      <c r="D1006" s="2">
        <v>64</v>
      </c>
      <c r="E1006">
        <f>IF(OR(D1006&lt;18, D1006&gt;100),AD1005,D1006)</f>
        <v>64</v>
      </c>
      <c r="F1006" t="s">
        <v>2992</v>
      </c>
      <c r="G1006" t="str">
        <f t="shared" si="106"/>
        <v>Female</v>
      </c>
      <c r="H1006" t="s">
        <v>3005</v>
      </c>
      <c r="I1006" t="s">
        <v>3020</v>
      </c>
      <c r="K1006" t="str">
        <f t="shared" si="107"/>
        <v>Self-Employed</v>
      </c>
      <c r="L1006">
        <v>21</v>
      </c>
      <c r="M1006">
        <v>1053093</v>
      </c>
      <c r="N1006">
        <f t="shared" si="108"/>
        <v>1053093</v>
      </c>
      <c r="O1006">
        <v>183244</v>
      </c>
      <c r="P1006">
        <v>16.38</v>
      </c>
      <c r="Q1006">
        <v>24</v>
      </c>
      <c r="R1006" t="s">
        <v>3049</v>
      </c>
      <c r="S1006" t="str">
        <f t="shared" si="109"/>
        <v>Business</v>
      </c>
      <c r="T1006">
        <v>387</v>
      </c>
      <c r="U1006">
        <f t="shared" si="110"/>
        <v>387</v>
      </c>
      <c r="V1006">
        <v>4</v>
      </c>
      <c r="W1006" t="s">
        <v>3054</v>
      </c>
      <c r="X1006" s="3" t="s">
        <v>3810</v>
      </c>
      <c r="Y1006" s="3">
        <f t="shared" si="111"/>
        <v>44962</v>
      </c>
      <c r="Z1006">
        <v>0.17399999999999999</v>
      </c>
    </row>
    <row r="1007" spans="1:26" x14ac:dyDescent="0.35">
      <c r="A1007" t="s">
        <v>1014</v>
      </c>
      <c r="B1007" t="str">
        <f t="shared" si="105"/>
        <v>OK</v>
      </c>
      <c r="C1007" t="s">
        <v>2501</v>
      </c>
      <c r="D1007" s="2">
        <v>60</v>
      </c>
      <c r="E1007">
        <f>IF(OR(D1007&lt;18, D1007&gt;100),AD1006,D1007)</f>
        <v>60</v>
      </c>
      <c r="F1007" t="s">
        <v>2992</v>
      </c>
      <c r="G1007" t="str">
        <f t="shared" si="106"/>
        <v>Female</v>
      </c>
      <c r="H1007" t="s">
        <v>2998</v>
      </c>
      <c r="I1007" t="s">
        <v>3018</v>
      </c>
      <c r="K1007" t="str">
        <f t="shared" si="107"/>
        <v>Business Owner</v>
      </c>
      <c r="L1007">
        <v>10</v>
      </c>
      <c r="M1007">
        <v>1661235</v>
      </c>
      <c r="N1007">
        <f t="shared" si="108"/>
        <v>1661235</v>
      </c>
      <c r="O1007">
        <v>356851</v>
      </c>
      <c r="P1007">
        <v>26.67</v>
      </c>
      <c r="Q1007">
        <v>36</v>
      </c>
      <c r="R1007" t="s">
        <v>3047</v>
      </c>
      <c r="S1007" t="str">
        <f t="shared" si="109"/>
        <v>Personal</v>
      </c>
      <c r="T1007">
        <v>610</v>
      </c>
      <c r="U1007">
        <f t="shared" si="110"/>
        <v>610</v>
      </c>
      <c r="V1007">
        <v>6</v>
      </c>
      <c r="W1007" t="s">
        <v>3054</v>
      </c>
      <c r="X1007" s="3" t="s">
        <v>3837</v>
      </c>
      <c r="Y1007" s="3">
        <f t="shared" si="111"/>
        <v>44318</v>
      </c>
      <c r="Z1007">
        <v>0.21479999999999999</v>
      </c>
    </row>
    <row r="1008" spans="1:26" x14ac:dyDescent="0.35">
      <c r="A1008" t="s">
        <v>1015</v>
      </c>
      <c r="B1008" t="str">
        <f t="shared" si="105"/>
        <v>OK</v>
      </c>
      <c r="C1008" t="s">
        <v>2502</v>
      </c>
      <c r="D1008" s="2">
        <v>51</v>
      </c>
      <c r="E1008">
        <f>IF(OR(D1008&lt;18, D1008&gt;100),AD1007,D1008)</f>
        <v>51</v>
      </c>
      <c r="F1008" t="s">
        <v>2992</v>
      </c>
      <c r="G1008" t="str">
        <f t="shared" si="106"/>
        <v>Female</v>
      </c>
      <c r="H1008" t="s">
        <v>3006</v>
      </c>
      <c r="I1008" t="s">
        <v>3021</v>
      </c>
      <c r="K1008" t="str">
        <f t="shared" si="107"/>
        <v>Unemployed</v>
      </c>
      <c r="L1008">
        <v>1</v>
      </c>
      <c r="M1008">
        <v>1618454</v>
      </c>
      <c r="N1008">
        <f t="shared" si="108"/>
        <v>1618454</v>
      </c>
      <c r="O1008">
        <v>526961</v>
      </c>
      <c r="P1008">
        <v>13.93</v>
      </c>
      <c r="Q1008">
        <v>60</v>
      </c>
      <c r="R1008" t="s">
        <v>3046</v>
      </c>
      <c r="S1008" t="str">
        <f t="shared" si="109"/>
        <v>Medical</v>
      </c>
      <c r="T1008">
        <v>405</v>
      </c>
      <c r="U1008">
        <f t="shared" si="110"/>
        <v>405</v>
      </c>
      <c r="V1008">
        <v>3</v>
      </c>
      <c r="W1008" t="s">
        <v>3057</v>
      </c>
      <c r="X1008" s="3" t="s">
        <v>3838</v>
      </c>
      <c r="Y1008" s="3">
        <f t="shared" si="111"/>
        <v>45200</v>
      </c>
      <c r="Z1008">
        <v>0.3256</v>
      </c>
    </row>
    <row r="1009" spans="1:26" x14ac:dyDescent="0.35">
      <c r="A1009" t="s">
        <v>1016</v>
      </c>
      <c r="B1009" t="str">
        <f t="shared" si="105"/>
        <v>OK</v>
      </c>
      <c r="C1009" t="s">
        <v>2503</v>
      </c>
      <c r="D1009" s="2">
        <v>30</v>
      </c>
      <c r="E1009">
        <f>IF(OR(D1009&lt;18, D1009&gt;100),AD1008,D1009)</f>
        <v>30</v>
      </c>
      <c r="F1009" t="s">
        <v>2992</v>
      </c>
      <c r="G1009" t="str">
        <f t="shared" si="106"/>
        <v>Female</v>
      </c>
      <c r="H1009" t="s">
        <v>3010</v>
      </c>
      <c r="I1009" t="s">
        <v>3020</v>
      </c>
      <c r="K1009" t="str">
        <f t="shared" si="107"/>
        <v>Self-Employed</v>
      </c>
      <c r="L1009">
        <v>5</v>
      </c>
      <c r="N1009">
        <f t="shared" si="108"/>
        <v>1333224</v>
      </c>
      <c r="O1009">
        <v>495430</v>
      </c>
      <c r="P1009">
        <v>27.85</v>
      </c>
      <c r="Q1009">
        <v>24</v>
      </c>
      <c r="R1009" t="s">
        <v>3049</v>
      </c>
      <c r="S1009" t="str">
        <f t="shared" si="109"/>
        <v>Business</v>
      </c>
      <c r="T1009">
        <v>506</v>
      </c>
      <c r="U1009">
        <f t="shared" si="110"/>
        <v>506</v>
      </c>
      <c r="V1009">
        <v>1</v>
      </c>
      <c r="W1009" t="s">
        <v>3054</v>
      </c>
      <c r="X1009" s="3" t="s">
        <v>3839</v>
      </c>
      <c r="Y1009" s="3">
        <f t="shared" si="111"/>
        <v>44396</v>
      </c>
      <c r="Z1009">
        <v>0.23280000000000001</v>
      </c>
    </row>
    <row r="1010" spans="1:26" x14ac:dyDescent="0.35">
      <c r="A1010" t="s">
        <v>1017</v>
      </c>
      <c r="B1010" t="str">
        <f t="shared" si="105"/>
        <v>OK</v>
      </c>
      <c r="C1010" t="s">
        <v>2504</v>
      </c>
      <c r="D1010" s="2">
        <v>46</v>
      </c>
      <c r="E1010">
        <f>IF(OR(D1010&lt;18, D1010&gt;100),AD1009,D1010)</f>
        <v>46</v>
      </c>
      <c r="F1010" t="s">
        <v>2990</v>
      </c>
      <c r="G1010" t="str">
        <f t="shared" si="106"/>
        <v>Male</v>
      </c>
      <c r="H1010" t="s">
        <v>3011</v>
      </c>
      <c r="I1010" t="s">
        <v>3020</v>
      </c>
      <c r="K1010" t="str">
        <f t="shared" si="107"/>
        <v>Self-Employed</v>
      </c>
      <c r="L1010">
        <v>26</v>
      </c>
      <c r="M1010">
        <v>934105</v>
      </c>
      <c r="N1010">
        <f t="shared" si="108"/>
        <v>934105</v>
      </c>
      <c r="O1010">
        <v>291421</v>
      </c>
      <c r="P1010">
        <v>25.6</v>
      </c>
      <c r="Q1010">
        <v>60</v>
      </c>
      <c r="R1010" t="s">
        <v>3051</v>
      </c>
      <c r="S1010" t="str">
        <f t="shared" si="109"/>
        <v>Education</v>
      </c>
      <c r="T1010">
        <v>733</v>
      </c>
      <c r="U1010">
        <f t="shared" si="110"/>
        <v>733</v>
      </c>
      <c r="V1010">
        <v>1</v>
      </c>
      <c r="W1010" t="s">
        <v>3057</v>
      </c>
      <c r="X1010" s="3" t="s">
        <v>3840</v>
      </c>
      <c r="Y1010" s="3">
        <f t="shared" si="111"/>
        <v>44099</v>
      </c>
      <c r="Z1010">
        <v>0.312</v>
      </c>
    </row>
    <row r="1011" spans="1:26" x14ac:dyDescent="0.35">
      <c r="A1011" t="s">
        <v>1018</v>
      </c>
      <c r="B1011" t="str">
        <f t="shared" si="105"/>
        <v>OK</v>
      </c>
      <c r="C1011" t="s">
        <v>2505</v>
      </c>
      <c r="D1011" s="2">
        <v>43</v>
      </c>
      <c r="E1011">
        <f>IF(OR(D1011&lt;18, D1011&gt;100),AD1010,D1011)</f>
        <v>43</v>
      </c>
      <c r="F1011" t="s">
        <v>2992</v>
      </c>
      <c r="G1011" t="str">
        <f t="shared" si="106"/>
        <v>Female</v>
      </c>
      <c r="H1011" t="s">
        <v>3002</v>
      </c>
      <c r="I1011" t="s">
        <v>3019</v>
      </c>
      <c r="K1011" t="str">
        <f t="shared" si="107"/>
        <v>Employed</v>
      </c>
      <c r="L1011">
        <v>6</v>
      </c>
      <c r="M1011">
        <v>2002550</v>
      </c>
      <c r="N1011">
        <f t="shared" si="108"/>
        <v>2002550</v>
      </c>
      <c r="O1011">
        <v>400634</v>
      </c>
      <c r="P1011">
        <v>19.91</v>
      </c>
      <c r="Q1011">
        <v>48</v>
      </c>
      <c r="R1011" t="s">
        <v>3050</v>
      </c>
      <c r="S1011" t="str">
        <f t="shared" si="109"/>
        <v>Agriculture</v>
      </c>
      <c r="U1011">
        <f t="shared" si="110"/>
        <v>556</v>
      </c>
      <c r="V1011">
        <v>7</v>
      </c>
      <c r="W1011" t="s">
        <v>3057</v>
      </c>
      <c r="X1011" s="3" t="s">
        <v>3841</v>
      </c>
      <c r="Y1011" s="3">
        <f t="shared" si="111"/>
        <v>44788</v>
      </c>
      <c r="Z1011">
        <v>0.2001</v>
      </c>
    </row>
    <row r="1012" spans="1:26" x14ac:dyDescent="0.35">
      <c r="A1012" t="s">
        <v>1019</v>
      </c>
      <c r="B1012" t="str">
        <f t="shared" si="105"/>
        <v>OK</v>
      </c>
      <c r="C1012" t="s">
        <v>2506</v>
      </c>
      <c r="D1012" s="2">
        <v>24</v>
      </c>
      <c r="E1012">
        <f>IF(OR(D1012&lt;18, D1012&gt;100),AD1011,D1012)</f>
        <v>24</v>
      </c>
      <c r="F1012" t="s">
        <v>2990</v>
      </c>
      <c r="G1012" t="str">
        <f t="shared" si="106"/>
        <v>Male</v>
      </c>
      <c r="H1012" t="s">
        <v>3003</v>
      </c>
      <c r="I1012" t="s">
        <v>3019</v>
      </c>
      <c r="K1012" t="str">
        <f t="shared" si="107"/>
        <v>Employed</v>
      </c>
      <c r="L1012">
        <v>22</v>
      </c>
      <c r="M1012">
        <v>1505569</v>
      </c>
      <c r="N1012">
        <f t="shared" si="108"/>
        <v>1505569</v>
      </c>
      <c r="O1012">
        <v>250233</v>
      </c>
      <c r="P1012">
        <v>18.18</v>
      </c>
      <c r="Q1012">
        <v>48</v>
      </c>
      <c r="R1012" t="s">
        <v>3048</v>
      </c>
      <c r="S1012" t="str">
        <f t="shared" si="109"/>
        <v>Home Improvement</v>
      </c>
      <c r="T1012">
        <v>726</v>
      </c>
      <c r="U1012">
        <f t="shared" si="110"/>
        <v>726</v>
      </c>
      <c r="V1012">
        <v>7</v>
      </c>
      <c r="W1012" t="s">
        <v>3055</v>
      </c>
      <c r="X1012" s="3" t="s">
        <v>3842</v>
      </c>
      <c r="Y1012" s="3">
        <f t="shared" si="111"/>
        <v>44537</v>
      </c>
      <c r="Z1012">
        <v>0.16619999999999999</v>
      </c>
    </row>
    <row r="1013" spans="1:26" x14ac:dyDescent="0.35">
      <c r="A1013" t="s">
        <v>1020</v>
      </c>
      <c r="B1013" t="str">
        <f t="shared" si="105"/>
        <v>OK</v>
      </c>
      <c r="C1013" t="s">
        <v>2507</v>
      </c>
      <c r="D1013" s="2">
        <v>39</v>
      </c>
      <c r="E1013">
        <f>IF(OR(D1013&lt;18, D1013&gt;100),AD1012,D1013)</f>
        <v>39</v>
      </c>
      <c r="F1013" t="s">
        <v>2990</v>
      </c>
      <c r="G1013" t="str">
        <f t="shared" si="106"/>
        <v>Male</v>
      </c>
      <c r="H1013" t="s">
        <v>3004</v>
      </c>
      <c r="I1013" t="s">
        <v>3019</v>
      </c>
      <c r="K1013" t="str">
        <f t="shared" si="107"/>
        <v>Employed</v>
      </c>
      <c r="L1013">
        <v>19</v>
      </c>
      <c r="M1013">
        <v>284211</v>
      </c>
      <c r="N1013">
        <f t="shared" si="108"/>
        <v>284211</v>
      </c>
      <c r="O1013">
        <v>317142</v>
      </c>
      <c r="P1013">
        <v>21.45</v>
      </c>
      <c r="Q1013">
        <v>60</v>
      </c>
      <c r="R1013" t="s">
        <v>3051</v>
      </c>
      <c r="S1013" t="str">
        <f t="shared" si="109"/>
        <v>Education</v>
      </c>
      <c r="T1013">
        <v>649</v>
      </c>
      <c r="U1013">
        <f t="shared" si="110"/>
        <v>649</v>
      </c>
      <c r="V1013">
        <v>2</v>
      </c>
      <c r="W1013" t="s">
        <v>3053</v>
      </c>
      <c r="X1013" s="3" t="s">
        <v>3236</v>
      </c>
      <c r="Y1013" s="3">
        <f t="shared" si="111"/>
        <v>44312</v>
      </c>
      <c r="Z1013">
        <v>1.1158999999999999</v>
      </c>
    </row>
    <row r="1014" spans="1:26" x14ac:dyDescent="0.35">
      <c r="A1014" t="s">
        <v>1021</v>
      </c>
      <c r="B1014" t="str">
        <f t="shared" si="105"/>
        <v>OK</v>
      </c>
      <c r="C1014" t="s">
        <v>2508</v>
      </c>
      <c r="D1014" s="2">
        <v>62</v>
      </c>
      <c r="E1014">
        <f>IF(OR(D1014&lt;18, D1014&gt;100),AD1013,D1014)</f>
        <v>62</v>
      </c>
      <c r="F1014" t="s">
        <v>2990</v>
      </c>
      <c r="G1014" t="str">
        <f t="shared" si="106"/>
        <v>Male</v>
      </c>
      <c r="H1014" t="s">
        <v>2998</v>
      </c>
      <c r="I1014" t="s">
        <v>3019</v>
      </c>
      <c r="K1014" t="str">
        <f t="shared" si="107"/>
        <v>Employed</v>
      </c>
      <c r="L1014">
        <v>26</v>
      </c>
      <c r="M1014">
        <v>2370421</v>
      </c>
      <c r="N1014">
        <f t="shared" si="108"/>
        <v>2370421</v>
      </c>
      <c r="O1014">
        <v>0</v>
      </c>
      <c r="P1014">
        <v>16.21</v>
      </c>
      <c r="Q1014">
        <v>36</v>
      </c>
      <c r="R1014" t="s">
        <v>3050</v>
      </c>
      <c r="S1014" t="str">
        <f t="shared" si="109"/>
        <v>Agriculture</v>
      </c>
      <c r="T1014">
        <v>622</v>
      </c>
      <c r="U1014">
        <f t="shared" si="110"/>
        <v>622</v>
      </c>
      <c r="V1014">
        <v>6</v>
      </c>
      <c r="W1014" t="s">
        <v>3055</v>
      </c>
      <c r="X1014" s="3" t="s">
        <v>3699</v>
      </c>
      <c r="Y1014" s="3">
        <f t="shared" si="111"/>
        <v>44753</v>
      </c>
      <c r="Z1014">
        <v>0.17069999999999999</v>
      </c>
    </row>
    <row r="1015" spans="1:26" x14ac:dyDescent="0.35">
      <c r="A1015" t="s">
        <v>1022</v>
      </c>
      <c r="B1015" t="str">
        <f t="shared" si="105"/>
        <v>OK</v>
      </c>
      <c r="C1015" t="s">
        <v>2509</v>
      </c>
      <c r="D1015" s="2">
        <v>21</v>
      </c>
      <c r="E1015">
        <f>IF(OR(D1015&lt;18, D1015&gt;100),AD1014,D1015)</f>
        <v>21</v>
      </c>
      <c r="F1015" t="s">
        <v>2992</v>
      </c>
      <c r="G1015" t="str">
        <f t="shared" si="106"/>
        <v>Female</v>
      </c>
      <c r="H1015" t="s">
        <v>3002</v>
      </c>
      <c r="I1015" t="s">
        <v>3018</v>
      </c>
      <c r="K1015" t="str">
        <f t="shared" si="107"/>
        <v>Business Owner</v>
      </c>
      <c r="L1015">
        <v>19</v>
      </c>
      <c r="M1015">
        <v>484224</v>
      </c>
      <c r="N1015">
        <f t="shared" si="108"/>
        <v>484224</v>
      </c>
      <c r="O1015">
        <v>423777</v>
      </c>
      <c r="P1015">
        <v>24.06</v>
      </c>
      <c r="Q1015">
        <v>60</v>
      </c>
      <c r="R1015" t="s">
        <v>3049</v>
      </c>
      <c r="S1015" t="str">
        <f t="shared" si="109"/>
        <v>Business</v>
      </c>
      <c r="T1015">
        <v>680</v>
      </c>
      <c r="U1015">
        <f t="shared" si="110"/>
        <v>680</v>
      </c>
      <c r="V1015">
        <v>1</v>
      </c>
      <c r="W1015" t="s">
        <v>3057</v>
      </c>
      <c r="X1015" s="3" t="s">
        <v>3843</v>
      </c>
      <c r="Y1015" s="3">
        <f t="shared" si="111"/>
        <v>44389</v>
      </c>
      <c r="Z1015">
        <v>0.87519999999999998</v>
      </c>
    </row>
    <row r="1016" spans="1:26" x14ac:dyDescent="0.35">
      <c r="A1016" t="s">
        <v>1023</v>
      </c>
      <c r="B1016" t="str">
        <f t="shared" si="105"/>
        <v>OK</v>
      </c>
      <c r="C1016" t="s">
        <v>1967</v>
      </c>
      <c r="D1016" s="2">
        <v>31</v>
      </c>
      <c r="E1016">
        <f>IF(OR(D1016&lt;18, D1016&gt;100),AD1015,D1016)</f>
        <v>31</v>
      </c>
      <c r="F1016" t="s">
        <v>2990</v>
      </c>
      <c r="G1016" t="str">
        <f t="shared" si="106"/>
        <v>Male</v>
      </c>
      <c r="H1016" t="s">
        <v>3006</v>
      </c>
      <c r="I1016" t="s">
        <v>3021</v>
      </c>
      <c r="K1016" t="str">
        <f t="shared" si="107"/>
        <v>Unemployed</v>
      </c>
      <c r="L1016">
        <v>25</v>
      </c>
      <c r="M1016">
        <v>2060901</v>
      </c>
      <c r="N1016">
        <f t="shared" si="108"/>
        <v>2060901</v>
      </c>
      <c r="O1016">
        <v>95451</v>
      </c>
      <c r="P1016">
        <v>21.52</v>
      </c>
      <c r="Q1016">
        <v>48</v>
      </c>
      <c r="R1016" t="s">
        <v>3050</v>
      </c>
      <c r="S1016" t="str">
        <f t="shared" si="109"/>
        <v>Agriculture</v>
      </c>
      <c r="T1016">
        <v>845</v>
      </c>
      <c r="U1016">
        <f t="shared" si="110"/>
        <v>845</v>
      </c>
      <c r="V1016">
        <v>5</v>
      </c>
      <c r="W1016" t="s">
        <v>3052</v>
      </c>
      <c r="X1016" s="3" t="s">
        <v>3844</v>
      </c>
      <c r="Y1016" s="3">
        <f t="shared" si="111"/>
        <v>44525</v>
      </c>
      <c r="Z1016">
        <v>4.6300000000000001E-2</v>
      </c>
    </row>
    <row r="1017" spans="1:26" x14ac:dyDescent="0.35">
      <c r="A1017" t="s">
        <v>1024</v>
      </c>
      <c r="B1017" t="str">
        <f t="shared" si="105"/>
        <v>OK</v>
      </c>
      <c r="C1017" t="s">
        <v>2510</v>
      </c>
      <c r="D1017" s="2">
        <v>39</v>
      </c>
      <c r="E1017">
        <f>IF(OR(D1017&lt;18, D1017&gt;100),AD1016,D1017)</f>
        <v>39</v>
      </c>
      <c r="F1017" t="s">
        <v>2992</v>
      </c>
      <c r="G1017" t="str">
        <f t="shared" si="106"/>
        <v>Female</v>
      </c>
      <c r="H1017" t="s">
        <v>2998</v>
      </c>
      <c r="I1017" t="s">
        <v>3020</v>
      </c>
      <c r="K1017" t="str">
        <f t="shared" si="107"/>
        <v>Self-Employed</v>
      </c>
      <c r="L1017">
        <v>21</v>
      </c>
      <c r="M1017">
        <v>1430956</v>
      </c>
      <c r="N1017">
        <f t="shared" si="108"/>
        <v>1430956</v>
      </c>
      <c r="O1017">
        <v>578963</v>
      </c>
      <c r="P1017">
        <v>18</v>
      </c>
      <c r="Q1017">
        <v>48</v>
      </c>
      <c r="S1017" t="str">
        <f t="shared" si="109"/>
        <v>Unknown</v>
      </c>
      <c r="T1017">
        <v>413</v>
      </c>
      <c r="U1017">
        <f t="shared" si="110"/>
        <v>413</v>
      </c>
      <c r="V1017">
        <v>4</v>
      </c>
      <c r="W1017" t="s">
        <v>3057</v>
      </c>
      <c r="X1017" s="3" t="s">
        <v>3845</v>
      </c>
      <c r="Y1017" s="3">
        <f t="shared" si="111"/>
        <v>43980</v>
      </c>
      <c r="Z1017">
        <v>0.40460000000000002</v>
      </c>
    </row>
    <row r="1018" spans="1:26" x14ac:dyDescent="0.35">
      <c r="A1018" t="s">
        <v>1025</v>
      </c>
      <c r="B1018" t="str">
        <f t="shared" si="105"/>
        <v>OK</v>
      </c>
      <c r="C1018" t="s">
        <v>2511</v>
      </c>
      <c r="D1018" s="2">
        <v>52</v>
      </c>
      <c r="E1018">
        <f>IF(OR(D1018&lt;18, D1018&gt;100),AD1017,D1018)</f>
        <v>52</v>
      </c>
      <c r="F1018" t="s">
        <v>2990</v>
      </c>
      <c r="G1018" t="str">
        <f t="shared" si="106"/>
        <v>Male</v>
      </c>
      <c r="H1018" t="s">
        <v>3006</v>
      </c>
      <c r="I1018" t="s">
        <v>3018</v>
      </c>
      <c r="K1018" t="str">
        <f t="shared" si="107"/>
        <v>Business Owner</v>
      </c>
      <c r="L1018">
        <v>7</v>
      </c>
      <c r="M1018">
        <v>631157</v>
      </c>
      <c r="N1018">
        <f t="shared" si="108"/>
        <v>631157</v>
      </c>
      <c r="O1018">
        <v>508067</v>
      </c>
      <c r="P1018">
        <v>19.48</v>
      </c>
      <c r="Q1018">
        <v>48</v>
      </c>
      <c r="R1018" t="s">
        <v>3050</v>
      </c>
      <c r="S1018" t="str">
        <f t="shared" si="109"/>
        <v>Agriculture</v>
      </c>
      <c r="T1018">
        <v>466</v>
      </c>
      <c r="U1018">
        <f t="shared" si="110"/>
        <v>466</v>
      </c>
      <c r="V1018">
        <v>1</v>
      </c>
      <c r="W1018" t="s">
        <v>3055</v>
      </c>
      <c r="X1018" s="3" t="s">
        <v>3846</v>
      </c>
      <c r="Y1018" s="3">
        <f t="shared" si="111"/>
        <v>43915</v>
      </c>
      <c r="Z1018">
        <v>0.80500000000000005</v>
      </c>
    </row>
    <row r="1019" spans="1:26" x14ac:dyDescent="0.35">
      <c r="A1019" t="s">
        <v>1026</v>
      </c>
      <c r="B1019" t="str">
        <f t="shared" si="105"/>
        <v>OK</v>
      </c>
      <c r="C1019" t="s">
        <v>2512</v>
      </c>
      <c r="D1019" s="2">
        <v>30</v>
      </c>
      <c r="E1019">
        <f>IF(OR(D1019&lt;18, D1019&gt;100),AD1018,D1019)</f>
        <v>30</v>
      </c>
      <c r="F1019" t="s">
        <v>2992</v>
      </c>
      <c r="G1019" t="str">
        <f t="shared" si="106"/>
        <v>Female</v>
      </c>
      <c r="H1019" t="s">
        <v>2999</v>
      </c>
      <c r="I1019" t="s">
        <v>3021</v>
      </c>
      <c r="K1019" t="str">
        <f t="shared" si="107"/>
        <v>Unemployed</v>
      </c>
      <c r="L1019">
        <v>2</v>
      </c>
      <c r="M1019">
        <v>1304905</v>
      </c>
      <c r="N1019">
        <f t="shared" si="108"/>
        <v>1304905</v>
      </c>
      <c r="O1019">
        <v>239526</v>
      </c>
      <c r="P1019">
        <v>26.58</v>
      </c>
      <c r="Q1019">
        <v>24</v>
      </c>
      <c r="R1019" t="s">
        <v>3050</v>
      </c>
      <c r="S1019" t="str">
        <f t="shared" si="109"/>
        <v>Agriculture</v>
      </c>
      <c r="T1019">
        <v>475</v>
      </c>
      <c r="U1019">
        <f t="shared" si="110"/>
        <v>475</v>
      </c>
      <c r="V1019">
        <v>5</v>
      </c>
      <c r="W1019" t="s">
        <v>3054</v>
      </c>
      <c r="X1019" s="3" t="s">
        <v>3318</v>
      </c>
      <c r="Y1019" s="3">
        <f t="shared" si="111"/>
        <v>44929</v>
      </c>
      <c r="Z1019">
        <v>0.18360000000000001</v>
      </c>
    </row>
    <row r="1020" spans="1:26" x14ac:dyDescent="0.35">
      <c r="A1020" t="s">
        <v>1027</v>
      </c>
      <c r="B1020" t="str">
        <f t="shared" si="105"/>
        <v>OK</v>
      </c>
      <c r="C1020" t="s">
        <v>2513</v>
      </c>
      <c r="D1020" s="2">
        <v>36</v>
      </c>
      <c r="E1020">
        <f>IF(OR(D1020&lt;18, D1020&gt;100),AD1019,D1020)</f>
        <v>36</v>
      </c>
      <c r="F1020" t="s">
        <v>2992</v>
      </c>
      <c r="G1020" t="str">
        <f t="shared" si="106"/>
        <v>Female</v>
      </c>
      <c r="H1020" t="s">
        <v>2998</v>
      </c>
      <c r="I1020" t="s">
        <v>3020</v>
      </c>
      <c r="K1020" t="str">
        <f t="shared" si="107"/>
        <v>Self-Employed</v>
      </c>
      <c r="L1020">
        <v>20</v>
      </c>
      <c r="M1020">
        <v>774604</v>
      </c>
      <c r="N1020">
        <f t="shared" si="108"/>
        <v>774604</v>
      </c>
      <c r="O1020">
        <v>572439</v>
      </c>
      <c r="P1020">
        <v>24.47</v>
      </c>
      <c r="Q1020">
        <v>48</v>
      </c>
      <c r="R1020" t="s">
        <v>3047</v>
      </c>
      <c r="S1020" t="str">
        <f t="shared" si="109"/>
        <v>Personal</v>
      </c>
      <c r="T1020">
        <v>589</v>
      </c>
      <c r="U1020">
        <f t="shared" si="110"/>
        <v>589</v>
      </c>
      <c r="V1020">
        <v>7</v>
      </c>
      <c r="W1020" t="s">
        <v>3056</v>
      </c>
      <c r="X1020" s="3" t="s">
        <v>3847</v>
      </c>
      <c r="Y1020" s="3">
        <f t="shared" si="111"/>
        <v>44338</v>
      </c>
      <c r="Z1020">
        <v>0.73899999999999999</v>
      </c>
    </row>
    <row r="1021" spans="1:26" x14ac:dyDescent="0.35">
      <c r="A1021" t="s">
        <v>1028</v>
      </c>
      <c r="B1021" t="str">
        <f t="shared" ref="B1021:B1082" si="112">IF(A1021="", "MISSING", "OK")</f>
        <v>OK</v>
      </c>
      <c r="C1021" t="s">
        <v>2514</v>
      </c>
      <c r="D1021" s="2">
        <v>56</v>
      </c>
      <c r="E1021">
        <f>IF(OR(D1021&lt;18, D1021&gt;100),AD1020,D1021)</f>
        <v>56</v>
      </c>
      <c r="F1021" t="s">
        <v>2990</v>
      </c>
      <c r="G1021" t="str">
        <f t="shared" si="106"/>
        <v>Male</v>
      </c>
      <c r="H1021" t="s">
        <v>3005</v>
      </c>
      <c r="I1021" t="s">
        <v>3021</v>
      </c>
      <c r="K1021" t="str">
        <f t="shared" si="107"/>
        <v>Unemployed</v>
      </c>
      <c r="L1021">
        <v>19</v>
      </c>
      <c r="M1021">
        <v>1226161</v>
      </c>
      <c r="N1021">
        <f t="shared" si="108"/>
        <v>1226161</v>
      </c>
      <c r="O1021">
        <v>20917</v>
      </c>
      <c r="P1021">
        <v>9.11</v>
      </c>
      <c r="Q1021">
        <v>60</v>
      </c>
      <c r="R1021" t="s">
        <v>3046</v>
      </c>
      <c r="S1021" t="str">
        <f t="shared" si="109"/>
        <v>Medical</v>
      </c>
      <c r="T1021">
        <v>338</v>
      </c>
      <c r="U1021">
        <f t="shared" si="110"/>
        <v>338</v>
      </c>
      <c r="V1021">
        <v>2</v>
      </c>
      <c r="W1021" t="s">
        <v>3053</v>
      </c>
      <c r="X1021" s="3" t="s">
        <v>3515</v>
      </c>
      <c r="Y1021" s="3">
        <f t="shared" si="111"/>
        <v>44641</v>
      </c>
      <c r="Z1021">
        <v>1.7100000000000001E-2</v>
      </c>
    </row>
    <row r="1022" spans="1:26" x14ac:dyDescent="0.35">
      <c r="A1022" t="s">
        <v>1029</v>
      </c>
      <c r="B1022" t="str">
        <f t="shared" si="112"/>
        <v>OK</v>
      </c>
      <c r="C1022" t="s">
        <v>2515</v>
      </c>
      <c r="D1022" s="2">
        <v>26</v>
      </c>
      <c r="E1022">
        <f>IF(OR(D1022&lt;18, D1022&gt;100),AD1021,D1022)</f>
        <v>26</v>
      </c>
      <c r="F1022" t="s">
        <v>2990</v>
      </c>
      <c r="G1022" t="str">
        <f t="shared" si="106"/>
        <v>Male</v>
      </c>
      <c r="H1022" t="s">
        <v>3001</v>
      </c>
      <c r="I1022" t="s">
        <v>3020</v>
      </c>
      <c r="K1022" t="str">
        <f t="shared" si="107"/>
        <v>Self-Employed</v>
      </c>
      <c r="L1022">
        <v>29</v>
      </c>
      <c r="M1022">
        <v>2310939</v>
      </c>
      <c r="N1022">
        <f t="shared" si="108"/>
        <v>2310939</v>
      </c>
      <c r="O1022">
        <v>176470</v>
      </c>
      <c r="P1022">
        <v>21.38</v>
      </c>
      <c r="Q1022">
        <v>48</v>
      </c>
      <c r="R1022" t="s">
        <v>3046</v>
      </c>
      <c r="S1022" t="str">
        <f t="shared" si="109"/>
        <v>Medical</v>
      </c>
      <c r="T1022">
        <v>327</v>
      </c>
      <c r="U1022">
        <f t="shared" si="110"/>
        <v>327</v>
      </c>
      <c r="V1022">
        <v>3</v>
      </c>
      <c r="W1022" t="s">
        <v>3055</v>
      </c>
      <c r="X1022" s="3" t="s">
        <v>3848</v>
      </c>
      <c r="Y1022" s="3">
        <f t="shared" si="111"/>
        <v>45270</v>
      </c>
      <c r="Z1022">
        <v>7.6399999999999996E-2</v>
      </c>
    </row>
    <row r="1023" spans="1:26" x14ac:dyDescent="0.35">
      <c r="A1023" t="s">
        <v>1030</v>
      </c>
      <c r="B1023" t="str">
        <f t="shared" si="112"/>
        <v>OK</v>
      </c>
      <c r="C1023" t="s">
        <v>2516</v>
      </c>
      <c r="D1023" s="2">
        <v>58</v>
      </c>
      <c r="E1023">
        <f>IF(OR(D1023&lt;18, D1023&gt;100),AD1022,D1023)</f>
        <v>58</v>
      </c>
      <c r="F1023" t="s">
        <v>2990</v>
      </c>
      <c r="G1023" t="str">
        <f t="shared" si="106"/>
        <v>Male</v>
      </c>
      <c r="H1023" t="s">
        <v>3001</v>
      </c>
      <c r="I1023" t="s">
        <v>3020</v>
      </c>
      <c r="K1023" t="str">
        <f t="shared" si="107"/>
        <v>Self-Employed</v>
      </c>
      <c r="L1023">
        <v>10</v>
      </c>
      <c r="M1023">
        <v>2178671</v>
      </c>
      <c r="N1023">
        <f t="shared" si="108"/>
        <v>2178671</v>
      </c>
      <c r="O1023">
        <v>675496</v>
      </c>
      <c r="P1023">
        <v>25.93</v>
      </c>
      <c r="Q1023">
        <v>36</v>
      </c>
      <c r="R1023" t="s">
        <v>3046</v>
      </c>
      <c r="S1023" t="str">
        <f t="shared" si="109"/>
        <v>Medical</v>
      </c>
      <c r="T1023">
        <v>827</v>
      </c>
      <c r="U1023">
        <f t="shared" si="110"/>
        <v>827</v>
      </c>
      <c r="V1023">
        <v>2</v>
      </c>
      <c r="W1023" t="s">
        <v>3055</v>
      </c>
      <c r="X1023" s="3" t="s">
        <v>3849</v>
      </c>
      <c r="Y1023" s="3">
        <f t="shared" si="111"/>
        <v>45006</v>
      </c>
      <c r="Z1023">
        <v>0.31</v>
      </c>
    </row>
    <row r="1024" spans="1:26" x14ac:dyDescent="0.35">
      <c r="A1024" t="s">
        <v>1031</v>
      </c>
      <c r="B1024" t="str">
        <f t="shared" si="112"/>
        <v>OK</v>
      </c>
      <c r="C1024" t="s">
        <v>2517</v>
      </c>
      <c r="D1024" s="2">
        <v>29</v>
      </c>
      <c r="E1024">
        <f>IF(OR(D1024&lt;18, D1024&gt;100),AD1023,D1024)</f>
        <v>29</v>
      </c>
      <c r="F1024" t="s">
        <v>2990</v>
      </c>
      <c r="G1024" t="str">
        <f t="shared" si="106"/>
        <v>Male</v>
      </c>
      <c r="H1024" t="s">
        <v>2999</v>
      </c>
      <c r="I1024" t="s">
        <v>3019</v>
      </c>
      <c r="K1024" t="str">
        <f t="shared" si="107"/>
        <v>Employed</v>
      </c>
      <c r="L1024">
        <v>19</v>
      </c>
      <c r="M1024">
        <v>725735</v>
      </c>
      <c r="N1024">
        <f t="shared" si="108"/>
        <v>725735</v>
      </c>
      <c r="O1024">
        <v>347069</v>
      </c>
      <c r="P1024">
        <v>14.88</v>
      </c>
      <c r="Q1024">
        <v>24</v>
      </c>
      <c r="R1024" t="s">
        <v>3051</v>
      </c>
      <c r="S1024" t="str">
        <f t="shared" si="109"/>
        <v>Education</v>
      </c>
      <c r="T1024">
        <v>665</v>
      </c>
      <c r="U1024">
        <f t="shared" si="110"/>
        <v>665</v>
      </c>
      <c r="V1024">
        <v>5</v>
      </c>
      <c r="W1024" t="s">
        <v>3056</v>
      </c>
      <c r="X1024" s="3" t="s">
        <v>3479</v>
      </c>
      <c r="Y1024" s="3">
        <f t="shared" si="111"/>
        <v>44247</v>
      </c>
      <c r="Z1024">
        <v>0.47820000000000001</v>
      </c>
    </row>
    <row r="1025" spans="1:26" x14ac:dyDescent="0.35">
      <c r="A1025" t="s">
        <v>1032</v>
      </c>
      <c r="B1025" t="str">
        <f t="shared" si="112"/>
        <v>OK</v>
      </c>
      <c r="C1025" t="s">
        <v>2518</v>
      </c>
      <c r="D1025" s="2">
        <v>59</v>
      </c>
      <c r="E1025">
        <f>IF(OR(D1025&lt;18, D1025&gt;100),AD1024,D1025)</f>
        <v>59</v>
      </c>
      <c r="F1025" t="s">
        <v>2990</v>
      </c>
      <c r="G1025" t="str">
        <f t="shared" si="106"/>
        <v>Male</v>
      </c>
      <c r="H1025" t="s">
        <v>3002</v>
      </c>
      <c r="I1025" t="s">
        <v>3020</v>
      </c>
      <c r="K1025" t="str">
        <f t="shared" si="107"/>
        <v>Self-Employed</v>
      </c>
      <c r="L1025">
        <v>24</v>
      </c>
      <c r="M1025">
        <v>804446</v>
      </c>
      <c r="N1025">
        <f t="shared" si="108"/>
        <v>804446</v>
      </c>
      <c r="O1025">
        <v>120546</v>
      </c>
      <c r="P1025">
        <v>14.07</v>
      </c>
      <c r="Q1025">
        <v>36</v>
      </c>
      <c r="S1025" t="str">
        <f t="shared" si="109"/>
        <v>Unknown</v>
      </c>
      <c r="T1025">
        <v>838</v>
      </c>
      <c r="U1025">
        <f t="shared" si="110"/>
        <v>838</v>
      </c>
      <c r="V1025">
        <v>2</v>
      </c>
      <c r="W1025" t="s">
        <v>3054</v>
      </c>
      <c r="X1025" s="3" t="s">
        <v>3850</v>
      </c>
      <c r="Y1025" s="3">
        <f t="shared" si="111"/>
        <v>43897</v>
      </c>
      <c r="Z1025">
        <v>0.14979999999999999</v>
      </c>
    </row>
    <row r="1026" spans="1:26" x14ac:dyDescent="0.35">
      <c r="A1026" t="s">
        <v>1033</v>
      </c>
      <c r="B1026" t="str">
        <f t="shared" si="112"/>
        <v>OK</v>
      </c>
      <c r="C1026" t="s">
        <v>2519</v>
      </c>
      <c r="D1026" s="2">
        <v>43</v>
      </c>
      <c r="E1026">
        <f>IF(OR(D1026&lt;18, D1026&gt;100),AD1025,D1026)</f>
        <v>43</v>
      </c>
      <c r="F1026" t="s">
        <v>2992</v>
      </c>
      <c r="G1026" t="str">
        <f t="shared" si="106"/>
        <v>Female</v>
      </c>
      <c r="H1026" t="s">
        <v>3000</v>
      </c>
      <c r="I1026" t="s">
        <v>3021</v>
      </c>
      <c r="K1026" t="str">
        <f t="shared" si="107"/>
        <v>Unemployed</v>
      </c>
      <c r="L1026">
        <v>14</v>
      </c>
      <c r="M1026">
        <v>602381</v>
      </c>
      <c r="N1026">
        <f t="shared" si="108"/>
        <v>602381</v>
      </c>
      <c r="O1026">
        <v>230048</v>
      </c>
      <c r="P1026">
        <v>27.84</v>
      </c>
      <c r="Q1026">
        <v>12</v>
      </c>
      <c r="R1026" t="s">
        <v>3049</v>
      </c>
      <c r="S1026" t="str">
        <f t="shared" si="109"/>
        <v>Business</v>
      </c>
      <c r="T1026">
        <v>726</v>
      </c>
      <c r="U1026">
        <f t="shared" si="110"/>
        <v>726</v>
      </c>
      <c r="V1026">
        <v>0</v>
      </c>
      <c r="W1026" t="s">
        <v>3052</v>
      </c>
      <c r="X1026" s="3" t="s">
        <v>3126</v>
      </c>
      <c r="Y1026" s="3">
        <f t="shared" si="111"/>
        <v>44309</v>
      </c>
      <c r="Z1026">
        <v>0.38190000000000002</v>
      </c>
    </row>
    <row r="1027" spans="1:26" x14ac:dyDescent="0.35">
      <c r="A1027" t="s">
        <v>1034</v>
      </c>
      <c r="B1027" t="str">
        <f t="shared" si="112"/>
        <v>OK</v>
      </c>
      <c r="C1027" t="s">
        <v>2520</v>
      </c>
      <c r="D1027" s="2">
        <v>48</v>
      </c>
      <c r="E1027">
        <f>IF(OR(D1027&lt;18, D1027&gt;100),AD1026,D1027)</f>
        <v>48</v>
      </c>
      <c r="F1027" t="s">
        <v>2992</v>
      </c>
      <c r="G1027" t="str">
        <f t="shared" ref="G1027:G1090" si="113">IF(F1027="", "Unknown", IF(OR(F1027="F", F1027="FEMALE", F1027="Female"), "Female", IF(OR(F1027="M", F1027="MALE", F1027="Male"), "Male", "Other")))</f>
        <v>Female</v>
      </c>
      <c r="H1027" t="s">
        <v>3004</v>
      </c>
      <c r="I1027" t="s">
        <v>3020</v>
      </c>
      <c r="K1027" t="str">
        <f t="shared" ref="K1027:K1090" si="114">IF(I1027="", "Unknown", I1027)</f>
        <v>Self-Employed</v>
      </c>
      <c r="L1027">
        <v>7</v>
      </c>
      <c r="M1027">
        <v>1566980</v>
      </c>
      <c r="N1027">
        <f t="shared" ref="N1027:N1090" si="115">IF(OR(M1027="",M1027&lt;0),$AD$3,M1027)</f>
        <v>1566980</v>
      </c>
      <c r="O1027">
        <v>48328</v>
      </c>
      <c r="P1027">
        <v>14.5</v>
      </c>
      <c r="Q1027">
        <v>60</v>
      </c>
      <c r="R1027" t="s">
        <v>3049</v>
      </c>
      <c r="S1027" t="str">
        <f t="shared" ref="S1027:S1090" si="116">IF(R1027="", "Unknown", R1027)</f>
        <v>Business</v>
      </c>
      <c r="T1027">
        <v>784</v>
      </c>
      <c r="U1027">
        <f t="shared" ref="U1027:U1090" si="117">IF(OR(T1027="",T1027&gt;999),$AD$2,T1027)</f>
        <v>784</v>
      </c>
      <c r="V1027">
        <v>2</v>
      </c>
      <c r="W1027" t="s">
        <v>3054</v>
      </c>
      <c r="X1027" s="3" t="s">
        <v>3851</v>
      </c>
      <c r="Y1027" s="3">
        <f t="shared" ref="Y1027:Y1090" si="118">IF(ISNUMBER(X1027), X1027, DATEVALUE(X1027))</f>
        <v>44148</v>
      </c>
      <c r="Z1027">
        <v>3.0800000000000001E-2</v>
      </c>
    </row>
    <row r="1028" spans="1:26" x14ac:dyDescent="0.35">
      <c r="A1028" t="s">
        <v>1035</v>
      </c>
      <c r="B1028" t="str">
        <f t="shared" si="112"/>
        <v>OK</v>
      </c>
      <c r="C1028" t="s">
        <v>2522</v>
      </c>
      <c r="D1028" s="2">
        <v>56</v>
      </c>
      <c r="E1028">
        <f>IF(OR(D1028&lt;18, D1028&gt;100),AD1027,D1028)</f>
        <v>56</v>
      </c>
      <c r="F1028" t="s">
        <v>2992</v>
      </c>
      <c r="G1028" t="str">
        <f t="shared" si="113"/>
        <v>Female</v>
      </c>
      <c r="H1028" t="s">
        <v>2998</v>
      </c>
      <c r="I1028" t="s">
        <v>3018</v>
      </c>
      <c r="K1028" t="str">
        <f t="shared" si="114"/>
        <v>Business Owner</v>
      </c>
      <c r="L1028">
        <v>4</v>
      </c>
      <c r="M1028">
        <v>296492</v>
      </c>
      <c r="N1028">
        <f t="shared" si="115"/>
        <v>296492</v>
      </c>
      <c r="O1028">
        <v>760520</v>
      </c>
      <c r="P1028">
        <v>13.92</v>
      </c>
      <c r="Q1028">
        <v>24</v>
      </c>
      <c r="R1028" t="s">
        <v>3050</v>
      </c>
      <c r="S1028" t="str">
        <f t="shared" si="116"/>
        <v>Agriculture</v>
      </c>
      <c r="T1028">
        <v>619</v>
      </c>
      <c r="U1028">
        <f t="shared" si="117"/>
        <v>619</v>
      </c>
      <c r="V1028">
        <v>0</v>
      </c>
      <c r="W1028" t="s">
        <v>3055</v>
      </c>
      <c r="X1028" s="3" t="s">
        <v>3853</v>
      </c>
      <c r="Y1028" s="3">
        <f t="shared" si="118"/>
        <v>44720</v>
      </c>
      <c r="Z1028">
        <v>2.5651000000000002</v>
      </c>
    </row>
    <row r="1029" spans="1:26" x14ac:dyDescent="0.35">
      <c r="A1029" t="s">
        <v>1036</v>
      </c>
      <c r="B1029" t="str">
        <f t="shared" si="112"/>
        <v>OK</v>
      </c>
      <c r="C1029" t="s">
        <v>2523</v>
      </c>
      <c r="D1029" s="2">
        <v>25</v>
      </c>
      <c r="E1029">
        <f>IF(OR(D1029&lt;18, D1029&gt;100),AD1028,D1029)</f>
        <v>25</v>
      </c>
      <c r="F1029" t="s">
        <v>2992</v>
      </c>
      <c r="G1029" t="str">
        <f t="shared" si="113"/>
        <v>Female</v>
      </c>
      <c r="H1029" t="s">
        <v>3002</v>
      </c>
      <c r="I1029" t="s">
        <v>3021</v>
      </c>
      <c r="K1029" t="str">
        <f t="shared" si="114"/>
        <v>Unemployed</v>
      </c>
      <c r="L1029">
        <v>15</v>
      </c>
      <c r="M1029">
        <v>1259924</v>
      </c>
      <c r="N1029">
        <f t="shared" si="115"/>
        <v>1259924</v>
      </c>
      <c r="O1029">
        <v>23696</v>
      </c>
      <c r="P1029">
        <v>9.67</v>
      </c>
      <c r="Q1029">
        <v>36</v>
      </c>
      <c r="R1029" t="s">
        <v>3049</v>
      </c>
      <c r="S1029" t="str">
        <f t="shared" si="116"/>
        <v>Business</v>
      </c>
      <c r="T1029">
        <v>714</v>
      </c>
      <c r="U1029">
        <f t="shared" si="117"/>
        <v>714</v>
      </c>
      <c r="V1029">
        <v>6</v>
      </c>
      <c r="W1029" t="s">
        <v>3053</v>
      </c>
      <c r="X1029" s="3" t="s">
        <v>3854</v>
      </c>
      <c r="Y1029" s="3">
        <f t="shared" si="118"/>
        <v>44444</v>
      </c>
      <c r="Z1029">
        <v>1.8800000000000001E-2</v>
      </c>
    </row>
    <row r="1030" spans="1:26" x14ac:dyDescent="0.35">
      <c r="A1030" t="s">
        <v>1037</v>
      </c>
      <c r="B1030" t="str">
        <f t="shared" si="112"/>
        <v>OK</v>
      </c>
      <c r="C1030" t="s">
        <v>2524</v>
      </c>
      <c r="D1030" s="2">
        <v>46</v>
      </c>
      <c r="E1030">
        <f>IF(OR(D1030&lt;18, D1030&gt;100),AD1029,D1030)</f>
        <v>46</v>
      </c>
      <c r="F1030" t="s">
        <v>2992</v>
      </c>
      <c r="G1030" t="str">
        <f t="shared" si="113"/>
        <v>Female</v>
      </c>
      <c r="H1030" t="s">
        <v>3002</v>
      </c>
      <c r="I1030" t="s">
        <v>3020</v>
      </c>
      <c r="K1030" t="str">
        <f t="shared" si="114"/>
        <v>Self-Employed</v>
      </c>
      <c r="L1030">
        <v>24</v>
      </c>
      <c r="M1030">
        <v>1030538</v>
      </c>
      <c r="N1030">
        <f t="shared" si="115"/>
        <v>1030538</v>
      </c>
      <c r="O1030">
        <v>50099</v>
      </c>
      <c r="P1030">
        <v>15.22</v>
      </c>
      <c r="Q1030">
        <v>12</v>
      </c>
      <c r="R1030" t="s">
        <v>3050</v>
      </c>
      <c r="S1030" t="str">
        <f t="shared" si="116"/>
        <v>Agriculture</v>
      </c>
      <c r="T1030">
        <v>589</v>
      </c>
      <c r="U1030">
        <f t="shared" si="117"/>
        <v>589</v>
      </c>
      <c r="V1030">
        <v>2</v>
      </c>
      <c r="W1030" t="s">
        <v>3054</v>
      </c>
      <c r="X1030" s="3" t="s">
        <v>3855</v>
      </c>
      <c r="Y1030" s="3">
        <f t="shared" si="118"/>
        <v>45129</v>
      </c>
      <c r="Z1030">
        <v>4.8599999999999997E-2</v>
      </c>
    </row>
    <row r="1031" spans="1:26" x14ac:dyDescent="0.35">
      <c r="A1031" t="s">
        <v>1038</v>
      </c>
      <c r="B1031" t="str">
        <f t="shared" si="112"/>
        <v>OK</v>
      </c>
      <c r="C1031" t="s">
        <v>2525</v>
      </c>
      <c r="D1031" s="2">
        <v>53</v>
      </c>
      <c r="E1031">
        <f>IF(OR(D1031&lt;18, D1031&gt;100),AD1030,D1031)</f>
        <v>53</v>
      </c>
      <c r="F1031" t="s">
        <v>2992</v>
      </c>
      <c r="G1031" t="str">
        <f t="shared" si="113"/>
        <v>Female</v>
      </c>
      <c r="H1031" t="s">
        <v>3000</v>
      </c>
      <c r="I1031" t="s">
        <v>3019</v>
      </c>
      <c r="K1031" t="str">
        <f t="shared" si="114"/>
        <v>Employed</v>
      </c>
      <c r="L1031">
        <v>0</v>
      </c>
      <c r="M1031">
        <v>405019</v>
      </c>
      <c r="N1031">
        <f t="shared" si="115"/>
        <v>405019</v>
      </c>
      <c r="O1031">
        <v>142332</v>
      </c>
      <c r="P1031">
        <v>20.04</v>
      </c>
      <c r="Q1031">
        <v>48</v>
      </c>
      <c r="R1031" t="s">
        <v>3049</v>
      </c>
      <c r="S1031" t="str">
        <f t="shared" si="116"/>
        <v>Business</v>
      </c>
      <c r="T1031">
        <v>527</v>
      </c>
      <c r="U1031">
        <f t="shared" si="117"/>
        <v>527</v>
      </c>
      <c r="V1031">
        <v>6</v>
      </c>
      <c r="W1031" t="s">
        <v>3052</v>
      </c>
      <c r="X1031" s="3" t="s">
        <v>3856</v>
      </c>
      <c r="Y1031" s="3">
        <f t="shared" si="118"/>
        <v>43871</v>
      </c>
      <c r="Z1031">
        <v>0.35139999999999999</v>
      </c>
    </row>
    <row r="1032" spans="1:26" x14ac:dyDescent="0.35">
      <c r="A1032" t="s">
        <v>1039</v>
      </c>
      <c r="B1032" t="str">
        <f t="shared" si="112"/>
        <v>OK</v>
      </c>
      <c r="C1032" t="s">
        <v>2526</v>
      </c>
      <c r="D1032" s="2">
        <v>64</v>
      </c>
      <c r="E1032">
        <f>IF(OR(D1032&lt;18, D1032&gt;100),AD1031,D1032)</f>
        <v>64</v>
      </c>
      <c r="F1032" t="s">
        <v>2990</v>
      </c>
      <c r="G1032" t="str">
        <f t="shared" si="113"/>
        <v>Male</v>
      </c>
      <c r="H1032" t="s">
        <v>3001</v>
      </c>
      <c r="I1032" t="s">
        <v>3020</v>
      </c>
      <c r="K1032" t="str">
        <f t="shared" si="114"/>
        <v>Self-Employed</v>
      </c>
      <c r="L1032">
        <v>4</v>
      </c>
      <c r="M1032">
        <v>460466</v>
      </c>
      <c r="N1032">
        <f t="shared" si="115"/>
        <v>460466</v>
      </c>
      <c r="O1032">
        <v>559243</v>
      </c>
      <c r="P1032">
        <v>23.97</v>
      </c>
      <c r="Q1032">
        <v>24</v>
      </c>
      <c r="R1032" t="s">
        <v>3046</v>
      </c>
      <c r="S1032" t="str">
        <f t="shared" si="116"/>
        <v>Medical</v>
      </c>
      <c r="T1032">
        <v>837</v>
      </c>
      <c r="U1032">
        <f t="shared" si="117"/>
        <v>837</v>
      </c>
      <c r="V1032">
        <v>6</v>
      </c>
      <c r="W1032" t="s">
        <v>3061</v>
      </c>
      <c r="X1032" s="3" t="s">
        <v>3389</v>
      </c>
      <c r="Y1032" s="3">
        <f t="shared" si="118"/>
        <v>44901</v>
      </c>
      <c r="Z1032">
        <v>1.2144999999999999</v>
      </c>
    </row>
    <row r="1033" spans="1:26" x14ac:dyDescent="0.35">
      <c r="A1033" t="s">
        <v>1040</v>
      </c>
      <c r="B1033" t="str">
        <f t="shared" si="112"/>
        <v>OK</v>
      </c>
      <c r="C1033" t="s">
        <v>2527</v>
      </c>
      <c r="D1033" s="2">
        <v>57</v>
      </c>
      <c r="E1033">
        <f>IF(OR(D1033&lt;18, D1033&gt;100),AD1032,D1033)</f>
        <v>57</v>
      </c>
      <c r="F1033" t="s">
        <v>2990</v>
      </c>
      <c r="G1033" t="str">
        <f t="shared" si="113"/>
        <v>Male</v>
      </c>
      <c r="H1033" t="s">
        <v>2999</v>
      </c>
      <c r="I1033" t="s">
        <v>3018</v>
      </c>
      <c r="K1033" t="str">
        <f t="shared" si="114"/>
        <v>Business Owner</v>
      </c>
      <c r="L1033">
        <v>4</v>
      </c>
      <c r="M1033">
        <v>498766</v>
      </c>
      <c r="N1033">
        <f t="shared" si="115"/>
        <v>498766</v>
      </c>
      <c r="O1033">
        <v>790824</v>
      </c>
      <c r="P1033">
        <v>14.69</v>
      </c>
      <c r="Q1033">
        <v>36</v>
      </c>
      <c r="R1033" t="s">
        <v>3049</v>
      </c>
      <c r="S1033" t="str">
        <f t="shared" si="116"/>
        <v>Business</v>
      </c>
      <c r="T1033">
        <v>559</v>
      </c>
      <c r="U1033">
        <f t="shared" si="117"/>
        <v>559</v>
      </c>
      <c r="V1033">
        <v>6</v>
      </c>
      <c r="W1033" t="s">
        <v>3055</v>
      </c>
      <c r="X1033" s="3" t="s">
        <v>3857</v>
      </c>
      <c r="Y1033" s="3">
        <f t="shared" si="118"/>
        <v>44308</v>
      </c>
      <c r="Z1033">
        <v>1.5855999999999999</v>
      </c>
    </row>
    <row r="1034" spans="1:26" x14ac:dyDescent="0.35">
      <c r="A1034" t="s">
        <v>1041</v>
      </c>
      <c r="B1034" t="str">
        <f t="shared" si="112"/>
        <v>OK</v>
      </c>
      <c r="C1034" t="s">
        <v>2528</v>
      </c>
      <c r="D1034" s="2">
        <v>49</v>
      </c>
      <c r="E1034">
        <f>IF(OR(D1034&lt;18, D1034&gt;100),AD1033,D1034)</f>
        <v>49</v>
      </c>
      <c r="F1034" t="s">
        <v>2990</v>
      </c>
      <c r="G1034" t="str">
        <f t="shared" si="113"/>
        <v>Male</v>
      </c>
      <c r="H1034" t="s">
        <v>3004</v>
      </c>
      <c r="I1034" t="s">
        <v>3019</v>
      </c>
      <c r="K1034" t="str">
        <f t="shared" si="114"/>
        <v>Employed</v>
      </c>
      <c r="L1034">
        <v>0</v>
      </c>
      <c r="M1034">
        <v>1754833</v>
      </c>
      <c r="N1034">
        <f t="shared" si="115"/>
        <v>1754833</v>
      </c>
      <c r="O1034">
        <v>148389</v>
      </c>
      <c r="P1034">
        <v>8.52</v>
      </c>
      <c r="Q1034">
        <v>24</v>
      </c>
      <c r="R1034" t="s">
        <v>3046</v>
      </c>
      <c r="S1034" t="str">
        <f t="shared" si="116"/>
        <v>Medical</v>
      </c>
      <c r="T1034">
        <v>652</v>
      </c>
      <c r="U1034">
        <f t="shared" si="117"/>
        <v>652</v>
      </c>
      <c r="V1034">
        <v>2</v>
      </c>
      <c r="W1034" t="s">
        <v>3057</v>
      </c>
      <c r="X1034" s="3" t="s">
        <v>3858</v>
      </c>
      <c r="Y1034" s="3">
        <f t="shared" si="118"/>
        <v>43947</v>
      </c>
      <c r="Z1034">
        <v>8.4599999999999995E-2</v>
      </c>
    </row>
    <row r="1035" spans="1:26" x14ac:dyDescent="0.35">
      <c r="A1035" t="s">
        <v>1042</v>
      </c>
      <c r="B1035" t="str">
        <f t="shared" si="112"/>
        <v>OK</v>
      </c>
      <c r="C1035" t="s">
        <v>2529</v>
      </c>
      <c r="D1035" s="2">
        <v>49</v>
      </c>
      <c r="E1035">
        <f>IF(OR(D1035&lt;18, D1035&gt;100),AD1034,D1035)</f>
        <v>49</v>
      </c>
      <c r="F1035" t="s">
        <v>2990</v>
      </c>
      <c r="G1035" t="str">
        <f t="shared" si="113"/>
        <v>Male</v>
      </c>
      <c r="H1035" t="s">
        <v>3006</v>
      </c>
      <c r="I1035" t="s">
        <v>3020</v>
      </c>
      <c r="K1035" t="str">
        <f t="shared" si="114"/>
        <v>Self-Employed</v>
      </c>
      <c r="L1035">
        <v>3</v>
      </c>
      <c r="M1035">
        <v>2020914</v>
      </c>
      <c r="N1035">
        <f t="shared" si="115"/>
        <v>2020914</v>
      </c>
      <c r="O1035">
        <v>652405</v>
      </c>
      <c r="P1035">
        <v>25.23</v>
      </c>
      <c r="Q1035">
        <v>24</v>
      </c>
      <c r="R1035" t="s">
        <v>3049</v>
      </c>
      <c r="S1035" t="str">
        <f t="shared" si="116"/>
        <v>Business</v>
      </c>
      <c r="T1035">
        <v>464</v>
      </c>
      <c r="U1035">
        <f t="shared" si="117"/>
        <v>464</v>
      </c>
      <c r="V1035">
        <v>1</v>
      </c>
      <c r="W1035" t="s">
        <v>3055</v>
      </c>
      <c r="X1035" s="3" t="s">
        <v>3859</v>
      </c>
      <c r="Y1035" s="3">
        <f t="shared" si="118"/>
        <v>45211</v>
      </c>
      <c r="Z1035">
        <v>0.32279999999999998</v>
      </c>
    </row>
    <row r="1036" spans="1:26" x14ac:dyDescent="0.35">
      <c r="A1036" t="s">
        <v>1043</v>
      </c>
      <c r="B1036" t="str">
        <f t="shared" si="112"/>
        <v>OK</v>
      </c>
      <c r="C1036" t="s">
        <v>2530</v>
      </c>
      <c r="D1036" s="2">
        <v>35</v>
      </c>
      <c r="E1036">
        <f>IF(OR(D1036&lt;18, D1036&gt;100),AD1035,D1036)</f>
        <v>35</v>
      </c>
      <c r="F1036" t="s">
        <v>2992</v>
      </c>
      <c r="G1036" t="str">
        <f t="shared" si="113"/>
        <v>Female</v>
      </c>
      <c r="H1036" t="s">
        <v>3007</v>
      </c>
      <c r="I1036" t="s">
        <v>3018</v>
      </c>
      <c r="K1036" t="str">
        <f t="shared" si="114"/>
        <v>Business Owner</v>
      </c>
      <c r="L1036">
        <v>26</v>
      </c>
      <c r="M1036">
        <v>1023804</v>
      </c>
      <c r="N1036">
        <f t="shared" si="115"/>
        <v>1023804</v>
      </c>
      <c r="O1036">
        <v>687540</v>
      </c>
      <c r="P1036">
        <v>23.46</v>
      </c>
      <c r="Q1036">
        <v>60</v>
      </c>
      <c r="R1036" t="s">
        <v>3051</v>
      </c>
      <c r="S1036" t="str">
        <f t="shared" si="116"/>
        <v>Education</v>
      </c>
      <c r="T1036">
        <v>695</v>
      </c>
      <c r="U1036">
        <f t="shared" si="117"/>
        <v>695</v>
      </c>
      <c r="V1036">
        <v>0</v>
      </c>
      <c r="W1036" t="s">
        <v>3057</v>
      </c>
      <c r="X1036" s="3" t="s">
        <v>3177</v>
      </c>
      <c r="Y1036" s="3">
        <f t="shared" si="118"/>
        <v>45078</v>
      </c>
      <c r="Z1036">
        <v>0.67159999999999997</v>
      </c>
    </row>
    <row r="1037" spans="1:26" x14ac:dyDescent="0.35">
      <c r="A1037" t="s">
        <v>1044</v>
      </c>
      <c r="B1037" t="str">
        <f t="shared" si="112"/>
        <v>OK</v>
      </c>
      <c r="C1037" t="s">
        <v>2531</v>
      </c>
      <c r="D1037" s="2">
        <v>61</v>
      </c>
      <c r="E1037">
        <f>IF(OR(D1037&lt;18, D1037&gt;100),AD1036,D1037)</f>
        <v>61</v>
      </c>
      <c r="F1037" t="s">
        <v>2992</v>
      </c>
      <c r="G1037" t="str">
        <f t="shared" si="113"/>
        <v>Female</v>
      </c>
      <c r="H1037" t="s">
        <v>3003</v>
      </c>
      <c r="I1037" t="s">
        <v>3018</v>
      </c>
      <c r="K1037" t="str">
        <f t="shared" si="114"/>
        <v>Business Owner</v>
      </c>
      <c r="L1037">
        <v>3</v>
      </c>
      <c r="M1037">
        <v>2115740</v>
      </c>
      <c r="N1037">
        <f t="shared" si="115"/>
        <v>2115740</v>
      </c>
      <c r="O1037">
        <v>305622</v>
      </c>
      <c r="P1037">
        <v>23.02</v>
      </c>
      <c r="Q1037">
        <v>48</v>
      </c>
      <c r="R1037" t="s">
        <v>3048</v>
      </c>
      <c r="S1037" t="str">
        <f t="shared" si="116"/>
        <v>Home Improvement</v>
      </c>
      <c r="T1037">
        <v>491</v>
      </c>
      <c r="U1037">
        <f t="shared" si="117"/>
        <v>491</v>
      </c>
      <c r="V1037">
        <v>2</v>
      </c>
      <c r="W1037" t="s">
        <v>3057</v>
      </c>
      <c r="X1037" s="3" t="s">
        <v>3860</v>
      </c>
      <c r="Y1037" s="3">
        <f t="shared" si="118"/>
        <v>45158</v>
      </c>
      <c r="Z1037">
        <v>0.14449999999999999</v>
      </c>
    </row>
    <row r="1038" spans="1:26" x14ac:dyDescent="0.35">
      <c r="A1038" t="s">
        <v>1045</v>
      </c>
      <c r="B1038" t="str">
        <f t="shared" si="112"/>
        <v>OK</v>
      </c>
      <c r="C1038" t="s">
        <v>2532</v>
      </c>
      <c r="D1038" s="2">
        <v>46</v>
      </c>
      <c r="E1038">
        <f>IF(OR(D1038&lt;18, D1038&gt;100),AD1037,D1038)</f>
        <v>46</v>
      </c>
      <c r="F1038" t="s">
        <v>2992</v>
      </c>
      <c r="G1038" t="str">
        <f t="shared" si="113"/>
        <v>Female</v>
      </c>
      <c r="H1038" t="s">
        <v>3000</v>
      </c>
      <c r="I1038" t="s">
        <v>3020</v>
      </c>
      <c r="K1038" t="str">
        <f t="shared" si="114"/>
        <v>Self-Employed</v>
      </c>
      <c r="L1038">
        <v>19</v>
      </c>
      <c r="M1038">
        <v>909497</v>
      </c>
      <c r="N1038">
        <f t="shared" si="115"/>
        <v>909497</v>
      </c>
      <c r="O1038">
        <v>695453</v>
      </c>
      <c r="P1038">
        <v>27.67</v>
      </c>
      <c r="Q1038">
        <v>60</v>
      </c>
      <c r="R1038" t="s">
        <v>3046</v>
      </c>
      <c r="S1038" t="str">
        <f t="shared" si="116"/>
        <v>Medical</v>
      </c>
      <c r="T1038">
        <v>427</v>
      </c>
      <c r="U1038">
        <f t="shared" si="117"/>
        <v>427</v>
      </c>
      <c r="V1038">
        <v>2</v>
      </c>
      <c r="W1038" t="s">
        <v>3052</v>
      </c>
      <c r="X1038" s="3" t="s">
        <v>3080</v>
      </c>
      <c r="Y1038" s="3">
        <f t="shared" si="118"/>
        <v>44264</v>
      </c>
      <c r="Z1038">
        <v>0.76470000000000005</v>
      </c>
    </row>
    <row r="1039" spans="1:26" x14ac:dyDescent="0.35">
      <c r="A1039" t="s">
        <v>1046</v>
      </c>
      <c r="B1039" t="str">
        <f t="shared" si="112"/>
        <v>OK</v>
      </c>
      <c r="C1039" t="s">
        <v>2533</v>
      </c>
      <c r="D1039" s="2">
        <v>59</v>
      </c>
      <c r="E1039">
        <f>IF(OR(D1039&lt;18, D1039&gt;100),AD1038,D1039)</f>
        <v>59</v>
      </c>
      <c r="F1039" t="s">
        <v>2990</v>
      </c>
      <c r="G1039" t="str">
        <f t="shared" si="113"/>
        <v>Male</v>
      </c>
      <c r="H1039" t="s">
        <v>3003</v>
      </c>
      <c r="I1039" t="s">
        <v>3021</v>
      </c>
      <c r="K1039" t="str">
        <f t="shared" si="114"/>
        <v>Unemployed</v>
      </c>
      <c r="L1039">
        <v>29</v>
      </c>
      <c r="M1039">
        <v>404695</v>
      </c>
      <c r="N1039">
        <f t="shared" si="115"/>
        <v>404695</v>
      </c>
      <c r="O1039">
        <v>74575</v>
      </c>
      <c r="P1039">
        <v>20.23</v>
      </c>
      <c r="Q1039">
        <v>60</v>
      </c>
      <c r="R1039" t="s">
        <v>3050</v>
      </c>
      <c r="S1039" t="str">
        <f t="shared" si="116"/>
        <v>Agriculture</v>
      </c>
      <c r="T1039">
        <v>392</v>
      </c>
      <c r="U1039">
        <f t="shared" si="117"/>
        <v>392</v>
      </c>
      <c r="V1039">
        <v>7</v>
      </c>
      <c r="W1039" t="s">
        <v>3052</v>
      </c>
      <c r="X1039" s="3" t="s">
        <v>3087</v>
      </c>
      <c r="Y1039" s="3">
        <f t="shared" si="118"/>
        <v>44477</v>
      </c>
      <c r="Z1039">
        <v>0.18429999999999999</v>
      </c>
    </row>
    <row r="1040" spans="1:26" x14ac:dyDescent="0.35">
      <c r="A1040" t="s">
        <v>1047</v>
      </c>
      <c r="B1040" t="str">
        <f t="shared" si="112"/>
        <v>OK</v>
      </c>
      <c r="C1040" t="s">
        <v>2534</v>
      </c>
      <c r="D1040" s="2">
        <v>35</v>
      </c>
      <c r="E1040">
        <f>IF(OR(D1040&lt;18, D1040&gt;100),AD1039,D1040)</f>
        <v>35</v>
      </c>
      <c r="F1040" t="s">
        <v>2990</v>
      </c>
      <c r="G1040" t="str">
        <f t="shared" si="113"/>
        <v>Male</v>
      </c>
      <c r="H1040" t="s">
        <v>3002</v>
      </c>
      <c r="I1040" t="s">
        <v>3018</v>
      </c>
      <c r="K1040" t="str">
        <f t="shared" si="114"/>
        <v>Business Owner</v>
      </c>
      <c r="L1040">
        <v>28</v>
      </c>
      <c r="M1040">
        <v>1919080</v>
      </c>
      <c r="N1040">
        <f t="shared" si="115"/>
        <v>1919080</v>
      </c>
      <c r="O1040">
        <v>757090</v>
      </c>
      <c r="P1040">
        <v>10.64</v>
      </c>
      <c r="Q1040">
        <v>12</v>
      </c>
      <c r="R1040" t="s">
        <v>3046</v>
      </c>
      <c r="S1040" t="str">
        <f t="shared" si="116"/>
        <v>Medical</v>
      </c>
      <c r="T1040">
        <v>826</v>
      </c>
      <c r="U1040">
        <f t="shared" si="117"/>
        <v>826</v>
      </c>
      <c r="V1040">
        <v>3</v>
      </c>
      <c r="W1040" t="s">
        <v>3055</v>
      </c>
      <c r="X1040" s="3" t="s">
        <v>3861</v>
      </c>
      <c r="Y1040" s="3">
        <f t="shared" si="118"/>
        <v>43937</v>
      </c>
      <c r="Z1040">
        <v>0.39450000000000002</v>
      </c>
    </row>
    <row r="1041" spans="1:26" x14ac:dyDescent="0.35">
      <c r="A1041" t="s">
        <v>1048</v>
      </c>
      <c r="B1041" t="str">
        <f t="shared" si="112"/>
        <v>OK</v>
      </c>
      <c r="C1041" t="s">
        <v>2535</v>
      </c>
      <c r="D1041" s="2">
        <v>26</v>
      </c>
      <c r="E1041">
        <f>IF(OR(D1041&lt;18, D1041&gt;100),AD1040,D1041)</f>
        <v>26</v>
      </c>
      <c r="F1041" t="s">
        <v>2990</v>
      </c>
      <c r="G1041" t="str">
        <f t="shared" si="113"/>
        <v>Male</v>
      </c>
      <c r="H1041" t="s">
        <v>3006</v>
      </c>
      <c r="I1041" t="s">
        <v>3018</v>
      </c>
      <c r="K1041" t="str">
        <f t="shared" si="114"/>
        <v>Business Owner</v>
      </c>
      <c r="L1041">
        <v>13</v>
      </c>
      <c r="M1041">
        <v>1642073</v>
      </c>
      <c r="N1041">
        <f t="shared" si="115"/>
        <v>1642073</v>
      </c>
      <c r="O1041">
        <v>115556</v>
      </c>
      <c r="P1041">
        <v>9.59</v>
      </c>
      <c r="Q1041">
        <v>12</v>
      </c>
      <c r="R1041" t="s">
        <v>3047</v>
      </c>
      <c r="S1041" t="str">
        <f t="shared" si="116"/>
        <v>Personal</v>
      </c>
      <c r="T1041">
        <v>815</v>
      </c>
      <c r="U1041">
        <f t="shared" si="117"/>
        <v>815</v>
      </c>
      <c r="V1041">
        <v>6</v>
      </c>
      <c r="W1041" t="s">
        <v>3057</v>
      </c>
      <c r="X1041" s="3" t="s">
        <v>3312</v>
      </c>
      <c r="Y1041" s="3">
        <f t="shared" si="118"/>
        <v>44825</v>
      </c>
      <c r="Z1041">
        <v>7.0400000000000004E-2</v>
      </c>
    </row>
    <row r="1042" spans="1:26" x14ac:dyDescent="0.35">
      <c r="A1042" t="s">
        <v>1049</v>
      </c>
      <c r="B1042" t="str">
        <f t="shared" si="112"/>
        <v>OK</v>
      </c>
      <c r="C1042" t="s">
        <v>2536</v>
      </c>
      <c r="D1042" s="2">
        <v>46</v>
      </c>
      <c r="E1042">
        <f>IF(OR(D1042&lt;18, D1042&gt;100),AD1041,D1042)</f>
        <v>46</v>
      </c>
      <c r="F1042" t="s">
        <v>2990</v>
      </c>
      <c r="G1042" t="str">
        <f t="shared" si="113"/>
        <v>Male</v>
      </c>
      <c r="H1042" t="s">
        <v>3002</v>
      </c>
      <c r="I1042" t="s">
        <v>3019</v>
      </c>
      <c r="K1042" t="str">
        <f t="shared" si="114"/>
        <v>Employed</v>
      </c>
      <c r="L1042">
        <v>16</v>
      </c>
      <c r="M1042">
        <v>1259583</v>
      </c>
      <c r="N1042">
        <f t="shared" si="115"/>
        <v>1259583</v>
      </c>
      <c r="O1042">
        <v>367220</v>
      </c>
      <c r="P1042">
        <v>14.64</v>
      </c>
      <c r="Q1042">
        <v>48</v>
      </c>
      <c r="R1042" t="s">
        <v>3046</v>
      </c>
      <c r="S1042" t="str">
        <f t="shared" si="116"/>
        <v>Medical</v>
      </c>
      <c r="U1042">
        <f t="shared" si="117"/>
        <v>556</v>
      </c>
      <c r="V1042">
        <v>6</v>
      </c>
      <c r="W1042" t="s">
        <v>3056</v>
      </c>
      <c r="X1042" s="3" t="s">
        <v>3862</v>
      </c>
      <c r="Y1042" s="3">
        <f t="shared" si="118"/>
        <v>44509</v>
      </c>
      <c r="Z1042">
        <v>0.29149999999999998</v>
      </c>
    </row>
    <row r="1043" spans="1:26" x14ac:dyDescent="0.35">
      <c r="A1043" t="s">
        <v>1050</v>
      </c>
      <c r="B1043" t="str">
        <f t="shared" si="112"/>
        <v>OK</v>
      </c>
      <c r="C1043" t="s">
        <v>2537</v>
      </c>
      <c r="D1043" s="2">
        <v>44</v>
      </c>
      <c r="E1043">
        <f>IF(OR(D1043&lt;18, D1043&gt;100),AD1042,D1043)</f>
        <v>44</v>
      </c>
      <c r="F1043" t="s">
        <v>2990</v>
      </c>
      <c r="G1043" t="str">
        <f t="shared" si="113"/>
        <v>Male</v>
      </c>
      <c r="H1043" t="s">
        <v>3004</v>
      </c>
      <c r="I1043" t="s">
        <v>3018</v>
      </c>
      <c r="K1043" t="str">
        <f t="shared" si="114"/>
        <v>Business Owner</v>
      </c>
      <c r="L1043">
        <v>20</v>
      </c>
      <c r="M1043">
        <v>1523276</v>
      </c>
      <c r="N1043">
        <f t="shared" si="115"/>
        <v>1523276</v>
      </c>
      <c r="O1043">
        <v>407025</v>
      </c>
      <c r="P1043">
        <v>27.81</v>
      </c>
      <c r="Q1043">
        <v>60</v>
      </c>
      <c r="R1043" t="s">
        <v>3047</v>
      </c>
      <c r="S1043" t="str">
        <f t="shared" si="116"/>
        <v>Personal</v>
      </c>
      <c r="T1043">
        <v>574</v>
      </c>
      <c r="U1043">
        <f t="shared" si="117"/>
        <v>574</v>
      </c>
      <c r="V1043">
        <v>2</v>
      </c>
      <c r="W1043" t="s">
        <v>3052</v>
      </c>
      <c r="X1043" s="3" t="s">
        <v>3863</v>
      </c>
      <c r="Y1043" s="3">
        <f t="shared" si="118"/>
        <v>44153</v>
      </c>
      <c r="Z1043">
        <v>0.26719999999999999</v>
      </c>
    </row>
    <row r="1044" spans="1:26" x14ac:dyDescent="0.35">
      <c r="A1044" t="s">
        <v>1051</v>
      </c>
      <c r="B1044" t="str">
        <f t="shared" si="112"/>
        <v>OK</v>
      </c>
      <c r="C1044" t="s">
        <v>2538</v>
      </c>
      <c r="D1044" s="2">
        <v>37</v>
      </c>
      <c r="E1044">
        <f>IF(OR(D1044&lt;18, D1044&gt;100),AD1043,D1044)</f>
        <v>37</v>
      </c>
      <c r="F1044" t="s">
        <v>2992</v>
      </c>
      <c r="G1044" t="str">
        <f t="shared" si="113"/>
        <v>Female</v>
      </c>
      <c r="H1044" t="s">
        <v>3003</v>
      </c>
      <c r="I1044" t="s">
        <v>3018</v>
      </c>
      <c r="K1044" t="str">
        <f t="shared" si="114"/>
        <v>Business Owner</v>
      </c>
      <c r="L1044">
        <v>2</v>
      </c>
      <c r="M1044">
        <v>1906676</v>
      </c>
      <c r="N1044">
        <f t="shared" si="115"/>
        <v>1906676</v>
      </c>
      <c r="O1044">
        <v>790097</v>
      </c>
      <c r="P1044">
        <v>17.03</v>
      </c>
      <c r="Q1044">
        <v>36</v>
      </c>
      <c r="R1044" t="s">
        <v>3048</v>
      </c>
      <c r="S1044" t="str">
        <f t="shared" si="116"/>
        <v>Home Improvement</v>
      </c>
      <c r="T1044">
        <v>569</v>
      </c>
      <c r="U1044">
        <f t="shared" si="117"/>
        <v>569</v>
      </c>
      <c r="V1044">
        <v>1</v>
      </c>
      <c r="W1044" t="s">
        <v>3052</v>
      </c>
      <c r="X1044" s="3" t="s">
        <v>3240</v>
      </c>
      <c r="Y1044" s="3">
        <f t="shared" si="118"/>
        <v>45252</v>
      </c>
      <c r="Z1044">
        <v>0.41439999999999999</v>
      </c>
    </row>
    <row r="1045" spans="1:26" x14ac:dyDescent="0.35">
      <c r="A1045" t="s">
        <v>1052</v>
      </c>
      <c r="B1045" t="str">
        <f t="shared" si="112"/>
        <v>OK</v>
      </c>
      <c r="C1045" t="s">
        <v>2539</v>
      </c>
      <c r="D1045" s="2">
        <v>43</v>
      </c>
      <c r="E1045">
        <f>IF(OR(D1045&lt;18, D1045&gt;100),AD1044,D1045)</f>
        <v>43</v>
      </c>
      <c r="F1045" t="s">
        <v>2990</v>
      </c>
      <c r="G1045" t="str">
        <f t="shared" si="113"/>
        <v>Male</v>
      </c>
      <c r="H1045" t="s">
        <v>3005</v>
      </c>
      <c r="I1045" t="s">
        <v>3019</v>
      </c>
      <c r="K1045" t="str">
        <f t="shared" si="114"/>
        <v>Employed</v>
      </c>
      <c r="L1045">
        <v>10</v>
      </c>
      <c r="M1045">
        <v>208625</v>
      </c>
      <c r="N1045">
        <f t="shared" si="115"/>
        <v>208625</v>
      </c>
      <c r="O1045">
        <v>444528</v>
      </c>
      <c r="P1045">
        <v>15.86</v>
      </c>
      <c r="Q1045">
        <v>12</v>
      </c>
      <c r="R1045" t="s">
        <v>3051</v>
      </c>
      <c r="S1045" t="str">
        <f t="shared" si="116"/>
        <v>Education</v>
      </c>
      <c r="T1045">
        <v>700</v>
      </c>
      <c r="U1045">
        <f t="shared" si="117"/>
        <v>700</v>
      </c>
      <c r="V1045">
        <v>3</v>
      </c>
      <c r="W1045" t="s">
        <v>3055</v>
      </c>
      <c r="X1045" s="3" t="s">
        <v>3065</v>
      </c>
      <c r="Y1045" s="3">
        <f t="shared" si="118"/>
        <v>44689</v>
      </c>
      <c r="Z1045">
        <v>2.1307999999999998</v>
      </c>
    </row>
    <row r="1046" spans="1:26" x14ac:dyDescent="0.35">
      <c r="A1046" t="s">
        <v>1053</v>
      </c>
      <c r="B1046" t="str">
        <f t="shared" si="112"/>
        <v>OK</v>
      </c>
      <c r="C1046" t="s">
        <v>2540</v>
      </c>
      <c r="D1046" s="2">
        <v>24</v>
      </c>
      <c r="E1046">
        <f>IF(OR(D1046&lt;18, D1046&gt;100),AD1045,D1046)</f>
        <v>24</v>
      </c>
      <c r="F1046" t="s">
        <v>2990</v>
      </c>
      <c r="G1046" t="str">
        <f t="shared" si="113"/>
        <v>Male</v>
      </c>
      <c r="H1046" t="s">
        <v>3005</v>
      </c>
      <c r="I1046" t="s">
        <v>3019</v>
      </c>
      <c r="K1046" t="str">
        <f t="shared" si="114"/>
        <v>Employed</v>
      </c>
      <c r="L1046">
        <v>11</v>
      </c>
      <c r="M1046">
        <v>799369</v>
      </c>
      <c r="N1046">
        <f t="shared" si="115"/>
        <v>799369</v>
      </c>
      <c r="O1046">
        <v>201196</v>
      </c>
      <c r="P1046">
        <v>14.95</v>
      </c>
      <c r="Q1046">
        <v>60</v>
      </c>
      <c r="R1046" t="s">
        <v>3051</v>
      </c>
      <c r="S1046" t="str">
        <f t="shared" si="116"/>
        <v>Education</v>
      </c>
      <c r="U1046">
        <f t="shared" si="117"/>
        <v>556</v>
      </c>
      <c r="V1046">
        <v>2</v>
      </c>
      <c r="W1046" t="s">
        <v>3055</v>
      </c>
      <c r="X1046" s="3" t="s">
        <v>3864</v>
      </c>
      <c r="Y1046" s="3">
        <f t="shared" si="118"/>
        <v>45291</v>
      </c>
      <c r="Z1046">
        <v>0.25169999999999998</v>
      </c>
    </row>
    <row r="1047" spans="1:26" x14ac:dyDescent="0.35">
      <c r="A1047" t="s">
        <v>1054</v>
      </c>
      <c r="B1047" t="str">
        <f t="shared" si="112"/>
        <v>OK</v>
      </c>
      <c r="C1047" t="s">
        <v>2541</v>
      </c>
      <c r="D1047" s="2">
        <v>32</v>
      </c>
      <c r="E1047">
        <f>IF(OR(D1047&lt;18, D1047&gt;100),AD1046,D1047)</f>
        <v>32</v>
      </c>
      <c r="F1047" t="s">
        <v>2990</v>
      </c>
      <c r="G1047" t="str">
        <f t="shared" si="113"/>
        <v>Male</v>
      </c>
      <c r="H1047" t="s">
        <v>3001</v>
      </c>
      <c r="I1047" t="s">
        <v>3020</v>
      </c>
      <c r="K1047" t="str">
        <f t="shared" si="114"/>
        <v>Self-Employed</v>
      </c>
      <c r="L1047">
        <v>24</v>
      </c>
      <c r="M1047">
        <v>1974291</v>
      </c>
      <c r="N1047">
        <f t="shared" si="115"/>
        <v>1974291</v>
      </c>
      <c r="O1047">
        <v>646256</v>
      </c>
      <c r="P1047">
        <v>20.14</v>
      </c>
      <c r="Q1047">
        <v>60</v>
      </c>
      <c r="R1047" t="s">
        <v>3050</v>
      </c>
      <c r="S1047" t="str">
        <f t="shared" si="116"/>
        <v>Agriculture</v>
      </c>
      <c r="T1047">
        <v>614</v>
      </c>
      <c r="U1047">
        <f t="shared" si="117"/>
        <v>614</v>
      </c>
      <c r="V1047">
        <v>1</v>
      </c>
      <c r="W1047" t="s">
        <v>3052</v>
      </c>
      <c r="X1047" s="3" t="s">
        <v>3568</v>
      </c>
      <c r="Y1047" s="3">
        <f t="shared" si="118"/>
        <v>44783</v>
      </c>
      <c r="Z1047">
        <v>0.32729999999999998</v>
      </c>
    </row>
    <row r="1048" spans="1:26" x14ac:dyDescent="0.35">
      <c r="A1048" t="s">
        <v>1055</v>
      </c>
      <c r="B1048" t="str">
        <f t="shared" si="112"/>
        <v>OK</v>
      </c>
      <c r="C1048" t="s">
        <v>2542</v>
      </c>
      <c r="D1048" s="2">
        <v>50</v>
      </c>
      <c r="E1048">
        <f>IF(OR(D1048&lt;18, D1048&gt;100),AD1047,D1048)</f>
        <v>50</v>
      </c>
      <c r="F1048" t="s">
        <v>2992</v>
      </c>
      <c r="G1048" t="str">
        <f t="shared" si="113"/>
        <v>Female</v>
      </c>
      <c r="H1048" t="s">
        <v>3012</v>
      </c>
      <c r="I1048" t="s">
        <v>3019</v>
      </c>
      <c r="K1048" t="str">
        <f t="shared" si="114"/>
        <v>Employed</v>
      </c>
      <c r="L1048">
        <v>6</v>
      </c>
      <c r="M1048">
        <v>2197107</v>
      </c>
      <c r="N1048">
        <f t="shared" si="115"/>
        <v>2197107</v>
      </c>
      <c r="O1048">
        <v>174626</v>
      </c>
      <c r="P1048">
        <v>19.559999999999999</v>
      </c>
      <c r="Q1048">
        <v>48</v>
      </c>
      <c r="R1048" t="s">
        <v>3046</v>
      </c>
      <c r="S1048" t="str">
        <f t="shared" si="116"/>
        <v>Medical</v>
      </c>
      <c r="T1048">
        <v>553</v>
      </c>
      <c r="U1048">
        <f t="shared" si="117"/>
        <v>553</v>
      </c>
      <c r="V1048">
        <v>7</v>
      </c>
      <c r="W1048" t="s">
        <v>3052</v>
      </c>
      <c r="X1048" s="3" t="s">
        <v>3865</v>
      </c>
      <c r="Y1048" s="3">
        <f t="shared" si="118"/>
        <v>44619</v>
      </c>
      <c r="Z1048">
        <v>7.9500000000000001E-2</v>
      </c>
    </row>
    <row r="1049" spans="1:26" x14ac:dyDescent="0.35">
      <c r="A1049" t="s">
        <v>1056</v>
      </c>
      <c r="B1049" t="str">
        <f t="shared" si="112"/>
        <v>OK</v>
      </c>
      <c r="C1049" t="s">
        <v>2543</v>
      </c>
      <c r="D1049" s="2">
        <v>56</v>
      </c>
      <c r="E1049">
        <f>IF(OR(D1049&lt;18, D1049&gt;100),AD1048,D1049)</f>
        <v>56</v>
      </c>
      <c r="F1049" t="s">
        <v>2992</v>
      </c>
      <c r="G1049" t="str">
        <f t="shared" si="113"/>
        <v>Female</v>
      </c>
      <c r="H1049" t="s">
        <v>3004</v>
      </c>
      <c r="I1049" t="s">
        <v>3021</v>
      </c>
      <c r="K1049" t="str">
        <f t="shared" si="114"/>
        <v>Unemployed</v>
      </c>
      <c r="L1049">
        <v>7</v>
      </c>
      <c r="M1049">
        <v>2088802</v>
      </c>
      <c r="N1049">
        <f t="shared" si="115"/>
        <v>2088802</v>
      </c>
      <c r="O1049">
        <v>688516</v>
      </c>
      <c r="P1049">
        <v>18.010000000000002</v>
      </c>
      <c r="Q1049">
        <v>24</v>
      </c>
      <c r="R1049" t="s">
        <v>3047</v>
      </c>
      <c r="S1049" t="str">
        <f t="shared" si="116"/>
        <v>Personal</v>
      </c>
      <c r="T1049">
        <v>308</v>
      </c>
      <c r="U1049">
        <f t="shared" si="117"/>
        <v>308</v>
      </c>
      <c r="V1049">
        <v>5</v>
      </c>
      <c r="W1049" t="s">
        <v>3054</v>
      </c>
      <c r="X1049" s="3" t="s">
        <v>3865</v>
      </c>
      <c r="Y1049" s="3">
        <f t="shared" si="118"/>
        <v>44619</v>
      </c>
      <c r="Z1049">
        <v>0.3296</v>
      </c>
    </row>
    <row r="1050" spans="1:26" x14ac:dyDescent="0.35">
      <c r="A1050" t="s">
        <v>1057</v>
      </c>
      <c r="B1050" t="str">
        <f t="shared" si="112"/>
        <v>OK</v>
      </c>
      <c r="C1050" t="s">
        <v>2544</v>
      </c>
      <c r="D1050" s="2">
        <v>33</v>
      </c>
      <c r="E1050">
        <f>IF(OR(D1050&lt;18, D1050&gt;100),AD1049,D1050)</f>
        <v>33</v>
      </c>
      <c r="F1050" t="s">
        <v>2992</v>
      </c>
      <c r="G1050" t="str">
        <f t="shared" si="113"/>
        <v>Female</v>
      </c>
      <c r="H1050" t="s">
        <v>2998</v>
      </c>
      <c r="I1050" t="s">
        <v>3021</v>
      </c>
      <c r="K1050" t="str">
        <f t="shared" si="114"/>
        <v>Unemployed</v>
      </c>
      <c r="L1050">
        <v>17</v>
      </c>
      <c r="M1050">
        <v>2140155</v>
      </c>
      <c r="N1050">
        <f t="shared" si="115"/>
        <v>2140155</v>
      </c>
      <c r="O1050">
        <v>198969</v>
      </c>
      <c r="P1050">
        <v>21.65</v>
      </c>
      <c r="Q1050">
        <v>24</v>
      </c>
      <c r="R1050" t="s">
        <v>3050</v>
      </c>
      <c r="S1050" t="str">
        <f t="shared" si="116"/>
        <v>Agriculture</v>
      </c>
      <c r="T1050">
        <v>486</v>
      </c>
      <c r="U1050">
        <f t="shared" si="117"/>
        <v>486</v>
      </c>
      <c r="V1050">
        <v>4</v>
      </c>
      <c r="W1050" t="s">
        <v>3055</v>
      </c>
      <c r="X1050" s="3" t="s">
        <v>3097</v>
      </c>
      <c r="Y1050" s="3">
        <f t="shared" si="118"/>
        <v>43912</v>
      </c>
      <c r="Z1050">
        <v>9.2999999999999999E-2</v>
      </c>
    </row>
    <row r="1051" spans="1:26" x14ac:dyDescent="0.35">
      <c r="A1051" t="s">
        <v>1058</v>
      </c>
      <c r="B1051" t="str">
        <f t="shared" si="112"/>
        <v>OK</v>
      </c>
      <c r="C1051" t="s">
        <v>2545</v>
      </c>
      <c r="D1051" s="2">
        <v>64</v>
      </c>
      <c r="E1051">
        <f>IF(OR(D1051&lt;18, D1051&gt;100),AD1050,D1051)</f>
        <v>64</v>
      </c>
      <c r="F1051" t="s">
        <v>2992</v>
      </c>
      <c r="G1051" t="str">
        <f t="shared" si="113"/>
        <v>Female</v>
      </c>
      <c r="H1051" t="s">
        <v>3001</v>
      </c>
      <c r="I1051" t="s">
        <v>3020</v>
      </c>
      <c r="K1051" t="str">
        <f t="shared" si="114"/>
        <v>Self-Employed</v>
      </c>
      <c r="L1051">
        <v>0</v>
      </c>
      <c r="M1051">
        <v>1241339</v>
      </c>
      <c r="N1051">
        <f t="shared" si="115"/>
        <v>1241339</v>
      </c>
      <c r="O1051">
        <v>771731</v>
      </c>
      <c r="P1051">
        <v>22.19</v>
      </c>
      <c r="Q1051">
        <v>48</v>
      </c>
      <c r="R1051" t="s">
        <v>3051</v>
      </c>
      <c r="S1051" t="str">
        <f t="shared" si="116"/>
        <v>Education</v>
      </c>
      <c r="T1051">
        <v>556</v>
      </c>
      <c r="U1051">
        <f t="shared" si="117"/>
        <v>556</v>
      </c>
      <c r="V1051">
        <v>0</v>
      </c>
      <c r="W1051" t="s">
        <v>3055</v>
      </c>
      <c r="X1051" s="3" t="s">
        <v>3383</v>
      </c>
      <c r="Y1051" s="3">
        <f t="shared" si="118"/>
        <v>44421</v>
      </c>
      <c r="Z1051">
        <v>0.62170000000000003</v>
      </c>
    </row>
    <row r="1052" spans="1:26" x14ac:dyDescent="0.35">
      <c r="A1052" t="s">
        <v>1059</v>
      </c>
      <c r="B1052" t="str">
        <f t="shared" si="112"/>
        <v>OK</v>
      </c>
      <c r="C1052" t="s">
        <v>2546</v>
      </c>
      <c r="D1052" s="2">
        <v>39</v>
      </c>
      <c r="E1052">
        <f>IF(OR(D1052&lt;18, D1052&gt;100),AD1051,D1052)</f>
        <v>39</v>
      </c>
      <c r="F1052" t="s">
        <v>2990</v>
      </c>
      <c r="G1052" t="str">
        <f t="shared" si="113"/>
        <v>Male</v>
      </c>
      <c r="H1052" t="s">
        <v>3001</v>
      </c>
      <c r="K1052" t="str">
        <f t="shared" si="114"/>
        <v>Unknown</v>
      </c>
      <c r="L1052">
        <v>11</v>
      </c>
      <c r="M1052">
        <v>623031</v>
      </c>
      <c r="N1052">
        <f t="shared" si="115"/>
        <v>623031</v>
      </c>
      <c r="O1052">
        <v>650421</v>
      </c>
      <c r="P1052">
        <v>18.39</v>
      </c>
      <c r="Q1052">
        <v>12</v>
      </c>
      <c r="R1052" t="s">
        <v>3049</v>
      </c>
      <c r="S1052" t="str">
        <f t="shared" si="116"/>
        <v>Business</v>
      </c>
      <c r="T1052">
        <v>645</v>
      </c>
      <c r="U1052">
        <f t="shared" si="117"/>
        <v>645</v>
      </c>
      <c r="V1052">
        <v>2</v>
      </c>
      <c r="W1052" t="s">
        <v>3053</v>
      </c>
      <c r="X1052" s="3" t="s">
        <v>3118</v>
      </c>
      <c r="Y1052" s="3">
        <f t="shared" si="118"/>
        <v>44329</v>
      </c>
      <c r="Z1052">
        <v>1.044</v>
      </c>
    </row>
    <row r="1053" spans="1:26" x14ac:dyDescent="0.35">
      <c r="A1053" t="s">
        <v>1060</v>
      </c>
      <c r="B1053" t="str">
        <f t="shared" si="112"/>
        <v>OK</v>
      </c>
      <c r="C1053" t="s">
        <v>2547</v>
      </c>
      <c r="D1053" s="2">
        <v>51</v>
      </c>
      <c r="E1053">
        <f>IF(OR(D1053&lt;18, D1053&gt;100),AD1052,D1053)</f>
        <v>51</v>
      </c>
      <c r="F1053" t="s">
        <v>2990</v>
      </c>
      <c r="G1053" t="str">
        <f t="shared" si="113"/>
        <v>Male</v>
      </c>
      <c r="H1053" t="s">
        <v>3000</v>
      </c>
      <c r="I1053" t="s">
        <v>3021</v>
      </c>
      <c r="K1053" t="str">
        <f t="shared" si="114"/>
        <v>Unemployed</v>
      </c>
      <c r="L1053">
        <v>9</v>
      </c>
      <c r="M1053">
        <v>1919461</v>
      </c>
      <c r="N1053">
        <f t="shared" si="115"/>
        <v>1919461</v>
      </c>
      <c r="O1053">
        <v>693812</v>
      </c>
      <c r="P1053">
        <v>23.6</v>
      </c>
      <c r="Q1053">
        <v>60</v>
      </c>
      <c r="R1053" t="s">
        <v>3046</v>
      </c>
      <c r="S1053" t="str">
        <f t="shared" si="116"/>
        <v>Medical</v>
      </c>
      <c r="T1053">
        <v>634</v>
      </c>
      <c r="U1053">
        <f t="shared" si="117"/>
        <v>634</v>
      </c>
      <c r="V1053">
        <v>2</v>
      </c>
      <c r="W1053" t="s">
        <v>3054</v>
      </c>
      <c r="X1053" s="3" t="s">
        <v>3866</v>
      </c>
      <c r="Y1053" s="3">
        <f t="shared" si="118"/>
        <v>44274</v>
      </c>
      <c r="Z1053">
        <v>0.36149999999999999</v>
      </c>
    </row>
    <row r="1054" spans="1:26" x14ac:dyDescent="0.35">
      <c r="A1054" t="s">
        <v>1061</v>
      </c>
      <c r="B1054" t="str">
        <f t="shared" si="112"/>
        <v>OK</v>
      </c>
      <c r="C1054" t="s">
        <v>2548</v>
      </c>
      <c r="D1054" s="2">
        <v>46</v>
      </c>
      <c r="E1054">
        <f>IF(OR(D1054&lt;18, D1054&gt;100),AD1053,D1054)</f>
        <v>46</v>
      </c>
      <c r="F1054" t="s">
        <v>2992</v>
      </c>
      <c r="G1054" t="str">
        <f t="shared" si="113"/>
        <v>Female</v>
      </c>
      <c r="H1054" t="s">
        <v>3006</v>
      </c>
      <c r="I1054" t="s">
        <v>3020</v>
      </c>
      <c r="K1054" t="str">
        <f t="shared" si="114"/>
        <v>Self-Employed</v>
      </c>
      <c r="L1054">
        <v>11</v>
      </c>
      <c r="M1054">
        <v>2332299</v>
      </c>
      <c r="N1054">
        <f t="shared" si="115"/>
        <v>2332299</v>
      </c>
      <c r="O1054">
        <v>73053</v>
      </c>
      <c r="P1054">
        <v>8.08</v>
      </c>
      <c r="Q1054">
        <v>60</v>
      </c>
      <c r="R1054" t="s">
        <v>3051</v>
      </c>
      <c r="S1054" t="str">
        <f t="shared" si="116"/>
        <v>Education</v>
      </c>
      <c r="T1054">
        <v>310</v>
      </c>
      <c r="U1054">
        <f t="shared" si="117"/>
        <v>310</v>
      </c>
      <c r="V1054">
        <v>4</v>
      </c>
      <c r="W1054" t="s">
        <v>3052</v>
      </c>
      <c r="X1054" s="3" t="s">
        <v>3867</v>
      </c>
      <c r="Y1054" s="3">
        <f t="shared" si="118"/>
        <v>44723</v>
      </c>
      <c r="Z1054">
        <v>3.1300000000000001E-2</v>
      </c>
    </row>
    <row r="1055" spans="1:26" x14ac:dyDescent="0.35">
      <c r="A1055" t="s">
        <v>1062</v>
      </c>
      <c r="B1055" t="str">
        <f t="shared" si="112"/>
        <v>OK</v>
      </c>
      <c r="C1055" t="s">
        <v>2549</v>
      </c>
      <c r="D1055" s="2">
        <v>31</v>
      </c>
      <c r="E1055">
        <f>IF(OR(D1055&lt;18, D1055&gt;100),AD1054,D1055)</f>
        <v>31</v>
      </c>
      <c r="F1055" t="s">
        <v>2992</v>
      </c>
      <c r="G1055" t="str">
        <f t="shared" si="113"/>
        <v>Female</v>
      </c>
      <c r="H1055" t="s">
        <v>3005</v>
      </c>
      <c r="I1055" t="s">
        <v>3020</v>
      </c>
      <c r="K1055" t="str">
        <f t="shared" si="114"/>
        <v>Self-Employed</v>
      </c>
      <c r="L1055">
        <v>12</v>
      </c>
      <c r="M1055">
        <v>1533324</v>
      </c>
      <c r="N1055">
        <f t="shared" si="115"/>
        <v>1533324</v>
      </c>
      <c r="O1055">
        <v>506675</v>
      </c>
      <c r="P1055">
        <v>11.38</v>
      </c>
      <c r="Q1055">
        <v>12</v>
      </c>
      <c r="R1055" t="s">
        <v>3050</v>
      </c>
      <c r="S1055" t="str">
        <f t="shared" si="116"/>
        <v>Agriculture</v>
      </c>
      <c r="T1055">
        <v>327</v>
      </c>
      <c r="U1055">
        <f t="shared" si="117"/>
        <v>327</v>
      </c>
      <c r="V1055">
        <v>4</v>
      </c>
      <c r="W1055" t="s">
        <v>3055</v>
      </c>
      <c r="X1055" s="3" t="s">
        <v>3868</v>
      </c>
      <c r="Y1055" s="3">
        <f t="shared" si="118"/>
        <v>45095</v>
      </c>
      <c r="Z1055">
        <v>0.33040000000000003</v>
      </c>
    </row>
    <row r="1056" spans="1:26" x14ac:dyDescent="0.35">
      <c r="A1056" t="s">
        <v>1063</v>
      </c>
      <c r="B1056" t="str">
        <f t="shared" si="112"/>
        <v>OK</v>
      </c>
      <c r="C1056" t="s">
        <v>2550</v>
      </c>
      <c r="D1056" s="2">
        <v>49</v>
      </c>
      <c r="E1056">
        <f>IF(OR(D1056&lt;18, D1056&gt;100),AD1055,D1056)</f>
        <v>49</v>
      </c>
      <c r="F1056" t="s">
        <v>2992</v>
      </c>
      <c r="G1056" t="str">
        <f t="shared" si="113"/>
        <v>Female</v>
      </c>
      <c r="H1056" t="s">
        <v>3003</v>
      </c>
      <c r="I1056" t="s">
        <v>3018</v>
      </c>
      <c r="K1056" t="str">
        <f t="shared" si="114"/>
        <v>Business Owner</v>
      </c>
      <c r="L1056">
        <v>6</v>
      </c>
      <c r="M1056">
        <v>2098370</v>
      </c>
      <c r="N1056">
        <f t="shared" si="115"/>
        <v>2098370</v>
      </c>
      <c r="O1056">
        <v>557977</v>
      </c>
      <c r="P1056">
        <v>18.29</v>
      </c>
      <c r="Q1056">
        <v>24</v>
      </c>
      <c r="R1056" t="s">
        <v>3051</v>
      </c>
      <c r="S1056" t="str">
        <f t="shared" si="116"/>
        <v>Education</v>
      </c>
      <c r="T1056">
        <v>794</v>
      </c>
      <c r="U1056">
        <f t="shared" si="117"/>
        <v>794</v>
      </c>
      <c r="V1056">
        <v>4</v>
      </c>
      <c r="W1056" t="s">
        <v>3056</v>
      </c>
      <c r="X1056" s="3" t="s">
        <v>3188</v>
      </c>
      <c r="Y1056" s="3">
        <f t="shared" si="118"/>
        <v>45018</v>
      </c>
      <c r="Z1056">
        <v>0.26590000000000003</v>
      </c>
    </row>
    <row r="1057" spans="1:26" x14ac:dyDescent="0.35">
      <c r="A1057" t="s">
        <v>1064</v>
      </c>
      <c r="B1057" t="str">
        <f t="shared" si="112"/>
        <v>OK</v>
      </c>
      <c r="C1057" t="s">
        <v>2551</v>
      </c>
      <c r="D1057" s="2">
        <v>63</v>
      </c>
      <c r="E1057">
        <f>IF(OR(D1057&lt;18, D1057&gt;100),AD1056,D1057)</f>
        <v>63</v>
      </c>
      <c r="F1057" t="s">
        <v>2992</v>
      </c>
      <c r="G1057" t="str">
        <f t="shared" si="113"/>
        <v>Female</v>
      </c>
      <c r="H1057" t="s">
        <v>3006</v>
      </c>
      <c r="I1057" t="s">
        <v>3020</v>
      </c>
      <c r="K1057" t="str">
        <f t="shared" si="114"/>
        <v>Self-Employed</v>
      </c>
      <c r="L1057">
        <v>10</v>
      </c>
      <c r="M1057">
        <v>195434</v>
      </c>
      <c r="N1057">
        <f t="shared" si="115"/>
        <v>195434</v>
      </c>
      <c r="O1057">
        <v>269265</v>
      </c>
      <c r="P1057">
        <v>26.52</v>
      </c>
      <c r="Q1057">
        <v>24</v>
      </c>
      <c r="R1057" t="s">
        <v>3047</v>
      </c>
      <c r="S1057" t="str">
        <f t="shared" si="116"/>
        <v>Personal</v>
      </c>
      <c r="T1057">
        <v>361</v>
      </c>
      <c r="U1057">
        <f t="shared" si="117"/>
        <v>361</v>
      </c>
      <c r="V1057">
        <v>1</v>
      </c>
      <c r="W1057" t="s">
        <v>3057</v>
      </c>
      <c r="X1057" s="3" t="s">
        <v>3869</v>
      </c>
      <c r="Y1057" s="3">
        <f t="shared" si="118"/>
        <v>45134</v>
      </c>
      <c r="Z1057">
        <v>1.3777999999999999</v>
      </c>
    </row>
    <row r="1058" spans="1:26" x14ac:dyDescent="0.35">
      <c r="A1058" t="s">
        <v>1065</v>
      </c>
      <c r="B1058" t="str">
        <f t="shared" si="112"/>
        <v>OK</v>
      </c>
      <c r="C1058" t="s">
        <v>2552</v>
      </c>
      <c r="D1058" s="2">
        <v>34</v>
      </c>
      <c r="E1058">
        <f>IF(OR(D1058&lt;18, D1058&gt;100),AD1057,D1058)</f>
        <v>34</v>
      </c>
      <c r="F1058" t="s">
        <v>2992</v>
      </c>
      <c r="G1058" t="str">
        <f t="shared" si="113"/>
        <v>Female</v>
      </c>
      <c r="H1058" t="s">
        <v>3006</v>
      </c>
      <c r="I1058" t="s">
        <v>3019</v>
      </c>
      <c r="K1058" t="str">
        <f t="shared" si="114"/>
        <v>Employed</v>
      </c>
      <c r="L1058">
        <v>2</v>
      </c>
      <c r="M1058">
        <v>574583</v>
      </c>
      <c r="N1058">
        <f t="shared" si="115"/>
        <v>574583</v>
      </c>
      <c r="O1058">
        <v>778108</v>
      </c>
      <c r="P1058">
        <v>19.77</v>
      </c>
      <c r="Q1058">
        <v>24</v>
      </c>
      <c r="R1058" t="s">
        <v>3048</v>
      </c>
      <c r="S1058" t="str">
        <f t="shared" si="116"/>
        <v>Home Improvement</v>
      </c>
      <c r="T1058">
        <v>552</v>
      </c>
      <c r="U1058">
        <f t="shared" si="117"/>
        <v>552</v>
      </c>
      <c r="V1058">
        <v>4</v>
      </c>
      <c r="W1058" t="s">
        <v>3053</v>
      </c>
      <c r="X1058" s="3" t="s">
        <v>3870</v>
      </c>
      <c r="Y1058" s="3">
        <f t="shared" si="118"/>
        <v>43981</v>
      </c>
      <c r="Z1058">
        <v>1.3542000000000001</v>
      </c>
    </row>
    <row r="1059" spans="1:26" x14ac:dyDescent="0.35">
      <c r="A1059" t="s">
        <v>1066</v>
      </c>
      <c r="B1059" t="str">
        <f t="shared" si="112"/>
        <v>OK</v>
      </c>
      <c r="C1059" t="s">
        <v>2553</v>
      </c>
      <c r="D1059" s="2">
        <v>59</v>
      </c>
      <c r="E1059">
        <f>IF(OR(D1059&lt;18, D1059&gt;100),AD1058,D1059)</f>
        <v>59</v>
      </c>
      <c r="F1059" t="s">
        <v>2990</v>
      </c>
      <c r="G1059" t="str">
        <f t="shared" si="113"/>
        <v>Male</v>
      </c>
      <c r="H1059" t="s">
        <v>3006</v>
      </c>
      <c r="I1059" t="s">
        <v>3021</v>
      </c>
      <c r="K1059" t="str">
        <f t="shared" si="114"/>
        <v>Unemployed</v>
      </c>
      <c r="L1059">
        <v>12</v>
      </c>
      <c r="M1059">
        <v>1149211</v>
      </c>
      <c r="N1059">
        <f t="shared" si="115"/>
        <v>1149211</v>
      </c>
      <c r="O1059">
        <v>675129</v>
      </c>
      <c r="P1059">
        <v>27.13</v>
      </c>
      <c r="Q1059">
        <v>24</v>
      </c>
      <c r="R1059" t="s">
        <v>3046</v>
      </c>
      <c r="S1059" t="str">
        <f t="shared" si="116"/>
        <v>Medical</v>
      </c>
      <c r="T1059">
        <v>624</v>
      </c>
      <c r="U1059">
        <f t="shared" si="117"/>
        <v>624</v>
      </c>
      <c r="V1059">
        <v>7</v>
      </c>
      <c r="W1059" t="s">
        <v>3054</v>
      </c>
      <c r="X1059" s="3" t="s">
        <v>3339</v>
      </c>
      <c r="Y1059" s="3">
        <f t="shared" si="118"/>
        <v>45049</v>
      </c>
      <c r="Z1059">
        <v>0.58750000000000002</v>
      </c>
    </row>
    <row r="1060" spans="1:26" x14ac:dyDescent="0.35">
      <c r="A1060" t="s">
        <v>1067</v>
      </c>
      <c r="B1060" t="str">
        <f t="shared" si="112"/>
        <v>OK</v>
      </c>
      <c r="C1060" t="s">
        <v>2554</v>
      </c>
      <c r="D1060" s="2">
        <v>44</v>
      </c>
      <c r="E1060">
        <f>IF(OR(D1060&lt;18, D1060&gt;100),AD1059,D1060)</f>
        <v>44</v>
      </c>
      <c r="F1060" t="s">
        <v>2992</v>
      </c>
      <c r="G1060" t="str">
        <f t="shared" si="113"/>
        <v>Female</v>
      </c>
      <c r="H1060" t="s">
        <v>3005</v>
      </c>
      <c r="I1060" t="s">
        <v>3020</v>
      </c>
      <c r="K1060" t="str">
        <f t="shared" si="114"/>
        <v>Self-Employed</v>
      </c>
      <c r="L1060">
        <v>5</v>
      </c>
      <c r="M1060">
        <v>423306</v>
      </c>
      <c r="N1060">
        <f t="shared" si="115"/>
        <v>423306</v>
      </c>
      <c r="O1060">
        <v>657787</v>
      </c>
      <c r="P1060">
        <v>15.1</v>
      </c>
      <c r="Q1060">
        <v>12</v>
      </c>
      <c r="R1060" t="s">
        <v>3049</v>
      </c>
      <c r="S1060" t="str">
        <f t="shared" si="116"/>
        <v>Business</v>
      </c>
      <c r="T1060">
        <v>575</v>
      </c>
      <c r="U1060">
        <f t="shared" si="117"/>
        <v>575</v>
      </c>
      <c r="V1060">
        <v>4</v>
      </c>
      <c r="W1060" t="s">
        <v>3052</v>
      </c>
      <c r="X1060" s="3" t="s">
        <v>3306</v>
      </c>
      <c r="Y1060" s="3">
        <f t="shared" si="118"/>
        <v>44223</v>
      </c>
      <c r="Z1060">
        <v>1.5539000000000001</v>
      </c>
    </row>
    <row r="1061" spans="1:26" x14ac:dyDescent="0.35">
      <c r="A1061" t="s">
        <v>1068</v>
      </c>
      <c r="B1061" t="str">
        <f t="shared" si="112"/>
        <v>OK</v>
      </c>
      <c r="C1061" t="s">
        <v>2555</v>
      </c>
      <c r="D1061" s="2">
        <v>26</v>
      </c>
      <c r="E1061">
        <f>IF(OR(D1061&lt;18, D1061&gt;100),AD1060,D1061)</f>
        <v>26</v>
      </c>
      <c r="F1061" t="s">
        <v>2992</v>
      </c>
      <c r="G1061" t="str">
        <f t="shared" si="113"/>
        <v>Female</v>
      </c>
      <c r="H1061" t="s">
        <v>3003</v>
      </c>
      <c r="I1061" t="s">
        <v>3018</v>
      </c>
      <c r="K1061" t="str">
        <f t="shared" si="114"/>
        <v>Business Owner</v>
      </c>
      <c r="L1061">
        <v>24</v>
      </c>
      <c r="M1061">
        <v>465521</v>
      </c>
      <c r="N1061">
        <f t="shared" si="115"/>
        <v>465521</v>
      </c>
      <c r="O1061">
        <v>620600</v>
      </c>
      <c r="P1061">
        <v>15.63</v>
      </c>
      <c r="Q1061">
        <v>24</v>
      </c>
      <c r="R1061" t="s">
        <v>3050</v>
      </c>
      <c r="S1061" t="str">
        <f t="shared" si="116"/>
        <v>Agriculture</v>
      </c>
      <c r="T1061">
        <v>446</v>
      </c>
      <c r="U1061">
        <f t="shared" si="117"/>
        <v>446</v>
      </c>
      <c r="V1061">
        <v>2</v>
      </c>
      <c r="W1061" t="s">
        <v>3055</v>
      </c>
      <c r="X1061" s="3" t="s">
        <v>3871</v>
      </c>
      <c r="Y1061" s="3">
        <f t="shared" si="118"/>
        <v>45025</v>
      </c>
      <c r="Z1061">
        <v>1.3331</v>
      </c>
    </row>
    <row r="1062" spans="1:26" x14ac:dyDescent="0.35">
      <c r="A1062" t="s">
        <v>1069</v>
      </c>
      <c r="B1062" t="str">
        <f t="shared" si="112"/>
        <v>OK</v>
      </c>
      <c r="C1062" t="s">
        <v>1849</v>
      </c>
      <c r="D1062" s="2">
        <v>46</v>
      </c>
      <c r="E1062">
        <f>IF(OR(D1062&lt;18, D1062&gt;100),AD1061,D1062)</f>
        <v>46</v>
      </c>
      <c r="F1062" t="s">
        <v>2990</v>
      </c>
      <c r="G1062" t="str">
        <f t="shared" si="113"/>
        <v>Male</v>
      </c>
      <c r="H1062" t="s">
        <v>3005</v>
      </c>
      <c r="I1062" t="s">
        <v>3018</v>
      </c>
      <c r="K1062" t="str">
        <f t="shared" si="114"/>
        <v>Business Owner</v>
      </c>
      <c r="L1062">
        <v>7</v>
      </c>
      <c r="M1062">
        <v>899401</v>
      </c>
      <c r="N1062">
        <f t="shared" si="115"/>
        <v>899401</v>
      </c>
      <c r="O1062">
        <v>596201</v>
      </c>
      <c r="P1062" t="s">
        <v>3037</v>
      </c>
      <c r="Q1062">
        <v>48</v>
      </c>
      <c r="R1062" t="s">
        <v>3047</v>
      </c>
      <c r="S1062" t="str">
        <f t="shared" si="116"/>
        <v>Personal</v>
      </c>
      <c r="T1062">
        <v>352</v>
      </c>
      <c r="U1062">
        <f t="shared" si="117"/>
        <v>352</v>
      </c>
      <c r="V1062">
        <v>2</v>
      </c>
      <c r="W1062" t="s">
        <v>3057</v>
      </c>
      <c r="X1062" s="3" t="s">
        <v>3872</v>
      </c>
      <c r="Y1062" s="3">
        <f t="shared" si="118"/>
        <v>44442</v>
      </c>
      <c r="Z1062">
        <v>0.66290000000000004</v>
      </c>
    </row>
    <row r="1063" spans="1:26" x14ac:dyDescent="0.35">
      <c r="A1063" t="s">
        <v>1070</v>
      </c>
      <c r="B1063" t="str">
        <f t="shared" si="112"/>
        <v>OK</v>
      </c>
      <c r="C1063" t="s">
        <v>2556</v>
      </c>
      <c r="D1063" s="2">
        <v>34</v>
      </c>
      <c r="E1063">
        <f>IF(OR(D1063&lt;18, D1063&gt;100),AD1062,D1063)</f>
        <v>34</v>
      </c>
      <c r="F1063" t="s">
        <v>2992</v>
      </c>
      <c r="G1063" t="str">
        <f t="shared" si="113"/>
        <v>Female</v>
      </c>
      <c r="H1063" t="s">
        <v>3007</v>
      </c>
      <c r="I1063" t="s">
        <v>3020</v>
      </c>
      <c r="K1063" t="str">
        <f t="shared" si="114"/>
        <v>Self-Employed</v>
      </c>
      <c r="L1063">
        <v>21</v>
      </c>
      <c r="M1063">
        <v>2300464</v>
      </c>
      <c r="N1063">
        <f t="shared" si="115"/>
        <v>2300464</v>
      </c>
      <c r="O1063">
        <v>237060</v>
      </c>
      <c r="P1063">
        <v>11.8</v>
      </c>
      <c r="Q1063">
        <v>48</v>
      </c>
      <c r="R1063" t="s">
        <v>3048</v>
      </c>
      <c r="S1063" t="str">
        <f t="shared" si="116"/>
        <v>Home Improvement</v>
      </c>
      <c r="U1063">
        <f t="shared" si="117"/>
        <v>556</v>
      </c>
      <c r="V1063">
        <v>7</v>
      </c>
      <c r="W1063" t="s">
        <v>3054</v>
      </c>
      <c r="X1063" s="3" t="s">
        <v>3873</v>
      </c>
      <c r="Y1063" s="3">
        <f t="shared" si="118"/>
        <v>44704</v>
      </c>
      <c r="Z1063">
        <v>0.10299999999999999</v>
      </c>
    </row>
    <row r="1064" spans="1:26" x14ac:dyDescent="0.35">
      <c r="A1064" t="s">
        <v>1071</v>
      </c>
      <c r="B1064" t="str">
        <f t="shared" si="112"/>
        <v>OK</v>
      </c>
      <c r="C1064" t="s">
        <v>2557</v>
      </c>
      <c r="D1064" s="2">
        <v>37</v>
      </c>
      <c r="E1064">
        <f>IF(OR(D1064&lt;18, D1064&gt;100),AD1063,D1064)</f>
        <v>37</v>
      </c>
      <c r="F1064" t="s">
        <v>2992</v>
      </c>
      <c r="G1064" t="str">
        <f t="shared" si="113"/>
        <v>Female</v>
      </c>
      <c r="H1064" t="s">
        <v>3005</v>
      </c>
      <c r="I1064" t="s">
        <v>3018</v>
      </c>
      <c r="K1064" t="str">
        <f t="shared" si="114"/>
        <v>Business Owner</v>
      </c>
      <c r="L1064">
        <v>23</v>
      </c>
      <c r="M1064">
        <v>1385663</v>
      </c>
      <c r="N1064">
        <f t="shared" si="115"/>
        <v>1385663</v>
      </c>
      <c r="O1064">
        <v>71374</v>
      </c>
      <c r="P1064">
        <v>9.34</v>
      </c>
      <c r="Q1064">
        <v>36</v>
      </c>
      <c r="R1064" t="s">
        <v>3051</v>
      </c>
      <c r="S1064" t="str">
        <f t="shared" si="116"/>
        <v>Education</v>
      </c>
      <c r="T1064">
        <v>460</v>
      </c>
      <c r="U1064">
        <f t="shared" si="117"/>
        <v>460</v>
      </c>
      <c r="V1064">
        <v>5</v>
      </c>
      <c r="W1064" t="s">
        <v>3054</v>
      </c>
      <c r="X1064" s="3" t="s">
        <v>3434</v>
      </c>
      <c r="Y1064" s="3">
        <f t="shared" si="118"/>
        <v>43972</v>
      </c>
      <c r="Z1064">
        <v>5.1499999999999997E-2</v>
      </c>
    </row>
    <row r="1065" spans="1:26" x14ac:dyDescent="0.35">
      <c r="A1065" t="s">
        <v>1072</v>
      </c>
      <c r="B1065" t="str">
        <f t="shared" si="112"/>
        <v>OK</v>
      </c>
      <c r="C1065" t="s">
        <v>2558</v>
      </c>
      <c r="D1065" s="2">
        <v>55</v>
      </c>
      <c r="E1065">
        <f>IF(OR(D1065&lt;18, D1065&gt;100),AD1064,D1065)</f>
        <v>55</v>
      </c>
      <c r="F1065" t="s">
        <v>2992</v>
      </c>
      <c r="G1065" t="str">
        <f t="shared" si="113"/>
        <v>Female</v>
      </c>
      <c r="H1065" t="s">
        <v>3000</v>
      </c>
      <c r="I1065" t="s">
        <v>3018</v>
      </c>
      <c r="K1065" t="str">
        <f t="shared" si="114"/>
        <v>Business Owner</v>
      </c>
      <c r="L1065">
        <v>10</v>
      </c>
      <c r="M1065">
        <v>2270545</v>
      </c>
      <c r="N1065">
        <f t="shared" si="115"/>
        <v>2270545</v>
      </c>
      <c r="O1065">
        <v>448733</v>
      </c>
      <c r="P1065">
        <v>19.28</v>
      </c>
      <c r="Q1065">
        <v>60</v>
      </c>
      <c r="R1065" t="s">
        <v>3046</v>
      </c>
      <c r="S1065" t="str">
        <f t="shared" si="116"/>
        <v>Medical</v>
      </c>
      <c r="T1065">
        <v>490</v>
      </c>
      <c r="U1065">
        <f t="shared" si="117"/>
        <v>490</v>
      </c>
      <c r="V1065">
        <v>3</v>
      </c>
      <c r="W1065" t="s">
        <v>3054</v>
      </c>
      <c r="X1065" s="3" t="s">
        <v>3666</v>
      </c>
      <c r="Y1065" s="3">
        <f t="shared" si="118"/>
        <v>44067</v>
      </c>
      <c r="Z1065">
        <v>0.1976</v>
      </c>
    </row>
    <row r="1066" spans="1:26" x14ac:dyDescent="0.35">
      <c r="A1066" t="s">
        <v>1073</v>
      </c>
      <c r="B1066" t="str">
        <f t="shared" si="112"/>
        <v>OK</v>
      </c>
      <c r="C1066" t="s">
        <v>2559</v>
      </c>
      <c r="D1066" s="2">
        <v>52</v>
      </c>
      <c r="E1066">
        <f>IF(OR(D1066&lt;18, D1066&gt;100),AD1065,D1066)</f>
        <v>52</v>
      </c>
      <c r="F1066" t="s">
        <v>2992</v>
      </c>
      <c r="G1066" t="str">
        <f t="shared" si="113"/>
        <v>Female</v>
      </c>
      <c r="H1066" t="s">
        <v>3001</v>
      </c>
      <c r="I1066" t="s">
        <v>3021</v>
      </c>
      <c r="K1066" t="str">
        <f t="shared" si="114"/>
        <v>Unemployed</v>
      </c>
      <c r="L1066">
        <v>22</v>
      </c>
      <c r="M1066">
        <v>332360</v>
      </c>
      <c r="N1066">
        <f t="shared" si="115"/>
        <v>332360</v>
      </c>
      <c r="O1066">
        <v>731028</v>
      </c>
      <c r="P1066">
        <v>16.62</v>
      </c>
      <c r="Q1066">
        <v>60</v>
      </c>
      <c r="R1066" t="s">
        <v>3048</v>
      </c>
      <c r="S1066" t="str">
        <f t="shared" si="116"/>
        <v>Home Improvement</v>
      </c>
      <c r="T1066">
        <v>811</v>
      </c>
      <c r="U1066">
        <f t="shared" si="117"/>
        <v>811</v>
      </c>
      <c r="V1066">
        <v>0</v>
      </c>
      <c r="W1066" t="s">
        <v>3054</v>
      </c>
      <c r="X1066" s="3" t="s">
        <v>3212</v>
      </c>
      <c r="Y1066" s="3">
        <f t="shared" si="118"/>
        <v>44242</v>
      </c>
      <c r="Z1066">
        <v>2.1995</v>
      </c>
    </row>
    <row r="1067" spans="1:26" x14ac:dyDescent="0.35">
      <c r="A1067" t="s">
        <v>1074</v>
      </c>
      <c r="B1067" t="str">
        <f t="shared" si="112"/>
        <v>OK</v>
      </c>
      <c r="C1067" t="s">
        <v>2560</v>
      </c>
      <c r="D1067" s="2">
        <v>59</v>
      </c>
      <c r="E1067">
        <f>IF(OR(D1067&lt;18, D1067&gt;100),AD1066,D1067)</f>
        <v>59</v>
      </c>
      <c r="F1067" t="s">
        <v>2992</v>
      </c>
      <c r="G1067" t="str">
        <f t="shared" si="113"/>
        <v>Female</v>
      </c>
      <c r="H1067" t="s">
        <v>3011</v>
      </c>
      <c r="I1067" t="s">
        <v>3019</v>
      </c>
      <c r="K1067" t="str">
        <f t="shared" si="114"/>
        <v>Employed</v>
      </c>
      <c r="L1067">
        <v>0</v>
      </c>
      <c r="M1067">
        <v>455709</v>
      </c>
      <c r="N1067">
        <f t="shared" si="115"/>
        <v>455709</v>
      </c>
      <c r="O1067">
        <v>746448</v>
      </c>
      <c r="P1067">
        <v>12.64</v>
      </c>
      <c r="Q1067">
        <v>60</v>
      </c>
      <c r="R1067" t="s">
        <v>3051</v>
      </c>
      <c r="S1067" t="str">
        <f t="shared" si="116"/>
        <v>Education</v>
      </c>
      <c r="T1067">
        <v>498</v>
      </c>
      <c r="U1067">
        <f t="shared" si="117"/>
        <v>498</v>
      </c>
      <c r="V1067">
        <v>3</v>
      </c>
      <c r="W1067" t="s">
        <v>3054</v>
      </c>
      <c r="X1067" s="3" t="s">
        <v>3242</v>
      </c>
      <c r="Y1067" s="3">
        <f t="shared" si="118"/>
        <v>44066</v>
      </c>
      <c r="Z1067">
        <v>1.6379999999999999</v>
      </c>
    </row>
    <row r="1068" spans="1:26" x14ac:dyDescent="0.35">
      <c r="A1068" t="s">
        <v>1075</v>
      </c>
      <c r="B1068" t="str">
        <f t="shared" si="112"/>
        <v>OK</v>
      </c>
      <c r="C1068" t="s">
        <v>2562</v>
      </c>
      <c r="D1068" s="2">
        <v>45</v>
      </c>
      <c r="E1068">
        <f>IF(OR(D1068&lt;18, D1068&gt;100),AD1067,D1068)</f>
        <v>45</v>
      </c>
      <c r="F1068" t="s">
        <v>2992</v>
      </c>
      <c r="G1068" t="str">
        <f t="shared" si="113"/>
        <v>Female</v>
      </c>
      <c r="H1068" t="s">
        <v>3000</v>
      </c>
      <c r="I1068" t="s">
        <v>3019</v>
      </c>
      <c r="K1068" t="str">
        <f t="shared" si="114"/>
        <v>Employed</v>
      </c>
      <c r="L1068">
        <v>4</v>
      </c>
      <c r="M1068">
        <v>1760677</v>
      </c>
      <c r="N1068">
        <f t="shared" si="115"/>
        <v>1760677</v>
      </c>
      <c r="O1068">
        <v>559660</v>
      </c>
      <c r="P1068">
        <v>21.55</v>
      </c>
      <c r="Q1068">
        <v>60</v>
      </c>
      <c r="R1068" t="s">
        <v>3050</v>
      </c>
      <c r="S1068" t="str">
        <f t="shared" si="116"/>
        <v>Agriculture</v>
      </c>
      <c r="T1068">
        <v>530</v>
      </c>
      <c r="U1068">
        <f t="shared" si="117"/>
        <v>530</v>
      </c>
      <c r="V1068">
        <v>1</v>
      </c>
      <c r="W1068" t="s">
        <v>3054</v>
      </c>
      <c r="X1068" s="3" t="s">
        <v>3875</v>
      </c>
      <c r="Y1068" s="3">
        <f t="shared" si="118"/>
        <v>44181</v>
      </c>
      <c r="Z1068">
        <v>0.31790000000000002</v>
      </c>
    </row>
    <row r="1069" spans="1:26" x14ac:dyDescent="0.35">
      <c r="A1069" t="s">
        <v>1076</v>
      </c>
      <c r="B1069" t="str">
        <f t="shared" si="112"/>
        <v>OK</v>
      </c>
      <c r="C1069" t="s">
        <v>2563</v>
      </c>
      <c r="D1069" s="2">
        <v>30</v>
      </c>
      <c r="E1069">
        <f>IF(OR(D1069&lt;18, D1069&gt;100),AD1068,D1069)</f>
        <v>30</v>
      </c>
      <c r="F1069" t="s">
        <v>2990</v>
      </c>
      <c r="G1069" t="str">
        <f t="shared" si="113"/>
        <v>Male</v>
      </c>
      <c r="H1069" t="s">
        <v>2998</v>
      </c>
      <c r="I1069" t="s">
        <v>3020</v>
      </c>
      <c r="K1069" t="str">
        <f t="shared" si="114"/>
        <v>Self-Employed</v>
      </c>
      <c r="L1069">
        <v>0</v>
      </c>
      <c r="M1069">
        <v>542455</v>
      </c>
      <c r="N1069">
        <f t="shared" si="115"/>
        <v>542455</v>
      </c>
      <c r="O1069">
        <v>610189</v>
      </c>
      <c r="P1069">
        <v>11.29</v>
      </c>
      <c r="Q1069">
        <v>48</v>
      </c>
      <c r="S1069" t="str">
        <f t="shared" si="116"/>
        <v>Unknown</v>
      </c>
      <c r="T1069">
        <v>482</v>
      </c>
      <c r="U1069">
        <f t="shared" si="117"/>
        <v>482</v>
      </c>
      <c r="V1069">
        <v>4</v>
      </c>
      <c r="W1069" t="s">
        <v>3056</v>
      </c>
      <c r="X1069" s="3" t="s">
        <v>3541</v>
      </c>
      <c r="Y1069" s="3">
        <f t="shared" si="118"/>
        <v>45107</v>
      </c>
      <c r="Z1069">
        <v>1.1249</v>
      </c>
    </row>
    <row r="1070" spans="1:26" x14ac:dyDescent="0.35">
      <c r="A1070" t="s">
        <v>1077</v>
      </c>
      <c r="B1070" t="str">
        <f t="shared" si="112"/>
        <v>OK</v>
      </c>
      <c r="C1070" t="s">
        <v>2564</v>
      </c>
      <c r="D1070" s="2">
        <v>26</v>
      </c>
      <c r="E1070">
        <f>IF(OR(D1070&lt;18, D1070&gt;100),AD1069,D1070)</f>
        <v>26</v>
      </c>
      <c r="F1070" t="s">
        <v>2990</v>
      </c>
      <c r="G1070" t="str">
        <f t="shared" si="113"/>
        <v>Male</v>
      </c>
      <c r="H1070" t="s">
        <v>3001</v>
      </c>
      <c r="I1070" t="s">
        <v>3020</v>
      </c>
      <c r="K1070" t="str">
        <f t="shared" si="114"/>
        <v>Self-Employed</v>
      </c>
      <c r="L1070">
        <v>5</v>
      </c>
      <c r="M1070">
        <v>2284683</v>
      </c>
      <c r="N1070">
        <f t="shared" si="115"/>
        <v>2284683</v>
      </c>
      <c r="O1070">
        <v>787286</v>
      </c>
      <c r="P1070">
        <v>22.69</v>
      </c>
      <c r="Q1070">
        <v>60</v>
      </c>
      <c r="R1070" t="s">
        <v>3046</v>
      </c>
      <c r="S1070" t="str">
        <f t="shared" si="116"/>
        <v>Medical</v>
      </c>
      <c r="T1070">
        <v>692</v>
      </c>
      <c r="U1070">
        <f t="shared" si="117"/>
        <v>692</v>
      </c>
      <c r="V1070">
        <v>4</v>
      </c>
      <c r="W1070" t="s">
        <v>3052</v>
      </c>
      <c r="X1070" s="3" t="s">
        <v>3876</v>
      </c>
      <c r="Y1070" s="3">
        <f t="shared" si="118"/>
        <v>44392</v>
      </c>
      <c r="Z1070">
        <v>0.34460000000000002</v>
      </c>
    </row>
    <row r="1071" spans="1:26" x14ac:dyDescent="0.35">
      <c r="A1071" t="s">
        <v>1078</v>
      </c>
      <c r="B1071" t="str">
        <f t="shared" si="112"/>
        <v>OK</v>
      </c>
      <c r="C1071" t="s">
        <v>2565</v>
      </c>
      <c r="D1071" s="2">
        <v>59</v>
      </c>
      <c r="E1071">
        <f>IF(OR(D1071&lt;18, D1071&gt;100),AD1070,D1071)</f>
        <v>59</v>
      </c>
      <c r="F1071" t="s">
        <v>2992</v>
      </c>
      <c r="G1071" t="str">
        <f t="shared" si="113"/>
        <v>Female</v>
      </c>
      <c r="H1071" t="s">
        <v>3009</v>
      </c>
      <c r="I1071" t="s">
        <v>3018</v>
      </c>
      <c r="K1071" t="str">
        <f t="shared" si="114"/>
        <v>Business Owner</v>
      </c>
      <c r="L1071">
        <v>19</v>
      </c>
      <c r="M1071">
        <v>1623717</v>
      </c>
      <c r="N1071">
        <f t="shared" si="115"/>
        <v>1623717</v>
      </c>
      <c r="O1071">
        <v>286010</v>
      </c>
      <c r="P1071">
        <v>17.28</v>
      </c>
      <c r="Q1071">
        <v>36</v>
      </c>
      <c r="R1071" t="s">
        <v>3051</v>
      </c>
      <c r="S1071" t="str">
        <f t="shared" si="116"/>
        <v>Education</v>
      </c>
      <c r="T1071">
        <v>592</v>
      </c>
      <c r="U1071">
        <f t="shared" si="117"/>
        <v>592</v>
      </c>
      <c r="V1071">
        <v>5</v>
      </c>
      <c r="W1071" t="s">
        <v>3054</v>
      </c>
      <c r="X1071" s="3" t="s">
        <v>3877</v>
      </c>
      <c r="Y1071" s="3">
        <f t="shared" si="118"/>
        <v>44992</v>
      </c>
      <c r="Z1071">
        <v>0.17610000000000001</v>
      </c>
    </row>
    <row r="1072" spans="1:26" x14ac:dyDescent="0.35">
      <c r="A1072" t="s">
        <v>1079</v>
      </c>
      <c r="B1072" t="str">
        <f t="shared" si="112"/>
        <v>OK</v>
      </c>
      <c r="C1072" t="s">
        <v>2566</v>
      </c>
      <c r="D1072" s="2">
        <v>29</v>
      </c>
      <c r="E1072">
        <f>IF(OR(D1072&lt;18, D1072&gt;100),AD1071,D1072)</f>
        <v>29</v>
      </c>
      <c r="F1072" t="s">
        <v>2990</v>
      </c>
      <c r="G1072" t="str">
        <f t="shared" si="113"/>
        <v>Male</v>
      </c>
      <c r="H1072" t="s">
        <v>2998</v>
      </c>
      <c r="I1072" t="s">
        <v>3021</v>
      </c>
      <c r="K1072" t="str">
        <f t="shared" si="114"/>
        <v>Unemployed</v>
      </c>
      <c r="L1072">
        <v>16</v>
      </c>
      <c r="M1072">
        <v>1809849</v>
      </c>
      <c r="N1072">
        <f t="shared" si="115"/>
        <v>1809849</v>
      </c>
      <c r="O1072">
        <v>32828</v>
      </c>
      <c r="P1072">
        <v>26.63</v>
      </c>
      <c r="Q1072">
        <v>12</v>
      </c>
      <c r="R1072" t="s">
        <v>3049</v>
      </c>
      <c r="S1072" t="str">
        <f t="shared" si="116"/>
        <v>Business</v>
      </c>
      <c r="T1072">
        <v>693</v>
      </c>
      <c r="U1072">
        <f t="shared" si="117"/>
        <v>693</v>
      </c>
      <c r="V1072">
        <v>4</v>
      </c>
      <c r="W1072" t="s">
        <v>3054</v>
      </c>
      <c r="X1072" s="3" t="s">
        <v>3878</v>
      </c>
      <c r="Y1072" s="3">
        <f t="shared" si="118"/>
        <v>44917</v>
      </c>
      <c r="Z1072">
        <v>1.8100000000000002E-2</v>
      </c>
    </row>
    <row r="1073" spans="1:26" x14ac:dyDescent="0.35">
      <c r="A1073" t="s">
        <v>1080</v>
      </c>
      <c r="B1073" t="str">
        <f t="shared" si="112"/>
        <v>OK</v>
      </c>
      <c r="C1073" t="s">
        <v>2567</v>
      </c>
      <c r="D1073" s="2">
        <v>62</v>
      </c>
      <c r="E1073">
        <f>IF(OR(D1073&lt;18, D1073&gt;100),AD1072,D1073)</f>
        <v>62</v>
      </c>
      <c r="F1073" t="s">
        <v>2992</v>
      </c>
      <c r="G1073" t="str">
        <f t="shared" si="113"/>
        <v>Female</v>
      </c>
      <c r="H1073" t="s">
        <v>3002</v>
      </c>
      <c r="I1073" t="s">
        <v>3019</v>
      </c>
      <c r="K1073" t="str">
        <f t="shared" si="114"/>
        <v>Employed</v>
      </c>
      <c r="L1073">
        <v>26</v>
      </c>
      <c r="M1073">
        <v>569954</v>
      </c>
      <c r="N1073">
        <f t="shared" si="115"/>
        <v>569954</v>
      </c>
      <c r="O1073">
        <v>404193</v>
      </c>
      <c r="P1073">
        <v>15.13</v>
      </c>
      <c r="Q1073">
        <v>36</v>
      </c>
      <c r="R1073" t="s">
        <v>3049</v>
      </c>
      <c r="S1073" t="str">
        <f t="shared" si="116"/>
        <v>Business</v>
      </c>
      <c r="T1073">
        <v>834</v>
      </c>
      <c r="U1073">
        <f t="shared" si="117"/>
        <v>834</v>
      </c>
      <c r="V1073">
        <v>1</v>
      </c>
      <c r="W1073" t="s">
        <v>3054</v>
      </c>
      <c r="X1073" s="3" t="s">
        <v>3879</v>
      </c>
      <c r="Y1073" s="3">
        <f t="shared" si="118"/>
        <v>44662</v>
      </c>
      <c r="Z1073">
        <v>0.70920000000000005</v>
      </c>
    </row>
    <row r="1074" spans="1:26" x14ac:dyDescent="0.35">
      <c r="A1074" t="s">
        <v>750</v>
      </c>
      <c r="B1074" t="str">
        <f t="shared" si="112"/>
        <v>OK</v>
      </c>
      <c r="C1074" t="s">
        <v>2239</v>
      </c>
      <c r="D1074" s="2">
        <v>41</v>
      </c>
      <c r="E1074">
        <f>IF(OR(D1074&lt;18, D1074&gt;100),AD1073,D1074)</f>
        <v>41</v>
      </c>
      <c r="F1074" t="s">
        <v>2992</v>
      </c>
      <c r="G1074" t="str">
        <f t="shared" si="113"/>
        <v>Female</v>
      </c>
      <c r="H1074" t="s">
        <v>3005</v>
      </c>
      <c r="I1074" t="s">
        <v>3018</v>
      </c>
      <c r="K1074" t="str">
        <f t="shared" si="114"/>
        <v>Business Owner</v>
      </c>
      <c r="L1074">
        <v>6</v>
      </c>
      <c r="N1074">
        <f t="shared" si="115"/>
        <v>1333224</v>
      </c>
      <c r="O1074">
        <v>313052</v>
      </c>
      <c r="P1074">
        <v>24.48</v>
      </c>
      <c r="Q1074">
        <v>48</v>
      </c>
      <c r="R1074" t="s">
        <v>3047</v>
      </c>
      <c r="S1074" t="str">
        <f t="shared" si="116"/>
        <v>Personal</v>
      </c>
      <c r="T1074">
        <v>792</v>
      </c>
      <c r="U1074">
        <f t="shared" si="117"/>
        <v>792</v>
      </c>
      <c r="V1074">
        <v>5</v>
      </c>
      <c r="W1074" t="s">
        <v>3052</v>
      </c>
      <c r="X1074" s="3" t="s">
        <v>3677</v>
      </c>
      <c r="Y1074" s="3">
        <f t="shared" si="118"/>
        <v>44820</v>
      </c>
      <c r="Z1074">
        <v>0.2366</v>
      </c>
    </row>
    <row r="1075" spans="1:26" x14ac:dyDescent="0.35">
      <c r="A1075" t="s">
        <v>1081</v>
      </c>
      <c r="B1075" t="str">
        <f t="shared" si="112"/>
        <v>OK</v>
      </c>
      <c r="C1075" t="s">
        <v>2568</v>
      </c>
      <c r="D1075" s="2">
        <v>60</v>
      </c>
      <c r="E1075">
        <f>IF(OR(D1075&lt;18, D1075&gt;100),AD1074,D1075)</f>
        <v>60</v>
      </c>
      <c r="F1075" t="s">
        <v>2992</v>
      </c>
      <c r="G1075" t="str">
        <f t="shared" si="113"/>
        <v>Female</v>
      </c>
      <c r="H1075" t="s">
        <v>3001</v>
      </c>
      <c r="I1075" t="s">
        <v>3018</v>
      </c>
      <c r="K1075" t="str">
        <f t="shared" si="114"/>
        <v>Business Owner</v>
      </c>
      <c r="L1075">
        <v>17</v>
      </c>
      <c r="M1075">
        <v>1697740</v>
      </c>
      <c r="N1075">
        <f t="shared" si="115"/>
        <v>1697740</v>
      </c>
      <c r="O1075">
        <v>632084</v>
      </c>
      <c r="P1075">
        <v>10.41</v>
      </c>
      <c r="Q1075">
        <v>36</v>
      </c>
      <c r="R1075" t="s">
        <v>3051</v>
      </c>
      <c r="S1075" t="str">
        <f t="shared" si="116"/>
        <v>Education</v>
      </c>
      <c r="T1075">
        <v>772</v>
      </c>
      <c r="U1075">
        <f t="shared" si="117"/>
        <v>772</v>
      </c>
      <c r="V1075">
        <v>0</v>
      </c>
      <c r="W1075" t="s">
        <v>3057</v>
      </c>
      <c r="X1075" s="3" t="s">
        <v>3626</v>
      </c>
      <c r="Y1075" s="3">
        <f t="shared" si="118"/>
        <v>44127</v>
      </c>
      <c r="Z1075">
        <v>0.37230000000000002</v>
      </c>
    </row>
    <row r="1076" spans="1:26" x14ac:dyDescent="0.35">
      <c r="A1076" t="s">
        <v>1082</v>
      </c>
      <c r="B1076" t="str">
        <f t="shared" si="112"/>
        <v>OK</v>
      </c>
      <c r="C1076" t="s">
        <v>2569</v>
      </c>
      <c r="D1076" s="2">
        <v>54</v>
      </c>
      <c r="E1076">
        <f>IF(OR(D1076&lt;18, D1076&gt;100),AD1075,D1076)</f>
        <v>54</v>
      </c>
      <c r="F1076" t="s">
        <v>2990</v>
      </c>
      <c r="G1076" t="str">
        <f t="shared" si="113"/>
        <v>Male</v>
      </c>
      <c r="H1076" t="s">
        <v>3007</v>
      </c>
      <c r="I1076" t="s">
        <v>3019</v>
      </c>
      <c r="K1076" t="str">
        <f t="shared" si="114"/>
        <v>Employed</v>
      </c>
      <c r="L1076">
        <v>29</v>
      </c>
      <c r="M1076">
        <v>1550485</v>
      </c>
      <c r="N1076">
        <f t="shared" si="115"/>
        <v>1550485</v>
      </c>
      <c r="O1076">
        <v>450179</v>
      </c>
      <c r="P1076">
        <v>8.9700000000000006</v>
      </c>
      <c r="Q1076">
        <v>60</v>
      </c>
      <c r="R1076" t="s">
        <v>3048</v>
      </c>
      <c r="S1076" t="str">
        <f t="shared" si="116"/>
        <v>Home Improvement</v>
      </c>
      <c r="T1076">
        <v>456</v>
      </c>
      <c r="U1076">
        <f t="shared" si="117"/>
        <v>456</v>
      </c>
      <c r="V1076">
        <v>5</v>
      </c>
      <c r="W1076" t="s">
        <v>3056</v>
      </c>
      <c r="X1076" s="3" t="s">
        <v>3880</v>
      </c>
      <c r="Y1076" s="3">
        <f t="shared" si="118"/>
        <v>43872</v>
      </c>
      <c r="Z1076">
        <v>0.2903</v>
      </c>
    </row>
    <row r="1077" spans="1:26" x14ac:dyDescent="0.35">
      <c r="A1077" t="s">
        <v>1083</v>
      </c>
      <c r="B1077" t="str">
        <f t="shared" si="112"/>
        <v>OK</v>
      </c>
      <c r="C1077" t="s">
        <v>2570</v>
      </c>
      <c r="D1077" s="2">
        <v>46</v>
      </c>
      <c r="E1077">
        <f>IF(OR(D1077&lt;18, D1077&gt;100),AD1076,D1077)</f>
        <v>46</v>
      </c>
      <c r="F1077" t="s">
        <v>2992</v>
      </c>
      <c r="G1077" t="str">
        <f t="shared" si="113"/>
        <v>Female</v>
      </c>
      <c r="H1077" t="s">
        <v>3002</v>
      </c>
      <c r="I1077" t="s">
        <v>3019</v>
      </c>
      <c r="K1077" t="str">
        <f t="shared" si="114"/>
        <v>Employed</v>
      </c>
      <c r="L1077">
        <v>16</v>
      </c>
      <c r="M1077">
        <v>319544</v>
      </c>
      <c r="N1077">
        <f t="shared" si="115"/>
        <v>319544</v>
      </c>
      <c r="O1077">
        <v>186782</v>
      </c>
      <c r="P1077">
        <v>14.9</v>
      </c>
      <c r="Q1077">
        <v>36</v>
      </c>
      <c r="R1077" t="s">
        <v>3050</v>
      </c>
      <c r="S1077" t="str">
        <f t="shared" si="116"/>
        <v>Agriculture</v>
      </c>
      <c r="T1077">
        <v>518</v>
      </c>
      <c r="U1077">
        <f t="shared" si="117"/>
        <v>518</v>
      </c>
      <c r="V1077">
        <v>5</v>
      </c>
      <c r="W1077" t="s">
        <v>3052</v>
      </c>
      <c r="X1077" s="3" t="s">
        <v>3881</v>
      </c>
      <c r="Y1077" s="3">
        <f t="shared" si="118"/>
        <v>44428</v>
      </c>
      <c r="Z1077">
        <v>0.58450000000000002</v>
      </c>
    </row>
    <row r="1078" spans="1:26" x14ac:dyDescent="0.35">
      <c r="A1078" t="s">
        <v>1084</v>
      </c>
      <c r="B1078" t="str">
        <f t="shared" si="112"/>
        <v>OK</v>
      </c>
      <c r="C1078" t="s">
        <v>2571</v>
      </c>
      <c r="D1078" s="2">
        <v>30</v>
      </c>
      <c r="E1078">
        <f>IF(OR(D1078&lt;18, D1078&gt;100),AD1077,D1078)</f>
        <v>30</v>
      </c>
      <c r="F1078" t="s">
        <v>2992</v>
      </c>
      <c r="G1078" t="str">
        <f t="shared" si="113"/>
        <v>Female</v>
      </c>
      <c r="H1078" t="s">
        <v>2999</v>
      </c>
      <c r="I1078" t="s">
        <v>3021</v>
      </c>
      <c r="K1078" t="str">
        <f t="shared" si="114"/>
        <v>Unemployed</v>
      </c>
      <c r="L1078">
        <v>9</v>
      </c>
      <c r="M1078">
        <v>1484766</v>
      </c>
      <c r="N1078">
        <f t="shared" si="115"/>
        <v>1484766</v>
      </c>
      <c r="O1078">
        <v>315809</v>
      </c>
      <c r="P1078">
        <v>16.809999999999999</v>
      </c>
      <c r="Q1078">
        <v>24</v>
      </c>
      <c r="R1078" t="s">
        <v>3051</v>
      </c>
      <c r="S1078" t="str">
        <f t="shared" si="116"/>
        <v>Education</v>
      </c>
      <c r="T1078">
        <v>743</v>
      </c>
      <c r="U1078">
        <f t="shared" si="117"/>
        <v>743</v>
      </c>
      <c r="V1078">
        <v>5</v>
      </c>
      <c r="W1078" t="s">
        <v>3055</v>
      </c>
      <c r="X1078" s="3" t="s">
        <v>3882</v>
      </c>
      <c r="Y1078" s="3">
        <f t="shared" si="118"/>
        <v>44955</v>
      </c>
      <c r="Z1078">
        <v>0.2127</v>
      </c>
    </row>
    <row r="1079" spans="1:26" x14ac:dyDescent="0.35">
      <c r="A1079" t="s">
        <v>1085</v>
      </c>
      <c r="B1079" t="str">
        <f t="shared" si="112"/>
        <v>OK</v>
      </c>
      <c r="C1079" t="s">
        <v>2572</v>
      </c>
      <c r="D1079" s="2">
        <v>44</v>
      </c>
      <c r="E1079">
        <f>IF(OR(D1079&lt;18, D1079&gt;100),AD1078,D1079)</f>
        <v>44</v>
      </c>
      <c r="F1079" t="s">
        <v>2990</v>
      </c>
      <c r="G1079" t="str">
        <f t="shared" si="113"/>
        <v>Male</v>
      </c>
      <c r="H1079" t="s">
        <v>3005</v>
      </c>
      <c r="I1079" t="s">
        <v>3020</v>
      </c>
      <c r="K1079" t="str">
        <f t="shared" si="114"/>
        <v>Self-Employed</v>
      </c>
      <c r="L1079">
        <v>21</v>
      </c>
      <c r="M1079">
        <v>1022981</v>
      </c>
      <c r="N1079">
        <f t="shared" si="115"/>
        <v>1022981</v>
      </c>
      <c r="O1079">
        <v>71001</v>
      </c>
      <c r="P1079">
        <v>25.81</v>
      </c>
      <c r="Q1079">
        <v>36</v>
      </c>
      <c r="R1079" t="s">
        <v>3049</v>
      </c>
      <c r="S1079" t="str">
        <f t="shared" si="116"/>
        <v>Business</v>
      </c>
      <c r="T1079">
        <v>580</v>
      </c>
      <c r="U1079">
        <f t="shared" si="117"/>
        <v>580</v>
      </c>
      <c r="V1079">
        <v>4</v>
      </c>
      <c r="W1079" t="s">
        <v>3053</v>
      </c>
      <c r="X1079" s="3" t="s">
        <v>3134</v>
      </c>
      <c r="Y1079" s="3">
        <f t="shared" si="118"/>
        <v>45072</v>
      </c>
      <c r="Z1079">
        <v>6.9400000000000003E-2</v>
      </c>
    </row>
    <row r="1080" spans="1:26" x14ac:dyDescent="0.35">
      <c r="A1080" t="s">
        <v>1086</v>
      </c>
      <c r="B1080" t="str">
        <f t="shared" si="112"/>
        <v>OK</v>
      </c>
      <c r="C1080" t="s">
        <v>2573</v>
      </c>
      <c r="D1080" s="2">
        <v>54</v>
      </c>
      <c r="E1080">
        <f>IF(OR(D1080&lt;18, D1080&gt;100),AD1079,D1080)</f>
        <v>54</v>
      </c>
      <c r="G1080" t="str">
        <f t="shared" si="113"/>
        <v>Unknown</v>
      </c>
      <c r="H1080" t="s">
        <v>3001</v>
      </c>
      <c r="I1080" t="s">
        <v>3018</v>
      </c>
      <c r="K1080" t="str">
        <f t="shared" si="114"/>
        <v>Business Owner</v>
      </c>
      <c r="L1080">
        <v>14</v>
      </c>
      <c r="M1080">
        <v>960741</v>
      </c>
      <c r="N1080">
        <f t="shared" si="115"/>
        <v>960741</v>
      </c>
      <c r="O1080">
        <v>427427</v>
      </c>
      <c r="P1080">
        <v>12.75</v>
      </c>
      <c r="Q1080">
        <v>24</v>
      </c>
      <c r="R1080" t="s">
        <v>3046</v>
      </c>
      <c r="S1080" t="str">
        <f t="shared" si="116"/>
        <v>Medical</v>
      </c>
      <c r="T1080">
        <v>766</v>
      </c>
      <c r="U1080">
        <f t="shared" si="117"/>
        <v>766</v>
      </c>
      <c r="V1080">
        <v>3</v>
      </c>
      <c r="W1080" t="s">
        <v>3053</v>
      </c>
      <c r="X1080" s="3" t="s">
        <v>3818</v>
      </c>
      <c r="Y1080" s="3">
        <f t="shared" si="118"/>
        <v>45244</v>
      </c>
      <c r="Z1080">
        <v>0.44490000000000002</v>
      </c>
    </row>
    <row r="1081" spans="1:26" x14ac:dyDescent="0.35">
      <c r="A1081" t="s">
        <v>1087</v>
      </c>
      <c r="B1081" t="str">
        <f t="shared" si="112"/>
        <v>OK</v>
      </c>
      <c r="C1081" t="s">
        <v>2574</v>
      </c>
      <c r="D1081" s="2">
        <v>55</v>
      </c>
      <c r="E1081">
        <f>IF(OR(D1081&lt;18, D1081&gt;100),AD1080,D1081)</f>
        <v>55</v>
      </c>
      <c r="F1081" t="s">
        <v>2990</v>
      </c>
      <c r="G1081" t="str">
        <f t="shared" si="113"/>
        <v>Male</v>
      </c>
      <c r="H1081" t="s">
        <v>3001</v>
      </c>
      <c r="I1081" t="s">
        <v>3020</v>
      </c>
      <c r="K1081" t="str">
        <f t="shared" si="114"/>
        <v>Self-Employed</v>
      </c>
      <c r="L1081">
        <v>21</v>
      </c>
      <c r="M1081">
        <v>229104</v>
      </c>
      <c r="N1081">
        <f t="shared" si="115"/>
        <v>229104</v>
      </c>
      <c r="O1081">
        <v>706268</v>
      </c>
      <c r="P1081">
        <v>21.48</v>
      </c>
      <c r="Q1081">
        <v>12</v>
      </c>
      <c r="S1081" t="str">
        <f t="shared" si="116"/>
        <v>Unknown</v>
      </c>
      <c r="T1081">
        <v>347</v>
      </c>
      <c r="U1081">
        <f t="shared" si="117"/>
        <v>347</v>
      </c>
      <c r="V1081">
        <v>2</v>
      </c>
      <c r="W1081" t="s">
        <v>3060</v>
      </c>
      <c r="X1081" s="3" t="s">
        <v>3693</v>
      </c>
      <c r="Y1081" s="3">
        <f t="shared" si="118"/>
        <v>45267</v>
      </c>
      <c r="Z1081">
        <v>3.0827</v>
      </c>
    </row>
    <row r="1082" spans="1:26" x14ac:dyDescent="0.35">
      <c r="A1082" t="s">
        <v>1088</v>
      </c>
      <c r="B1082" t="str">
        <f t="shared" si="112"/>
        <v>OK</v>
      </c>
      <c r="C1082" t="s">
        <v>2575</v>
      </c>
      <c r="D1082" s="2">
        <v>50</v>
      </c>
      <c r="E1082">
        <f>IF(OR(D1082&lt;18, D1082&gt;100),AD1081,D1082)</f>
        <v>50</v>
      </c>
      <c r="F1082" t="s">
        <v>2992</v>
      </c>
      <c r="G1082" t="str">
        <f t="shared" si="113"/>
        <v>Female</v>
      </c>
      <c r="H1082" t="s">
        <v>2999</v>
      </c>
      <c r="I1082" t="s">
        <v>3019</v>
      </c>
      <c r="K1082" t="str">
        <f t="shared" si="114"/>
        <v>Employed</v>
      </c>
      <c r="L1082">
        <v>11</v>
      </c>
      <c r="M1082">
        <v>1282127</v>
      </c>
      <c r="N1082">
        <f t="shared" si="115"/>
        <v>1282127</v>
      </c>
      <c r="O1082">
        <v>418172</v>
      </c>
      <c r="P1082">
        <v>16.84</v>
      </c>
      <c r="Q1082">
        <v>48</v>
      </c>
      <c r="S1082" t="str">
        <f t="shared" si="116"/>
        <v>Unknown</v>
      </c>
      <c r="T1082">
        <v>437</v>
      </c>
      <c r="U1082">
        <f t="shared" si="117"/>
        <v>437</v>
      </c>
      <c r="V1082">
        <v>7</v>
      </c>
      <c r="W1082" t="s">
        <v>3057</v>
      </c>
      <c r="X1082" s="3" t="s">
        <v>3666</v>
      </c>
      <c r="Y1082" s="3">
        <f t="shared" si="118"/>
        <v>44067</v>
      </c>
      <c r="Z1082">
        <v>0.32619999999999999</v>
      </c>
    </row>
    <row r="1083" spans="1:26" x14ac:dyDescent="0.35">
      <c r="A1083" t="s">
        <v>1089</v>
      </c>
      <c r="B1083" t="str">
        <f t="shared" ref="B1083:B1146" si="119">IF(A1083="", "MISSING", "OK")</f>
        <v>OK</v>
      </c>
      <c r="C1083" t="s">
        <v>2576</v>
      </c>
      <c r="D1083" s="2">
        <v>23</v>
      </c>
      <c r="E1083">
        <f>IF(OR(D1083&lt;18, D1083&gt;100),AD1082,D1083)</f>
        <v>23</v>
      </c>
      <c r="F1083" t="s">
        <v>2990</v>
      </c>
      <c r="G1083" t="str">
        <f t="shared" si="113"/>
        <v>Male</v>
      </c>
      <c r="H1083" t="s">
        <v>3003</v>
      </c>
      <c r="I1083" t="s">
        <v>3020</v>
      </c>
      <c r="K1083" t="str">
        <f t="shared" si="114"/>
        <v>Self-Employed</v>
      </c>
      <c r="L1083">
        <v>0</v>
      </c>
      <c r="M1083">
        <v>1935692</v>
      </c>
      <c r="N1083">
        <f t="shared" si="115"/>
        <v>1935692</v>
      </c>
      <c r="O1083">
        <v>425453</v>
      </c>
      <c r="P1083">
        <v>17.170000000000002</v>
      </c>
      <c r="Q1083">
        <v>60</v>
      </c>
      <c r="R1083" t="s">
        <v>3048</v>
      </c>
      <c r="S1083" t="str">
        <f t="shared" si="116"/>
        <v>Home Improvement</v>
      </c>
      <c r="T1083">
        <v>435</v>
      </c>
      <c r="U1083">
        <f t="shared" si="117"/>
        <v>435</v>
      </c>
      <c r="V1083">
        <v>5</v>
      </c>
      <c r="W1083" t="s">
        <v>3056</v>
      </c>
      <c r="X1083" s="3" t="s">
        <v>3151</v>
      </c>
      <c r="Y1083" s="3">
        <f t="shared" si="118"/>
        <v>44527</v>
      </c>
      <c r="Z1083">
        <v>0.2198</v>
      </c>
    </row>
    <row r="1084" spans="1:26" x14ac:dyDescent="0.35">
      <c r="A1084" t="s">
        <v>1090</v>
      </c>
      <c r="B1084" t="str">
        <f t="shared" si="119"/>
        <v>OK</v>
      </c>
      <c r="C1084" t="s">
        <v>2577</v>
      </c>
      <c r="D1084" s="2">
        <v>64</v>
      </c>
      <c r="E1084">
        <f>IF(OR(D1084&lt;18, D1084&gt;100),AD1083,D1084)</f>
        <v>64</v>
      </c>
      <c r="F1084" t="s">
        <v>2990</v>
      </c>
      <c r="G1084" t="str">
        <f t="shared" si="113"/>
        <v>Male</v>
      </c>
      <c r="H1084" t="s">
        <v>3005</v>
      </c>
      <c r="I1084" t="s">
        <v>3018</v>
      </c>
      <c r="K1084" t="str">
        <f t="shared" si="114"/>
        <v>Business Owner</v>
      </c>
      <c r="L1084">
        <v>15</v>
      </c>
      <c r="M1084">
        <v>1327087</v>
      </c>
      <c r="N1084">
        <f t="shared" si="115"/>
        <v>1327087</v>
      </c>
      <c r="O1084">
        <v>81240</v>
      </c>
      <c r="P1084">
        <v>24.37</v>
      </c>
      <c r="Q1084">
        <v>24</v>
      </c>
      <c r="R1084" t="s">
        <v>3049</v>
      </c>
      <c r="S1084" t="str">
        <f t="shared" si="116"/>
        <v>Business</v>
      </c>
      <c r="T1084">
        <v>343</v>
      </c>
      <c r="U1084">
        <f t="shared" si="117"/>
        <v>343</v>
      </c>
      <c r="V1084">
        <v>1</v>
      </c>
      <c r="W1084" t="s">
        <v>3052</v>
      </c>
      <c r="X1084" s="3" t="s">
        <v>3077</v>
      </c>
      <c r="Y1084" s="3">
        <f t="shared" si="118"/>
        <v>44697</v>
      </c>
      <c r="Z1084">
        <v>6.1199999999999997E-2</v>
      </c>
    </row>
    <row r="1085" spans="1:26" x14ac:dyDescent="0.35">
      <c r="A1085" t="s">
        <v>1091</v>
      </c>
      <c r="B1085" t="str">
        <f t="shared" si="119"/>
        <v>OK</v>
      </c>
      <c r="C1085" t="s">
        <v>2578</v>
      </c>
      <c r="D1085" s="2">
        <v>28</v>
      </c>
      <c r="E1085">
        <f>IF(OR(D1085&lt;18, D1085&gt;100),AD1084,D1085)</f>
        <v>28</v>
      </c>
      <c r="F1085" t="s">
        <v>2990</v>
      </c>
      <c r="G1085" t="str">
        <f t="shared" si="113"/>
        <v>Male</v>
      </c>
      <c r="H1085" t="s">
        <v>3003</v>
      </c>
      <c r="I1085" t="s">
        <v>3021</v>
      </c>
      <c r="K1085" t="str">
        <f t="shared" si="114"/>
        <v>Unemployed</v>
      </c>
      <c r="L1085">
        <v>15</v>
      </c>
      <c r="M1085">
        <v>1936124</v>
      </c>
      <c r="N1085">
        <f t="shared" si="115"/>
        <v>1936124</v>
      </c>
      <c r="O1085">
        <v>496128</v>
      </c>
      <c r="P1085">
        <v>17.57</v>
      </c>
      <c r="Q1085">
        <v>36</v>
      </c>
      <c r="R1085" t="s">
        <v>3050</v>
      </c>
      <c r="S1085" t="str">
        <f t="shared" si="116"/>
        <v>Agriculture</v>
      </c>
      <c r="T1085">
        <v>744</v>
      </c>
      <c r="U1085">
        <f t="shared" si="117"/>
        <v>744</v>
      </c>
      <c r="V1085">
        <v>0</v>
      </c>
      <c r="W1085" t="s">
        <v>3052</v>
      </c>
      <c r="X1085" s="3" t="s">
        <v>3883</v>
      </c>
      <c r="Y1085" s="3">
        <f t="shared" si="118"/>
        <v>45239</v>
      </c>
      <c r="Z1085">
        <v>0.25619999999999998</v>
      </c>
    </row>
    <row r="1086" spans="1:26" x14ac:dyDescent="0.35">
      <c r="A1086" t="s">
        <v>1092</v>
      </c>
      <c r="B1086" t="str">
        <f t="shared" si="119"/>
        <v>OK</v>
      </c>
      <c r="C1086" t="s">
        <v>2579</v>
      </c>
      <c r="D1086" s="2">
        <v>63</v>
      </c>
      <c r="E1086">
        <f>IF(OR(D1086&lt;18, D1086&gt;100),AD1085,D1086)</f>
        <v>63</v>
      </c>
      <c r="F1086" t="s">
        <v>2992</v>
      </c>
      <c r="G1086" t="str">
        <f t="shared" si="113"/>
        <v>Female</v>
      </c>
      <c r="H1086" t="s">
        <v>3007</v>
      </c>
      <c r="I1086" t="s">
        <v>3020</v>
      </c>
      <c r="K1086" t="str">
        <f t="shared" si="114"/>
        <v>Self-Employed</v>
      </c>
      <c r="L1086">
        <v>4</v>
      </c>
      <c r="M1086">
        <v>1706318</v>
      </c>
      <c r="N1086">
        <f t="shared" si="115"/>
        <v>1706318</v>
      </c>
      <c r="O1086">
        <v>219298</v>
      </c>
      <c r="P1086">
        <v>15.44</v>
      </c>
      <c r="Q1086">
        <v>48</v>
      </c>
      <c r="R1086" t="s">
        <v>3046</v>
      </c>
      <c r="S1086" t="str">
        <f t="shared" si="116"/>
        <v>Medical</v>
      </c>
      <c r="T1086">
        <v>756</v>
      </c>
      <c r="U1086">
        <f t="shared" si="117"/>
        <v>756</v>
      </c>
      <c r="V1086">
        <v>5</v>
      </c>
      <c r="W1086" t="s">
        <v>3054</v>
      </c>
      <c r="X1086" s="3" t="s">
        <v>3884</v>
      </c>
      <c r="Y1086" s="3">
        <f t="shared" si="118"/>
        <v>44463</v>
      </c>
      <c r="Z1086">
        <v>0.1285</v>
      </c>
    </row>
    <row r="1087" spans="1:26" x14ac:dyDescent="0.35">
      <c r="A1087" t="s">
        <v>1093</v>
      </c>
      <c r="B1087" t="str">
        <f t="shared" si="119"/>
        <v>OK</v>
      </c>
      <c r="C1087" t="s">
        <v>2580</v>
      </c>
      <c r="D1087" s="2">
        <v>33</v>
      </c>
      <c r="E1087">
        <f>IF(OR(D1087&lt;18, D1087&gt;100),AD1086,D1087)</f>
        <v>33</v>
      </c>
      <c r="F1087" t="s">
        <v>2992</v>
      </c>
      <c r="G1087" t="str">
        <f t="shared" si="113"/>
        <v>Female</v>
      </c>
      <c r="H1087" t="s">
        <v>3002</v>
      </c>
      <c r="I1087" t="s">
        <v>3018</v>
      </c>
      <c r="K1087" t="str">
        <f t="shared" si="114"/>
        <v>Business Owner</v>
      </c>
      <c r="L1087">
        <v>8</v>
      </c>
      <c r="M1087">
        <v>1504667</v>
      </c>
      <c r="N1087">
        <f t="shared" si="115"/>
        <v>1504667</v>
      </c>
      <c r="O1087">
        <v>777180</v>
      </c>
      <c r="P1087">
        <v>16.61</v>
      </c>
      <c r="Q1087">
        <v>60</v>
      </c>
      <c r="R1087" t="s">
        <v>3046</v>
      </c>
      <c r="S1087" t="str">
        <f t="shared" si="116"/>
        <v>Medical</v>
      </c>
      <c r="T1087">
        <v>316</v>
      </c>
      <c r="U1087">
        <f t="shared" si="117"/>
        <v>316</v>
      </c>
      <c r="V1087">
        <v>7</v>
      </c>
      <c r="W1087" t="s">
        <v>3053</v>
      </c>
      <c r="X1087" s="3" t="s">
        <v>3085</v>
      </c>
      <c r="Y1087" s="3">
        <f t="shared" si="118"/>
        <v>44871</v>
      </c>
      <c r="Z1087">
        <v>0.51649999999999996</v>
      </c>
    </row>
    <row r="1088" spans="1:26" x14ac:dyDescent="0.35">
      <c r="A1088" t="s">
        <v>1094</v>
      </c>
      <c r="B1088" t="str">
        <f t="shared" si="119"/>
        <v>OK</v>
      </c>
      <c r="C1088" t="s">
        <v>2581</v>
      </c>
      <c r="D1088" s="2">
        <v>32</v>
      </c>
      <c r="E1088">
        <f>IF(OR(D1088&lt;18, D1088&gt;100),AD1087,D1088)</f>
        <v>32</v>
      </c>
      <c r="F1088" t="s">
        <v>2992</v>
      </c>
      <c r="G1088" t="str">
        <f t="shared" si="113"/>
        <v>Female</v>
      </c>
      <c r="H1088" t="s">
        <v>3001</v>
      </c>
      <c r="I1088" t="s">
        <v>3019</v>
      </c>
      <c r="K1088" t="str">
        <f t="shared" si="114"/>
        <v>Employed</v>
      </c>
      <c r="L1088">
        <v>22</v>
      </c>
      <c r="M1088">
        <v>713634</v>
      </c>
      <c r="N1088">
        <f t="shared" si="115"/>
        <v>713634</v>
      </c>
      <c r="O1088">
        <v>700667</v>
      </c>
      <c r="P1088">
        <v>24.59</v>
      </c>
      <c r="Q1088">
        <v>12</v>
      </c>
      <c r="R1088" t="s">
        <v>3046</v>
      </c>
      <c r="S1088" t="str">
        <f t="shared" si="116"/>
        <v>Medical</v>
      </c>
      <c r="T1088">
        <v>696</v>
      </c>
      <c r="U1088">
        <f t="shared" si="117"/>
        <v>696</v>
      </c>
      <c r="V1088">
        <v>6</v>
      </c>
      <c r="W1088" t="s">
        <v>3054</v>
      </c>
      <c r="X1088" s="3" t="s">
        <v>3353</v>
      </c>
      <c r="Y1088" s="3">
        <f t="shared" si="118"/>
        <v>44845</v>
      </c>
      <c r="Z1088">
        <v>0.98180000000000001</v>
      </c>
    </row>
    <row r="1089" spans="1:26" x14ac:dyDescent="0.35">
      <c r="A1089" t="s">
        <v>1095</v>
      </c>
      <c r="B1089" t="str">
        <f t="shared" si="119"/>
        <v>OK</v>
      </c>
      <c r="C1089" t="s">
        <v>2582</v>
      </c>
      <c r="D1089" s="2">
        <v>46</v>
      </c>
      <c r="E1089">
        <f>IF(OR(D1089&lt;18, D1089&gt;100),AD1088,D1089)</f>
        <v>46</v>
      </c>
      <c r="F1089" t="s">
        <v>2990</v>
      </c>
      <c r="G1089" t="str">
        <f t="shared" si="113"/>
        <v>Male</v>
      </c>
      <c r="H1089" t="s">
        <v>3004</v>
      </c>
      <c r="I1089" t="s">
        <v>3020</v>
      </c>
      <c r="K1089" t="str">
        <f t="shared" si="114"/>
        <v>Self-Employed</v>
      </c>
      <c r="L1089">
        <v>9</v>
      </c>
      <c r="M1089">
        <v>266365</v>
      </c>
      <c r="N1089">
        <f t="shared" si="115"/>
        <v>266365</v>
      </c>
      <c r="O1089">
        <v>69812</v>
      </c>
      <c r="P1089">
        <v>15.94</v>
      </c>
      <c r="Q1089">
        <v>24</v>
      </c>
      <c r="R1089" t="s">
        <v>3051</v>
      </c>
      <c r="S1089" t="str">
        <f t="shared" si="116"/>
        <v>Education</v>
      </c>
      <c r="T1089">
        <v>507</v>
      </c>
      <c r="U1089">
        <f t="shared" si="117"/>
        <v>507</v>
      </c>
      <c r="V1089">
        <v>0</v>
      </c>
      <c r="W1089" t="s">
        <v>3057</v>
      </c>
      <c r="X1089" s="3" t="s">
        <v>3885</v>
      </c>
      <c r="Y1089" s="3">
        <v>44706</v>
      </c>
      <c r="Z1089">
        <v>0.2621</v>
      </c>
    </row>
    <row r="1090" spans="1:26" x14ac:dyDescent="0.35">
      <c r="A1090" t="s">
        <v>1096</v>
      </c>
      <c r="B1090" t="str">
        <f t="shared" si="119"/>
        <v>OK</v>
      </c>
      <c r="C1090" t="s">
        <v>2583</v>
      </c>
      <c r="D1090" s="2">
        <v>32</v>
      </c>
      <c r="E1090">
        <f>IF(OR(D1090&lt;18, D1090&gt;100),AD1089,D1090)</f>
        <v>32</v>
      </c>
      <c r="F1090" t="s">
        <v>2992</v>
      </c>
      <c r="G1090" t="str">
        <f t="shared" si="113"/>
        <v>Female</v>
      </c>
      <c r="H1090" t="s">
        <v>3007</v>
      </c>
      <c r="I1090" t="s">
        <v>3018</v>
      </c>
      <c r="K1090" t="str">
        <f t="shared" si="114"/>
        <v>Business Owner</v>
      </c>
      <c r="L1090">
        <v>26</v>
      </c>
      <c r="M1090">
        <v>435948</v>
      </c>
      <c r="N1090">
        <f t="shared" si="115"/>
        <v>435948</v>
      </c>
      <c r="O1090">
        <v>31094</v>
      </c>
      <c r="P1090">
        <v>14.7</v>
      </c>
      <c r="Q1090">
        <v>12</v>
      </c>
      <c r="R1090" t="s">
        <v>3050</v>
      </c>
      <c r="S1090" t="str">
        <f t="shared" si="116"/>
        <v>Agriculture</v>
      </c>
      <c r="T1090">
        <v>624</v>
      </c>
      <c r="U1090">
        <f t="shared" si="117"/>
        <v>624</v>
      </c>
      <c r="V1090">
        <v>5</v>
      </c>
      <c r="W1090" t="s">
        <v>3053</v>
      </c>
      <c r="X1090" s="3" t="s">
        <v>3226</v>
      </c>
      <c r="Y1090" s="3">
        <f t="shared" si="118"/>
        <v>45218</v>
      </c>
      <c r="Z1090">
        <v>7.1300000000000002E-2</v>
      </c>
    </row>
    <row r="1091" spans="1:26" x14ac:dyDescent="0.35">
      <c r="A1091" t="s">
        <v>1097</v>
      </c>
      <c r="B1091" t="str">
        <f t="shared" si="119"/>
        <v>OK</v>
      </c>
      <c r="C1091" t="s">
        <v>2584</v>
      </c>
      <c r="D1091" s="2">
        <v>56</v>
      </c>
      <c r="E1091">
        <f>IF(OR(D1091&lt;18, D1091&gt;100),AD1090,D1091)</f>
        <v>56</v>
      </c>
      <c r="F1091" t="s">
        <v>2990</v>
      </c>
      <c r="G1091" t="str">
        <f t="shared" ref="G1091:G1154" si="120">IF(F1091="", "Unknown", IF(OR(F1091="F", F1091="FEMALE", F1091="Female"), "Female", IF(OR(F1091="M", F1091="MALE", F1091="Male"), "Male", "Other")))</f>
        <v>Male</v>
      </c>
      <c r="H1091" t="s">
        <v>2999</v>
      </c>
      <c r="I1091" t="s">
        <v>3018</v>
      </c>
      <c r="K1091" t="str">
        <f t="shared" ref="K1091:K1154" si="121">IF(I1091="", "Unknown", I1091)</f>
        <v>Business Owner</v>
      </c>
      <c r="L1091">
        <v>3</v>
      </c>
      <c r="M1091">
        <v>1211519</v>
      </c>
      <c r="N1091">
        <f t="shared" ref="N1091:N1154" si="122">IF(OR(M1091="",M1091&lt;0),$AD$3,M1091)</f>
        <v>1211519</v>
      </c>
      <c r="O1091">
        <v>112769</v>
      </c>
      <c r="P1091">
        <v>9.69</v>
      </c>
      <c r="Q1091">
        <v>48</v>
      </c>
      <c r="R1091" t="s">
        <v>3046</v>
      </c>
      <c r="S1091" t="str">
        <f t="shared" ref="S1091:S1154" si="123">IF(R1091="", "Unknown", R1091)</f>
        <v>Medical</v>
      </c>
      <c r="T1091">
        <v>382</v>
      </c>
      <c r="U1091">
        <f t="shared" ref="U1091:U1154" si="124">IF(OR(T1091="",T1091&gt;999),$AD$2,T1091)</f>
        <v>382</v>
      </c>
      <c r="V1091">
        <v>3</v>
      </c>
      <c r="W1091" t="s">
        <v>3053</v>
      </c>
      <c r="X1091" s="3" t="s">
        <v>3219</v>
      </c>
      <c r="Y1091" s="3">
        <f t="shared" ref="Y1091:Y1154" si="125">IF(ISNUMBER(X1091), X1091, DATEVALUE(X1091))</f>
        <v>45036</v>
      </c>
      <c r="Z1091">
        <v>9.3100000000000002E-2</v>
      </c>
    </row>
    <row r="1092" spans="1:26" x14ac:dyDescent="0.35">
      <c r="A1092" t="s">
        <v>1098</v>
      </c>
      <c r="B1092" t="str">
        <f t="shared" si="119"/>
        <v>OK</v>
      </c>
      <c r="C1092" t="s">
        <v>2585</v>
      </c>
      <c r="D1092" s="2">
        <v>23</v>
      </c>
      <c r="E1092">
        <f>IF(OR(D1092&lt;18, D1092&gt;100),AD1091,D1092)</f>
        <v>23</v>
      </c>
      <c r="F1092" t="s">
        <v>2990</v>
      </c>
      <c r="G1092" t="str">
        <f t="shared" si="120"/>
        <v>Male</v>
      </c>
      <c r="H1092" t="s">
        <v>3003</v>
      </c>
      <c r="I1092" t="s">
        <v>3021</v>
      </c>
      <c r="K1092" t="str">
        <f t="shared" si="121"/>
        <v>Unemployed</v>
      </c>
      <c r="L1092">
        <v>28</v>
      </c>
      <c r="M1092">
        <v>623945</v>
      </c>
      <c r="N1092">
        <f t="shared" si="122"/>
        <v>623945</v>
      </c>
      <c r="O1092">
        <v>113500</v>
      </c>
      <c r="P1092">
        <v>11.97</v>
      </c>
      <c r="Q1092">
        <v>24</v>
      </c>
      <c r="R1092" t="s">
        <v>3051</v>
      </c>
      <c r="S1092" t="str">
        <f t="shared" si="123"/>
        <v>Education</v>
      </c>
      <c r="T1092">
        <v>771</v>
      </c>
      <c r="U1092">
        <f t="shared" si="124"/>
        <v>771</v>
      </c>
      <c r="V1092">
        <v>1</v>
      </c>
      <c r="W1092" t="s">
        <v>3056</v>
      </c>
      <c r="X1092" s="3" t="s">
        <v>3140</v>
      </c>
      <c r="Y1092" s="3">
        <f t="shared" si="125"/>
        <v>45157</v>
      </c>
      <c r="Z1092">
        <v>0.18190000000000001</v>
      </c>
    </row>
    <row r="1093" spans="1:26" x14ac:dyDescent="0.35">
      <c r="A1093" t="s">
        <v>1099</v>
      </c>
      <c r="B1093" t="str">
        <f t="shared" si="119"/>
        <v>OK</v>
      </c>
      <c r="C1093" t="s">
        <v>2586</v>
      </c>
      <c r="D1093" s="2">
        <v>51</v>
      </c>
      <c r="E1093">
        <f>IF(OR(D1093&lt;18, D1093&gt;100),AD1092,D1093)</f>
        <v>51</v>
      </c>
      <c r="F1093" t="s">
        <v>2990</v>
      </c>
      <c r="G1093" t="str">
        <f t="shared" si="120"/>
        <v>Male</v>
      </c>
      <c r="H1093" t="s">
        <v>3002</v>
      </c>
      <c r="I1093" t="s">
        <v>3020</v>
      </c>
      <c r="K1093" t="str">
        <f t="shared" si="121"/>
        <v>Self-Employed</v>
      </c>
      <c r="L1093">
        <v>20</v>
      </c>
      <c r="M1093">
        <v>955158</v>
      </c>
      <c r="N1093">
        <f t="shared" si="122"/>
        <v>955158</v>
      </c>
      <c r="O1093">
        <v>443291</v>
      </c>
      <c r="P1093">
        <v>14.63</v>
      </c>
      <c r="Q1093">
        <v>12</v>
      </c>
      <c r="R1093" t="s">
        <v>3048</v>
      </c>
      <c r="S1093" t="str">
        <f t="shared" si="123"/>
        <v>Home Improvement</v>
      </c>
      <c r="T1093">
        <v>999</v>
      </c>
      <c r="U1093">
        <f t="shared" si="124"/>
        <v>999</v>
      </c>
      <c r="V1093">
        <v>1</v>
      </c>
      <c r="W1093" t="s">
        <v>3055</v>
      </c>
      <c r="X1093" s="3" t="s">
        <v>3886</v>
      </c>
      <c r="Y1093" s="3">
        <f t="shared" si="125"/>
        <v>44715</v>
      </c>
      <c r="Z1093">
        <v>0.46410000000000001</v>
      </c>
    </row>
    <row r="1094" spans="1:26" x14ac:dyDescent="0.35">
      <c r="A1094" t="s">
        <v>1100</v>
      </c>
      <c r="B1094" t="str">
        <f t="shared" si="119"/>
        <v>OK</v>
      </c>
      <c r="C1094" t="s">
        <v>2587</v>
      </c>
      <c r="D1094" s="2">
        <v>21</v>
      </c>
      <c r="E1094">
        <f>IF(OR(D1094&lt;18, D1094&gt;100),AD1093,D1094)</f>
        <v>21</v>
      </c>
      <c r="F1094" t="s">
        <v>2990</v>
      </c>
      <c r="G1094" t="str">
        <f t="shared" si="120"/>
        <v>Male</v>
      </c>
      <c r="H1094" t="s">
        <v>2998</v>
      </c>
      <c r="I1094" t="s">
        <v>3019</v>
      </c>
      <c r="K1094" t="str">
        <f t="shared" si="121"/>
        <v>Employed</v>
      </c>
      <c r="L1094">
        <v>22</v>
      </c>
      <c r="M1094">
        <v>2057541</v>
      </c>
      <c r="N1094">
        <f t="shared" si="122"/>
        <v>2057541</v>
      </c>
      <c r="O1094">
        <v>508019</v>
      </c>
      <c r="P1094">
        <v>24.19</v>
      </c>
      <c r="Q1094">
        <v>60</v>
      </c>
      <c r="R1094" t="s">
        <v>3051</v>
      </c>
      <c r="S1094" t="str">
        <f t="shared" si="123"/>
        <v>Education</v>
      </c>
      <c r="U1094">
        <f t="shared" si="124"/>
        <v>556</v>
      </c>
      <c r="V1094">
        <v>6</v>
      </c>
      <c r="W1094" t="s">
        <v>3055</v>
      </c>
      <c r="X1094" s="3" t="s">
        <v>3482</v>
      </c>
      <c r="Y1094" s="3">
        <f t="shared" si="125"/>
        <v>44400</v>
      </c>
      <c r="Z1094">
        <v>0.24690000000000001</v>
      </c>
    </row>
    <row r="1095" spans="1:26" x14ac:dyDescent="0.35">
      <c r="A1095" t="s">
        <v>1101</v>
      </c>
      <c r="B1095" t="str">
        <f t="shared" si="119"/>
        <v>OK</v>
      </c>
      <c r="C1095" t="s">
        <v>2588</v>
      </c>
      <c r="D1095" s="2">
        <v>37</v>
      </c>
      <c r="E1095">
        <f>IF(OR(D1095&lt;18, D1095&gt;100),AD1094,D1095)</f>
        <v>37</v>
      </c>
      <c r="F1095" t="s">
        <v>2990</v>
      </c>
      <c r="G1095" t="str">
        <f t="shared" si="120"/>
        <v>Male</v>
      </c>
      <c r="H1095" t="s">
        <v>3000</v>
      </c>
      <c r="I1095" t="s">
        <v>3019</v>
      </c>
      <c r="K1095" t="str">
        <f t="shared" si="121"/>
        <v>Employed</v>
      </c>
      <c r="L1095">
        <v>8</v>
      </c>
      <c r="M1095">
        <v>1987610</v>
      </c>
      <c r="N1095">
        <f t="shared" si="122"/>
        <v>1987610</v>
      </c>
      <c r="O1095">
        <v>617690</v>
      </c>
      <c r="P1095">
        <v>15.9</v>
      </c>
      <c r="Q1095">
        <v>36</v>
      </c>
      <c r="R1095" t="s">
        <v>3047</v>
      </c>
      <c r="S1095" t="str">
        <f t="shared" si="123"/>
        <v>Personal</v>
      </c>
      <c r="T1095">
        <v>448</v>
      </c>
      <c r="U1095">
        <f t="shared" si="124"/>
        <v>448</v>
      </c>
      <c r="V1095">
        <v>3</v>
      </c>
      <c r="W1095" t="s">
        <v>3057</v>
      </c>
      <c r="X1095" s="3" t="s">
        <v>3887</v>
      </c>
      <c r="Y1095" s="3">
        <f t="shared" si="125"/>
        <v>44941</v>
      </c>
      <c r="Z1095">
        <v>0.31080000000000002</v>
      </c>
    </row>
    <row r="1096" spans="1:26" x14ac:dyDescent="0.35">
      <c r="A1096" t="s">
        <v>1102</v>
      </c>
      <c r="B1096" t="str">
        <f t="shared" si="119"/>
        <v>OK</v>
      </c>
      <c r="C1096" t="s">
        <v>2589</v>
      </c>
      <c r="D1096" s="2">
        <v>40</v>
      </c>
      <c r="E1096">
        <f>IF(OR(D1096&lt;18, D1096&gt;100),AD1095,D1096)</f>
        <v>40</v>
      </c>
      <c r="F1096" t="s">
        <v>2992</v>
      </c>
      <c r="G1096" t="str">
        <f t="shared" si="120"/>
        <v>Female</v>
      </c>
      <c r="H1096" t="s">
        <v>3003</v>
      </c>
      <c r="I1096" t="s">
        <v>3020</v>
      </c>
      <c r="K1096" t="str">
        <f t="shared" si="121"/>
        <v>Self-Employed</v>
      </c>
      <c r="L1096">
        <v>20</v>
      </c>
      <c r="M1096">
        <v>1089711</v>
      </c>
      <c r="N1096">
        <f t="shared" si="122"/>
        <v>1089711</v>
      </c>
      <c r="O1096">
        <v>39477</v>
      </c>
      <c r="P1096">
        <v>15.3</v>
      </c>
      <c r="Q1096">
        <v>60</v>
      </c>
      <c r="R1096" t="s">
        <v>3048</v>
      </c>
      <c r="S1096" t="str">
        <f t="shared" si="123"/>
        <v>Home Improvement</v>
      </c>
      <c r="T1096">
        <v>824</v>
      </c>
      <c r="U1096">
        <f t="shared" si="124"/>
        <v>824</v>
      </c>
      <c r="V1096">
        <v>6</v>
      </c>
      <c r="W1096" t="s">
        <v>3053</v>
      </c>
      <c r="X1096" s="3" t="s">
        <v>3888</v>
      </c>
      <c r="Y1096" s="3">
        <f t="shared" si="125"/>
        <v>44737</v>
      </c>
      <c r="Z1096">
        <v>3.6200000000000003E-2</v>
      </c>
    </row>
    <row r="1097" spans="1:26" x14ac:dyDescent="0.35">
      <c r="A1097" t="s">
        <v>1103</v>
      </c>
      <c r="B1097" t="str">
        <f t="shared" si="119"/>
        <v>OK</v>
      </c>
      <c r="C1097" t="s">
        <v>2590</v>
      </c>
      <c r="D1097" s="2">
        <v>63</v>
      </c>
      <c r="E1097">
        <f>IF(OR(D1097&lt;18, D1097&gt;100),AD1096,D1097)</f>
        <v>63</v>
      </c>
      <c r="F1097" t="s">
        <v>2990</v>
      </c>
      <c r="G1097" t="str">
        <f t="shared" si="120"/>
        <v>Male</v>
      </c>
      <c r="H1097" t="s">
        <v>2998</v>
      </c>
      <c r="I1097" t="s">
        <v>3019</v>
      </c>
      <c r="K1097" t="str">
        <f t="shared" si="121"/>
        <v>Employed</v>
      </c>
      <c r="L1097">
        <v>1</v>
      </c>
      <c r="M1097">
        <v>746088</v>
      </c>
      <c r="N1097">
        <f t="shared" si="122"/>
        <v>746088</v>
      </c>
      <c r="O1097">
        <v>86197</v>
      </c>
      <c r="P1097">
        <v>25.81</v>
      </c>
      <c r="Q1097">
        <v>24</v>
      </c>
      <c r="R1097" t="s">
        <v>3051</v>
      </c>
      <c r="S1097" t="str">
        <f t="shared" si="123"/>
        <v>Education</v>
      </c>
      <c r="T1097">
        <v>587</v>
      </c>
      <c r="U1097">
        <f t="shared" si="124"/>
        <v>587</v>
      </c>
      <c r="V1097">
        <v>2</v>
      </c>
      <c r="W1097" t="s">
        <v>3058</v>
      </c>
      <c r="X1097" s="3" t="s">
        <v>3456</v>
      </c>
      <c r="Y1097" s="3">
        <f t="shared" si="125"/>
        <v>44528</v>
      </c>
      <c r="Z1097">
        <v>0.11550000000000001</v>
      </c>
    </row>
    <row r="1098" spans="1:26" x14ac:dyDescent="0.35">
      <c r="A1098" t="s">
        <v>1104</v>
      </c>
      <c r="B1098" t="str">
        <f t="shared" si="119"/>
        <v>OK</v>
      </c>
      <c r="C1098" t="s">
        <v>2591</v>
      </c>
      <c r="D1098" s="2">
        <v>22</v>
      </c>
      <c r="E1098">
        <f>IF(OR(D1098&lt;18, D1098&gt;100),AD1097,D1098)</f>
        <v>22</v>
      </c>
      <c r="F1098" t="s">
        <v>2992</v>
      </c>
      <c r="G1098" t="str">
        <f t="shared" si="120"/>
        <v>Female</v>
      </c>
      <c r="H1098" t="s">
        <v>3002</v>
      </c>
      <c r="I1098" t="s">
        <v>3019</v>
      </c>
      <c r="K1098" t="str">
        <f t="shared" si="121"/>
        <v>Employed</v>
      </c>
      <c r="L1098">
        <v>29</v>
      </c>
      <c r="M1098">
        <v>1706322</v>
      </c>
      <c r="N1098">
        <f t="shared" si="122"/>
        <v>1706322</v>
      </c>
      <c r="O1098">
        <v>477666</v>
      </c>
      <c r="P1098">
        <v>13.22</v>
      </c>
      <c r="Q1098">
        <v>12</v>
      </c>
      <c r="R1098" t="s">
        <v>3049</v>
      </c>
      <c r="S1098" t="str">
        <f t="shared" si="123"/>
        <v>Business</v>
      </c>
      <c r="T1098">
        <v>434</v>
      </c>
      <c r="U1098">
        <f t="shared" si="124"/>
        <v>434</v>
      </c>
      <c r="V1098">
        <v>4</v>
      </c>
      <c r="W1098" t="s">
        <v>3056</v>
      </c>
      <c r="X1098" s="3" t="s">
        <v>3752</v>
      </c>
      <c r="Y1098" s="3">
        <f t="shared" si="125"/>
        <v>44397</v>
      </c>
      <c r="Z1098">
        <v>0.27989999999999998</v>
      </c>
    </row>
    <row r="1099" spans="1:26" x14ac:dyDescent="0.35">
      <c r="A1099" t="s">
        <v>1105</v>
      </c>
      <c r="B1099" t="str">
        <f t="shared" si="119"/>
        <v>OK</v>
      </c>
      <c r="C1099" t="s">
        <v>2592</v>
      </c>
      <c r="D1099" s="2">
        <v>53</v>
      </c>
      <c r="E1099">
        <f>IF(OR(D1099&lt;18, D1099&gt;100),AD1098,D1099)</f>
        <v>53</v>
      </c>
      <c r="F1099" t="s">
        <v>2992</v>
      </c>
      <c r="G1099" t="str">
        <f t="shared" si="120"/>
        <v>Female</v>
      </c>
      <c r="H1099" t="s">
        <v>3003</v>
      </c>
      <c r="I1099" t="s">
        <v>3020</v>
      </c>
      <c r="K1099" t="str">
        <f t="shared" si="121"/>
        <v>Self-Employed</v>
      </c>
      <c r="L1099">
        <v>23</v>
      </c>
      <c r="M1099">
        <v>1628763</v>
      </c>
      <c r="N1099">
        <f t="shared" si="122"/>
        <v>1628763</v>
      </c>
      <c r="O1099">
        <v>163888</v>
      </c>
      <c r="P1099">
        <v>24.18</v>
      </c>
      <c r="Q1099">
        <v>12</v>
      </c>
      <c r="R1099" t="s">
        <v>3049</v>
      </c>
      <c r="S1099" t="str">
        <f t="shared" si="123"/>
        <v>Business</v>
      </c>
      <c r="T1099">
        <v>520</v>
      </c>
      <c r="U1099">
        <f t="shared" si="124"/>
        <v>520</v>
      </c>
      <c r="V1099">
        <v>7</v>
      </c>
      <c r="W1099" t="s">
        <v>3055</v>
      </c>
      <c r="X1099" s="3" t="s">
        <v>3889</v>
      </c>
      <c r="Y1099" s="3">
        <f t="shared" si="125"/>
        <v>45264</v>
      </c>
      <c r="Z1099">
        <v>0.10059999999999999</v>
      </c>
    </row>
    <row r="1100" spans="1:26" x14ac:dyDescent="0.35">
      <c r="A1100" t="s">
        <v>1106</v>
      </c>
      <c r="B1100" t="str">
        <f t="shared" si="119"/>
        <v>OK</v>
      </c>
      <c r="C1100" t="s">
        <v>2593</v>
      </c>
      <c r="D1100" s="2">
        <v>33</v>
      </c>
      <c r="E1100">
        <f>IF(OR(D1100&lt;18, D1100&gt;100),AD1099,D1100)</f>
        <v>33</v>
      </c>
      <c r="F1100" t="s">
        <v>2992</v>
      </c>
      <c r="G1100" t="str">
        <f t="shared" si="120"/>
        <v>Female</v>
      </c>
      <c r="H1100" t="s">
        <v>3007</v>
      </c>
      <c r="I1100" t="s">
        <v>3018</v>
      </c>
      <c r="K1100" t="str">
        <f t="shared" si="121"/>
        <v>Business Owner</v>
      </c>
      <c r="L1100">
        <v>9</v>
      </c>
      <c r="M1100">
        <v>1410746</v>
      </c>
      <c r="N1100">
        <f t="shared" si="122"/>
        <v>1410746</v>
      </c>
      <c r="O1100">
        <v>155203</v>
      </c>
      <c r="P1100">
        <v>11.93</v>
      </c>
      <c r="Q1100">
        <v>36</v>
      </c>
      <c r="R1100" t="s">
        <v>3047</v>
      </c>
      <c r="S1100" t="str">
        <f t="shared" si="123"/>
        <v>Personal</v>
      </c>
      <c r="T1100">
        <v>644</v>
      </c>
      <c r="U1100">
        <f t="shared" si="124"/>
        <v>644</v>
      </c>
      <c r="V1100">
        <v>7</v>
      </c>
      <c r="W1100" t="s">
        <v>3054</v>
      </c>
      <c r="X1100" s="3" t="s">
        <v>3265</v>
      </c>
      <c r="Y1100" s="3">
        <f t="shared" si="125"/>
        <v>44739</v>
      </c>
      <c r="Z1100">
        <v>0.11</v>
      </c>
    </row>
    <row r="1101" spans="1:26" x14ac:dyDescent="0.35">
      <c r="A1101" t="s">
        <v>1107</v>
      </c>
      <c r="B1101" t="str">
        <f t="shared" si="119"/>
        <v>OK</v>
      </c>
      <c r="C1101" t="s">
        <v>2594</v>
      </c>
      <c r="D1101" s="2">
        <v>64</v>
      </c>
      <c r="E1101">
        <f>IF(OR(D1101&lt;18, D1101&gt;100),AD1100,D1101)</f>
        <v>64</v>
      </c>
      <c r="F1101" t="s">
        <v>2992</v>
      </c>
      <c r="G1101" t="str">
        <f t="shared" si="120"/>
        <v>Female</v>
      </c>
      <c r="H1101" t="s">
        <v>2999</v>
      </c>
      <c r="I1101" t="s">
        <v>3019</v>
      </c>
      <c r="K1101" t="str">
        <f t="shared" si="121"/>
        <v>Employed</v>
      </c>
      <c r="L1101">
        <v>23</v>
      </c>
      <c r="M1101">
        <v>606346</v>
      </c>
      <c r="N1101">
        <f t="shared" si="122"/>
        <v>606346</v>
      </c>
      <c r="O1101">
        <v>779710</v>
      </c>
      <c r="P1101">
        <v>11.04</v>
      </c>
      <c r="Q1101">
        <v>24</v>
      </c>
      <c r="R1101" t="s">
        <v>3050</v>
      </c>
      <c r="S1101" t="str">
        <f t="shared" si="123"/>
        <v>Agriculture</v>
      </c>
      <c r="T1101">
        <v>337</v>
      </c>
      <c r="U1101">
        <f t="shared" si="124"/>
        <v>337</v>
      </c>
      <c r="V1101">
        <v>3</v>
      </c>
      <c r="W1101" t="s">
        <v>3055</v>
      </c>
      <c r="X1101" s="3" t="s">
        <v>3890</v>
      </c>
      <c r="Y1101" s="3">
        <f t="shared" si="125"/>
        <v>44696</v>
      </c>
      <c r="Z1101">
        <v>1.2859</v>
      </c>
    </row>
    <row r="1102" spans="1:26" x14ac:dyDescent="0.35">
      <c r="A1102" t="s">
        <v>1108</v>
      </c>
      <c r="B1102" t="str">
        <f t="shared" si="119"/>
        <v>OK</v>
      </c>
      <c r="C1102" t="s">
        <v>2595</v>
      </c>
      <c r="D1102" s="2">
        <v>43</v>
      </c>
      <c r="E1102">
        <f>IF(OR(D1102&lt;18, D1102&gt;100),AD1101,D1102)</f>
        <v>43</v>
      </c>
      <c r="F1102" t="s">
        <v>2990</v>
      </c>
      <c r="G1102" t="str">
        <f t="shared" si="120"/>
        <v>Male</v>
      </c>
      <c r="H1102" t="s">
        <v>3005</v>
      </c>
      <c r="I1102" t="s">
        <v>3021</v>
      </c>
      <c r="K1102" t="str">
        <f t="shared" si="121"/>
        <v>Unemployed</v>
      </c>
      <c r="L1102">
        <v>28</v>
      </c>
      <c r="M1102">
        <v>952800</v>
      </c>
      <c r="N1102">
        <f t="shared" si="122"/>
        <v>952800</v>
      </c>
      <c r="O1102">
        <v>785348</v>
      </c>
      <c r="P1102">
        <v>22.49</v>
      </c>
      <c r="Q1102">
        <v>24</v>
      </c>
      <c r="R1102" t="s">
        <v>3047</v>
      </c>
      <c r="S1102" t="str">
        <f t="shared" si="123"/>
        <v>Personal</v>
      </c>
      <c r="T1102">
        <v>479</v>
      </c>
      <c r="U1102">
        <f t="shared" si="124"/>
        <v>479</v>
      </c>
      <c r="V1102">
        <v>0</v>
      </c>
      <c r="W1102" t="s">
        <v>3052</v>
      </c>
      <c r="X1102" s="3" t="s">
        <v>3891</v>
      </c>
      <c r="Y1102" s="3">
        <f t="shared" si="125"/>
        <v>44164</v>
      </c>
      <c r="Z1102">
        <v>0.82430000000000003</v>
      </c>
    </row>
    <row r="1103" spans="1:26" x14ac:dyDescent="0.35">
      <c r="A1103" t="s">
        <v>1109</v>
      </c>
      <c r="B1103" t="str">
        <f t="shared" si="119"/>
        <v>OK</v>
      </c>
      <c r="C1103" t="s">
        <v>2596</v>
      </c>
      <c r="D1103" s="2">
        <v>23</v>
      </c>
      <c r="E1103">
        <f>IF(OR(D1103&lt;18, D1103&gt;100),AD1102,D1103)</f>
        <v>23</v>
      </c>
      <c r="F1103" t="s">
        <v>2992</v>
      </c>
      <c r="G1103" t="str">
        <f t="shared" si="120"/>
        <v>Female</v>
      </c>
      <c r="H1103" t="s">
        <v>2998</v>
      </c>
      <c r="I1103" t="s">
        <v>3020</v>
      </c>
      <c r="K1103" t="str">
        <f t="shared" si="121"/>
        <v>Self-Employed</v>
      </c>
      <c r="L1103">
        <v>24</v>
      </c>
      <c r="M1103">
        <v>448512</v>
      </c>
      <c r="N1103">
        <f t="shared" si="122"/>
        <v>448512</v>
      </c>
      <c r="O1103">
        <v>775728</v>
      </c>
      <c r="P1103">
        <v>18.93</v>
      </c>
      <c r="Q1103">
        <v>24</v>
      </c>
      <c r="R1103" t="s">
        <v>3046</v>
      </c>
      <c r="S1103" t="str">
        <f t="shared" si="123"/>
        <v>Medical</v>
      </c>
      <c r="T1103">
        <v>509</v>
      </c>
      <c r="U1103">
        <f t="shared" si="124"/>
        <v>509</v>
      </c>
      <c r="V1103">
        <v>4</v>
      </c>
      <c r="W1103" t="s">
        <v>3058</v>
      </c>
      <c r="X1103" s="3" t="s">
        <v>3449</v>
      </c>
      <c r="Y1103" s="3">
        <f t="shared" si="125"/>
        <v>44238</v>
      </c>
      <c r="Z1103">
        <v>1.7296</v>
      </c>
    </row>
    <row r="1104" spans="1:26" x14ac:dyDescent="0.35">
      <c r="A1104" t="s">
        <v>1110</v>
      </c>
      <c r="B1104" t="str">
        <f t="shared" si="119"/>
        <v>OK</v>
      </c>
      <c r="C1104" t="s">
        <v>2597</v>
      </c>
      <c r="D1104" s="2">
        <v>33</v>
      </c>
      <c r="E1104">
        <f>IF(OR(D1104&lt;18, D1104&gt;100),AD1103,D1104)</f>
        <v>33</v>
      </c>
      <c r="F1104" t="s">
        <v>2990</v>
      </c>
      <c r="G1104" t="str">
        <f t="shared" si="120"/>
        <v>Male</v>
      </c>
      <c r="H1104" t="s">
        <v>3002</v>
      </c>
      <c r="I1104" t="s">
        <v>3019</v>
      </c>
      <c r="K1104" t="str">
        <f t="shared" si="121"/>
        <v>Employed</v>
      </c>
      <c r="L1104">
        <v>23</v>
      </c>
      <c r="M1104">
        <v>1798963</v>
      </c>
      <c r="N1104">
        <f t="shared" si="122"/>
        <v>1798963</v>
      </c>
      <c r="O1104">
        <v>251318</v>
      </c>
      <c r="P1104">
        <v>25.09</v>
      </c>
      <c r="Q1104">
        <v>12</v>
      </c>
      <c r="R1104" t="s">
        <v>3049</v>
      </c>
      <c r="S1104" t="str">
        <f t="shared" si="123"/>
        <v>Business</v>
      </c>
      <c r="T1104">
        <v>445</v>
      </c>
      <c r="U1104">
        <f t="shared" si="124"/>
        <v>445</v>
      </c>
      <c r="V1104">
        <v>2</v>
      </c>
      <c r="W1104" t="s">
        <v>3057</v>
      </c>
      <c r="X1104" s="3" t="s">
        <v>3185</v>
      </c>
      <c r="Y1104" s="3">
        <f t="shared" si="125"/>
        <v>44147</v>
      </c>
      <c r="Z1104">
        <v>0.13969999999999999</v>
      </c>
    </row>
    <row r="1105" spans="1:26" x14ac:dyDescent="0.35">
      <c r="A1105" t="s">
        <v>1111</v>
      </c>
      <c r="B1105" t="str">
        <f t="shared" si="119"/>
        <v>OK</v>
      </c>
      <c r="C1105" t="s">
        <v>2598</v>
      </c>
      <c r="D1105" s="2">
        <v>48</v>
      </c>
      <c r="E1105">
        <f>IF(OR(D1105&lt;18, D1105&gt;100),AD1104,D1105)</f>
        <v>48</v>
      </c>
      <c r="F1105" t="s">
        <v>2990</v>
      </c>
      <c r="G1105" t="str">
        <f t="shared" si="120"/>
        <v>Male</v>
      </c>
      <c r="H1105" t="s">
        <v>2999</v>
      </c>
      <c r="I1105" t="s">
        <v>3020</v>
      </c>
      <c r="K1105" t="str">
        <f t="shared" si="121"/>
        <v>Self-Employed</v>
      </c>
      <c r="L1105">
        <v>0</v>
      </c>
      <c r="M1105">
        <v>1025474</v>
      </c>
      <c r="N1105">
        <f t="shared" si="122"/>
        <v>1025474</v>
      </c>
      <c r="O1105">
        <v>462899</v>
      </c>
      <c r="P1105">
        <v>22.51</v>
      </c>
      <c r="Q1105">
        <v>48</v>
      </c>
      <c r="R1105" t="s">
        <v>3046</v>
      </c>
      <c r="S1105" t="str">
        <f t="shared" si="123"/>
        <v>Medical</v>
      </c>
      <c r="T1105">
        <v>656</v>
      </c>
      <c r="U1105">
        <f t="shared" si="124"/>
        <v>656</v>
      </c>
      <c r="V1105">
        <v>6</v>
      </c>
      <c r="W1105" t="s">
        <v>3054</v>
      </c>
      <c r="X1105" s="3" t="s">
        <v>3567</v>
      </c>
      <c r="Y1105" s="3">
        <f t="shared" si="125"/>
        <v>44475</v>
      </c>
      <c r="Z1105">
        <v>0.45140000000000002</v>
      </c>
    </row>
    <row r="1106" spans="1:26" x14ac:dyDescent="0.35">
      <c r="A1106" t="s">
        <v>1112</v>
      </c>
      <c r="B1106" t="str">
        <f t="shared" si="119"/>
        <v>OK</v>
      </c>
      <c r="C1106" t="s">
        <v>2599</v>
      </c>
      <c r="D1106" s="2">
        <v>50</v>
      </c>
      <c r="E1106">
        <f>IF(OR(D1106&lt;18, D1106&gt;100),AD1105,D1106)</f>
        <v>50</v>
      </c>
      <c r="F1106" t="s">
        <v>2992</v>
      </c>
      <c r="G1106" t="str">
        <f t="shared" si="120"/>
        <v>Female</v>
      </c>
      <c r="H1106" t="s">
        <v>2999</v>
      </c>
      <c r="I1106" t="s">
        <v>3020</v>
      </c>
      <c r="K1106" t="str">
        <f t="shared" si="121"/>
        <v>Self-Employed</v>
      </c>
      <c r="L1106">
        <v>26</v>
      </c>
      <c r="M1106">
        <v>1035080</v>
      </c>
      <c r="N1106">
        <f t="shared" si="122"/>
        <v>1035080</v>
      </c>
      <c r="O1106">
        <v>134589</v>
      </c>
      <c r="P1106">
        <v>23.93</v>
      </c>
      <c r="Q1106">
        <v>60</v>
      </c>
      <c r="R1106" t="s">
        <v>3046</v>
      </c>
      <c r="S1106" t="str">
        <f t="shared" si="123"/>
        <v>Medical</v>
      </c>
      <c r="T1106">
        <v>716</v>
      </c>
      <c r="U1106">
        <f t="shared" si="124"/>
        <v>716</v>
      </c>
      <c r="V1106">
        <v>2</v>
      </c>
      <c r="W1106" t="s">
        <v>3054</v>
      </c>
      <c r="X1106" s="3" t="s">
        <v>3600</v>
      </c>
      <c r="Y1106" s="3">
        <f t="shared" si="125"/>
        <v>43945</v>
      </c>
      <c r="Z1106">
        <v>0.13</v>
      </c>
    </row>
    <row r="1107" spans="1:26" x14ac:dyDescent="0.35">
      <c r="A1107" t="s">
        <v>1113</v>
      </c>
      <c r="B1107" t="str">
        <f t="shared" si="119"/>
        <v>OK</v>
      </c>
      <c r="C1107" t="s">
        <v>2600</v>
      </c>
      <c r="D1107" s="2">
        <v>37</v>
      </c>
      <c r="E1107">
        <f>IF(OR(D1107&lt;18, D1107&gt;100),AD1106,D1107)</f>
        <v>37</v>
      </c>
      <c r="F1107" t="s">
        <v>2992</v>
      </c>
      <c r="G1107" t="str">
        <f t="shared" si="120"/>
        <v>Female</v>
      </c>
      <c r="H1107" t="s">
        <v>2999</v>
      </c>
      <c r="I1107" t="s">
        <v>3018</v>
      </c>
      <c r="K1107" t="str">
        <f t="shared" si="121"/>
        <v>Business Owner</v>
      </c>
      <c r="L1107">
        <v>2</v>
      </c>
      <c r="M1107">
        <v>182352</v>
      </c>
      <c r="N1107">
        <f t="shared" si="122"/>
        <v>182352</v>
      </c>
      <c r="O1107">
        <v>72446</v>
      </c>
      <c r="P1107">
        <v>12.08</v>
      </c>
      <c r="Q1107">
        <v>60</v>
      </c>
      <c r="R1107" t="s">
        <v>3051</v>
      </c>
      <c r="S1107" t="str">
        <f t="shared" si="123"/>
        <v>Education</v>
      </c>
      <c r="T1107">
        <v>843</v>
      </c>
      <c r="U1107">
        <f t="shared" si="124"/>
        <v>843</v>
      </c>
      <c r="V1107">
        <v>5</v>
      </c>
      <c r="W1107" t="s">
        <v>3057</v>
      </c>
      <c r="X1107" s="3" t="s">
        <v>3327</v>
      </c>
      <c r="Y1107" s="3">
        <f t="shared" si="125"/>
        <v>45028</v>
      </c>
      <c r="Z1107">
        <v>0.39729999999999999</v>
      </c>
    </row>
    <row r="1108" spans="1:26" x14ac:dyDescent="0.35">
      <c r="A1108" t="s">
        <v>1114</v>
      </c>
      <c r="B1108" t="str">
        <f t="shared" si="119"/>
        <v>OK</v>
      </c>
      <c r="C1108" t="s">
        <v>2601</v>
      </c>
      <c r="D1108" s="2">
        <v>40</v>
      </c>
      <c r="E1108">
        <f>IF(OR(D1108&lt;18, D1108&gt;100),AD1107,D1108)</f>
        <v>40</v>
      </c>
      <c r="F1108" t="s">
        <v>2992</v>
      </c>
      <c r="G1108" t="str">
        <f t="shared" si="120"/>
        <v>Female</v>
      </c>
      <c r="H1108" t="s">
        <v>3001</v>
      </c>
      <c r="I1108" t="s">
        <v>3021</v>
      </c>
      <c r="K1108" t="str">
        <f t="shared" si="121"/>
        <v>Unemployed</v>
      </c>
      <c r="L1108">
        <v>18</v>
      </c>
      <c r="M1108">
        <v>2319879</v>
      </c>
      <c r="N1108">
        <f t="shared" si="122"/>
        <v>2319879</v>
      </c>
      <c r="O1108">
        <v>797022</v>
      </c>
      <c r="P1108">
        <v>26.66</v>
      </c>
      <c r="Q1108">
        <v>36</v>
      </c>
      <c r="R1108" t="s">
        <v>3051</v>
      </c>
      <c r="S1108" t="str">
        <f t="shared" si="123"/>
        <v>Education</v>
      </c>
      <c r="T1108">
        <v>561</v>
      </c>
      <c r="U1108">
        <f t="shared" si="124"/>
        <v>561</v>
      </c>
      <c r="V1108">
        <v>3</v>
      </c>
      <c r="W1108" t="s">
        <v>3057</v>
      </c>
      <c r="X1108" s="3" t="s">
        <v>3892</v>
      </c>
      <c r="Y1108" s="3">
        <f t="shared" si="125"/>
        <v>45184</v>
      </c>
      <c r="Z1108">
        <v>0.34360000000000002</v>
      </c>
    </row>
    <row r="1109" spans="1:26" x14ac:dyDescent="0.35">
      <c r="A1109" t="s">
        <v>1115</v>
      </c>
      <c r="B1109" t="str">
        <f t="shared" si="119"/>
        <v>OK</v>
      </c>
      <c r="C1109" t="s">
        <v>2602</v>
      </c>
      <c r="D1109" s="2">
        <v>35</v>
      </c>
      <c r="E1109">
        <f>IF(OR(D1109&lt;18, D1109&gt;100),AD1108,D1109)</f>
        <v>35</v>
      </c>
      <c r="F1109" t="s">
        <v>2992</v>
      </c>
      <c r="G1109" t="str">
        <f t="shared" si="120"/>
        <v>Female</v>
      </c>
      <c r="H1109" t="s">
        <v>3006</v>
      </c>
      <c r="I1109" t="s">
        <v>3018</v>
      </c>
      <c r="K1109" t="str">
        <f t="shared" si="121"/>
        <v>Business Owner</v>
      </c>
      <c r="L1109">
        <v>6</v>
      </c>
      <c r="M1109">
        <v>292990</v>
      </c>
      <c r="N1109">
        <f t="shared" si="122"/>
        <v>292990</v>
      </c>
      <c r="O1109">
        <v>300833</v>
      </c>
      <c r="P1109">
        <v>19.760000000000002</v>
      </c>
      <c r="Q1109">
        <v>36</v>
      </c>
      <c r="R1109" t="s">
        <v>3046</v>
      </c>
      <c r="S1109" t="str">
        <f t="shared" si="123"/>
        <v>Medical</v>
      </c>
      <c r="T1109">
        <v>365</v>
      </c>
      <c r="U1109">
        <f t="shared" si="124"/>
        <v>365</v>
      </c>
      <c r="V1109">
        <v>4</v>
      </c>
      <c r="W1109" t="s">
        <v>3057</v>
      </c>
      <c r="X1109" s="3" t="s">
        <v>3352</v>
      </c>
      <c r="Y1109" s="3">
        <f t="shared" si="125"/>
        <v>44319</v>
      </c>
      <c r="Z1109">
        <v>1.0267999999999999</v>
      </c>
    </row>
    <row r="1110" spans="1:26" x14ac:dyDescent="0.35">
      <c r="A1110" t="s">
        <v>1116</v>
      </c>
      <c r="B1110" t="str">
        <f t="shared" si="119"/>
        <v>OK</v>
      </c>
      <c r="C1110" t="s">
        <v>2603</v>
      </c>
      <c r="D1110" s="2">
        <v>52</v>
      </c>
      <c r="E1110">
        <f>IF(OR(D1110&lt;18, D1110&gt;100),AD1109,D1110)</f>
        <v>52</v>
      </c>
      <c r="F1110" t="s">
        <v>2992</v>
      </c>
      <c r="G1110" t="str">
        <f t="shared" si="120"/>
        <v>Female</v>
      </c>
      <c r="H1110" t="s">
        <v>3007</v>
      </c>
      <c r="I1110" t="s">
        <v>3020</v>
      </c>
      <c r="K1110" t="str">
        <f t="shared" si="121"/>
        <v>Self-Employed</v>
      </c>
      <c r="L1110">
        <v>29</v>
      </c>
      <c r="N1110">
        <f t="shared" si="122"/>
        <v>1333224</v>
      </c>
      <c r="O1110">
        <v>517599</v>
      </c>
      <c r="P1110">
        <v>14.44</v>
      </c>
      <c r="Q1110">
        <v>24</v>
      </c>
      <c r="R1110" t="s">
        <v>3047</v>
      </c>
      <c r="S1110" t="str">
        <f t="shared" si="123"/>
        <v>Personal</v>
      </c>
      <c r="T1110">
        <v>468</v>
      </c>
      <c r="U1110">
        <f t="shared" si="124"/>
        <v>468</v>
      </c>
      <c r="V1110">
        <v>4</v>
      </c>
      <c r="W1110" t="s">
        <v>3054</v>
      </c>
      <c r="X1110" s="3" t="s">
        <v>3893</v>
      </c>
      <c r="Y1110" s="3">
        <f t="shared" si="125"/>
        <v>44573</v>
      </c>
      <c r="Z1110">
        <v>0.69889999999999997</v>
      </c>
    </row>
    <row r="1111" spans="1:26" x14ac:dyDescent="0.35">
      <c r="A1111" t="s">
        <v>1117</v>
      </c>
      <c r="B1111" t="str">
        <f t="shared" si="119"/>
        <v>OK</v>
      </c>
      <c r="C1111" t="s">
        <v>2604</v>
      </c>
      <c r="D1111" s="2">
        <v>30</v>
      </c>
      <c r="E1111">
        <f>IF(OR(D1111&lt;18, D1111&gt;100),AD1110,D1111)</f>
        <v>30</v>
      </c>
      <c r="F1111" t="s">
        <v>2992</v>
      </c>
      <c r="G1111" t="str">
        <f t="shared" si="120"/>
        <v>Female</v>
      </c>
      <c r="H1111" t="s">
        <v>3001</v>
      </c>
      <c r="I1111" t="s">
        <v>3019</v>
      </c>
      <c r="K1111" t="str">
        <f t="shared" si="121"/>
        <v>Employed</v>
      </c>
      <c r="L1111">
        <v>12</v>
      </c>
      <c r="M1111">
        <v>2349392</v>
      </c>
      <c r="N1111">
        <f t="shared" si="122"/>
        <v>2349392</v>
      </c>
      <c r="O1111">
        <v>177636</v>
      </c>
      <c r="P1111">
        <v>21.28</v>
      </c>
      <c r="Q1111">
        <v>12</v>
      </c>
      <c r="R1111" t="s">
        <v>3051</v>
      </c>
      <c r="S1111" t="str">
        <f t="shared" si="123"/>
        <v>Education</v>
      </c>
      <c r="T1111">
        <v>514</v>
      </c>
      <c r="U1111">
        <f t="shared" si="124"/>
        <v>514</v>
      </c>
      <c r="V1111">
        <v>0</v>
      </c>
      <c r="W1111" t="s">
        <v>3056</v>
      </c>
      <c r="X1111" s="3" t="s">
        <v>3539</v>
      </c>
      <c r="Y1111" s="3">
        <f t="shared" si="125"/>
        <v>44538</v>
      </c>
      <c r="Z1111">
        <v>7.5600000000000001E-2</v>
      </c>
    </row>
    <row r="1112" spans="1:26" x14ac:dyDescent="0.35">
      <c r="A1112" t="s">
        <v>1118</v>
      </c>
      <c r="B1112" t="str">
        <f t="shared" si="119"/>
        <v>OK</v>
      </c>
      <c r="C1112" t="s">
        <v>2605</v>
      </c>
      <c r="D1112" s="2">
        <v>34</v>
      </c>
      <c r="E1112">
        <f>IF(OR(D1112&lt;18, D1112&gt;100),AD1111,D1112)</f>
        <v>34</v>
      </c>
      <c r="F1112" t="s">
        <v>2992</v>
      </c>
      <c r="G1112" t="str">
        <f t="shared" si="120"/>
        <v>Female</v>
      </c>
      <c r="H1112" t="s">
        <v>3002</v>
      </c>
      <c r="I1112" t="s">
        <v>3018</v>
      </c>
      <c r="K1112" t="str">
        <f t="shared" si="121"/>
        <v>Business Owner</v>
      </c>
      <c r="L1112">
        <v>0</v>
      </c>
      <c r="M1112">
        <v>1960752</v>
      </c>
      <c r="N1112">
        <f t="shared" si="122"/>
        <v>1960752</v>
      </c>
      <c r="O1112">
        <v>755010</v>
      </c>
      <c r="P1112">
        <v>20.6</v>
      </c>
      <c r="Q1112">
        <v>36</v>
      </c>
      <c r="R1112" t="s">
        <v>3046</v>
      </c>
      <c r="S1112" t="str">
        <f t="shared" si="123"/>
        <v>Medical</v>
      </c>
      <c r="T1112">
        <v>383</v>
      </c>
      <c r="U1112">
        <f t="shared" si="124"/>
        <v>383</v>
      </c>
      <c r="V1112">
        <v>5</v>
      </c>
      <c r="W1112" t="s">
        <v>3055</v>
      </c>
      <c r="X1112" s="3" t="s">
        <v>3894</v>
      </c>
      <c r="Y1112" s="3">
        <f t="shared" si="125"/>
        <v>45188</v>
      </c>
      <c r="Z1112">
        <v>0.3851</v>
      </c>
    </row>
    <row r="1113" spans="1:26" x14ac:dyDescent="0.35">
      <c r="A1113" t="s">
        <v>1119</v>
      </c>
      <c r="B1113" t="str">
        <f t="shared" si="119"/>
        <v>OK</v>
      </c>
      <c r="C1113" t="s">
        <v>2606</v>
      </c>
      <c r="D1113" s="2">
        <v>48</v>
      </c>
      <c r="E1113">
        <f>IF(OR(D1113&lt;18, D1113&gt;100),AD1112,D1113)</f>
        <v>48</v>
      </c>
      <c r="F1113" t="s">
        <v>2990</v>
      </c>
      <c r="G1113" t="str">
        <f t="shared" si="120"/>
        <v>Male</v>
      </c>
      <c r="H1113" t="s">
        <v>3007</v>
      </c>
      <c r="I1113" t="s">
        <v>3020</v>
      </c>
      <c r="K1113" t="str">
        <f t="shared" si="121"/>
        <v>Self-Employed</v>
      </c>
      <c r="L1113">
        <v>21</v>
      </c>
      <c r="M1113">
        <v>431537</v>
      </c>
      <c r="N1113">
        <f t="shared" si="122"/>
        <v>431537</v>
      </c>
      <c r="O1113">
        <v>207256</v>
      </c>
      <c r="P1113">
        <v>10.16</v>
      </c>
      <c r="Q1113">
        <v>24</v>
      </c>
      <c r="R1113" t="s">
        <v>3050</v>
      </c>
      <c r="S1113" t="str">
        <f t="shared" si="123"/>
        <v>Agriculture</v>
      </c>
      <c r="T1113">
        <v>367</v>
      </c>
      <c r="U1113">
        <f t="shared" si="124"/>
        <v>367</v>
      </c>
      <c r="V1113">
        <v>1</v>
      </c>
      <c r="W1113" t="s">
        <v>3052</v>
      </c>
      <c r="X1113" s="3" t="s">
        <v>3895</v>
      </c>
      <c r="Y1113" s="3">
        <f t="shared" si="125"/>
        <v>45174</v>
      </c>
      <c r="Z1113">
        <v>0.4803</v>
      </c>
    </row>
    <row r="1114" spans="1:26" x14ac:dyDescent="0.35">
      <c r="A1114" t="s">
        <v>1120</v>
      </c>
      <c r="B1114" t="str">
        <f t="shared" si="119"/>
        <v>OK</v>
      </c>
      <c r="C1114" t="s">
        <v>2607</v>
      </c>
      <c r="D1114" s="2">
        <v>63</v>
      </c>
      <c r="E1114">
        <f>IF(OR(D1114&lt;18, D1114&gt;100),AD1113,D1114)</f>
        <v>63</v>
      </c>
      <c r="G1114" t="str">
        <f t="shared" si="120"/>
        <v>Unknown</v>
      </c>
      <c r="H1114" t="s">
        <v>3003</v>
      </c>
      <c r="K1114" t="str">
        <f t="shared" si="121"/>
        <v>Unknown</v>
      </c>
      <c r="L1114">
        <v>8</v>
      </c>
      <c r="M1114">
        <v>2092584</v>
      </c>
      <c r="N1114">
        <f t="shared" si="122"/>
        <v>2092584</v>
      </c>
      <c r="O1114">
        <v>630032</v>
      </c>
      <c r="P1114">
        <v>24.35</v>
      </c>
      <c r="Q1114">
        <v>48</v>
      </c>
      <c r="R1114" t="s">
        <v>3046</v>
      </c>
      <c r="S1114" t="str">
        <f t="shared" si="123"/>
        <v>Medical</v>
      </c>
      <c r="T1114">
        <v>427</v>
      </c>
      <c r="U1114">
        <f t="shared" si="124"/>
        <v>427</v>
      </c>
      <c r="V1114">
        <v>2</v>
      </c>
      <c r="W1114" t="s">
        <v>3057</v>
      </c>
      <c r="X1114" s="3" t="s">
        <v>3896</v>
      </c>
      <c r="Y1114" s="3">
        <f t="shared" si="125"/>
        <v>45083</v>
      </c>
      <c r="Z1114">
        <v>0.30109999999999998</v>
      </c>
    </row>
    <row r="1115" spans="1:26" x14ac:dyDescent="0.35">
      <c r="A1115" t="s">
        <v>1121</v>
      </c>
      <c r="B1115" t="str">
        <f t="shared" si="119"/>
        <v>OK</v>
      </c>
      <c r="C1115" t="s">
        <v>2608</v>
      </c>
      <c r="D1115" s="2">
        <v>26</v>
      </c>
      <c r="E1115">
        <f>IF(OR(D1115&lt;18, D1115&gt;100),AD1114,D1115)</f>
        <v>26</v>
      </c>
      <c r="F1115" t="s">
        <v>2992</v>
      </c>
      <c r="G1115" t="str">
        <f t="shared" si="120"/>
        <v>Female</v>
      </c>
      <c r="H1115" t="s">
        <v>3005</v>
      </c>
      <c r="I1115" t="s">
        <v>3018</v>
      </c>
      <c r="K1115" t="str">
        <f t="shared" si="121"/>
        <v>Business Owner</v>
      </c>
      <c r="L1115">
        <v>19</v>
      </c>
      <c r="M1115">
        <v>1886533</v>
      </c>
      <c r="N1115">
        <f t="shared" si="122"/>
        <v>1886533</v>
      </c>
      <c r="O1115">
        <v>503007</v>
      </c>
      <c r="P1115">
        <v>18.260000000000002</v>
      </c>
      <c r="Q1115">
        <v>48</v>
      </c>
      <c r="R1115" t="s">
        <v>3050</v>
      </c>
      <c r="S1115" t="str">
        <f t="shared" si="123"/>
        <v>Agriculture</v>
      </c>
      <c r="T1115">
        <v>775</v>
      </c>
      <c r="U1115">
        <f t="shared" si="124"/>
        <v>775</v>
      </c>
      <c r="V1115">
        <v>2</v>
      </c>
      <c r="W1115" t="s">
        <v>3053</v>
      </c>
      <c r="X1115" s="3" t="s">
        <v>3284</v>
      </c>
      <c r="Y1115" s="3">
        <f t="shared" si="125"/>
        <v>44063</v>
      </c>
      <c r="Z1115">
        <v>0.2666</v>
      </c>
    </row>
    <row r="1116" spans="1:26" x14ac:dyDescent="0.35">
      <c r="A1116" t="s">
        <v>1122</v>
      </c>
      <c r="B1116" t="str">
        <f t="shared" si="119"/>
        <v>OK</v>
      </c>
      <c r="C1116" t="s">
        <v>2609</v>
      </c>
      <c r="D1116" s="2">
        <v>53</v>
      </c>
      <c r="E1116">
        <f>IF(OR(D1116&lt;18, D1116&gt;100),AD1115,D1116)</f>
        <v>53</v>
      </c>
      <c r="F1116" t="s">
        <v>2990</v>
      </c>
      <c r="G1116" t="str">
        <f t="shared" si="120"/>
        <v>Male</v>
      </c>
      <c r="H1116" t="s">
        <v>3007</v>
      </c>
      <c r="I1116" t="s">
        <v>3021</v>
      </c>
      <c r="K1116" t="str">
        <f t="shared" si="121"/>
        <v>Unemployed</v>
      </c>
      <c r="L1116">
        <v>7</v>
      </c>
      <c r="M1116">
        <v>1161883</v>
      </c>
      <c r="N1116">
        <f t="shared" si="122"/>
        <v>1161883</v>
      </c>
      <c r="O1116">
        <v>493048</v>
      </c>
      <c r="P1116">
        <v>24.52</v>
      </c>
      <c r="Q1116">
        <v>12</v>
      </c>
      <c r="R1116" t="s">
        <v>3047</v>
      </c>
      <c r="S1116" t="str">
        <f t="shared" si="123"/>
        <v>Personal</v>
      </c>
      <c r="T1116">
        <v>642</v>
      </c>
      <c r="U1116">
        <f t="shared" si="124"/>
        <v>642</v>
      </c>
      <c r="V1116">
        <v>1</v>
      </c>
      <c r="W1116" t="s">
        <v>3053</v>
      </c>
      <c r="X1116" s="3" t="s">
        <v>3785</v>
      </c>
      <c r="Y1116" s="3">
        <f t="shared" si="125"/>
        <v>44065</v>
      </c>
      <c r="Z1116">
        <v>0.4244</v>
      </c>
    </row>
    <row r="1117" spans="1:26" x14ac:dyDescent="0.35">
      <c r="A1117" t="s">
        <v>1123</v>
      </c>
      <c r="B1117" t="str">
        <f t="shared" si="119"/>
        <v>OK</v>
      </c>
      <c r="C1117" t="s">
        <v>2610</v>
      </c>
      <c r="D1117" s="2">
        <v>24</v>
      </c>
      <c r="E1117">
        <f>IF(OR(D1117&lt;18, D1117&gt;100),AD1116,D1117)</f>
        <v>24</v>
      </c>
      <c r="F1117" t="s">
        <v>2992</v>
      </c>
      <c r="G1117" t="str">
        <f t="shared" si="120"/>
        <v>Female</v>
      </c>
      <c r="H1117" t="s">
        <v>3002</v>
      </c>
      <c r="I1117" t="s">
        <v>3019</v>
      </c>
      <c r="K1117" t="str">
        <f t="shared" si="121"/>
        <v>Employed</v>
      </c>
      <c r="L1117">
        <v>16</v>
      </c>
      <c r="M1117">
        <v>1891646</v>
      </c>
      <c r="N1117">
        <f t="shared" si="122"/>
        <v>1891646</v>
      </c>
      <c r="O1117">
        <v>373827</v>
      </c>
      <c r="P1117">
        <v>19.7</v>
      </c>
      <c r="Q1117">
        <v>24</v>
      </c>
      <c r="R1117" t="s">
        <v>3048</v>
      </c>
      <c r="S1117" t="str">
        <f t="shared" si="123"/>
        <v>Home Improvement</v>
      </c>
      <c r="T1117">
        <v>391</v>
      </c>
      <c r="U1117">
        <f t="shared" si="124"/>
        <v>391</v>
      </c>
      <c r="V1117">
        <v>5</v>
      </c>
      <c r="W1117" t="s">
        <v>3052</v>
      </c>
      <c r="X1117" s="3" t="s">
        <v>3897</v>
      </c>
      <c r="Y1117" s="3">
        <f t="shared" si="125"/>
        <v>43942</v>
      </c>
      <c r="Z1117">
        <v>0.1976</v>
      </c>
    </row>
    <row r="1118" spans="1:26" x14ac:dyDescent="0.35">
      <c r="A1118" t="s">
        <v>1124</v>
      </c>
      <c r="B1118" t="str">
        <f t="shared" si="119"/>
        <v>OK</v>
      </c>
      <c r="C1118" t="s">
        <v>2611</v>
      </c>
      <c r="D1118" s="2">
        <v>49</v>
      </c>
      <c r="E1118">
        <f>IF(OR(D1118&lt;18, D1118&gt;100),AD1117,D1118)</f>
        <v>49</v>
      </c>
      <c r="F1118" t="s">
        <v>2990</v>
      </c>
      <c r="G1118" t="str">
        <f t="shared" si="120"/>
        <v>Male</v>
      </c>
      <c r="H1118" t="s">
        <v>3006</v>
      </c>
      <c r="I1118" t="s">
        <v>3018</v>
      </c>
      <c r="K1118" t="str">
        <f t="shared" si="121"/>
        <v>Business Owner</v>
      </c>
      <c r="L1118">
        <v>20</v>
      </c>
      <c r="M1118">
        <v>789996</v>
      </c>
      <c r="N1118">
        <f t="shared" si="122"/>
        <v>789996</v>
      </c>
      <c r="O1118">
        <v>336480</v>
      </c>
      <c r="P1118">
        <v>12.25</v>
      </c>
      <c r="Q1118">
        <v>24</v>
      </c>
      <c r="R1118" t="s">
        <v>3048</v>
      </c>
      <c r="S1118" t="str">
        <f t="shared" si="123"/>
        <v>Home Improvement</v>
      </c>
      <c r="T1118">
        <v>507</v>
      </c>
      <c r="U1118">
        <f t="shared" si="124"/>
        <v>507</v>
      </c>
      <c r="V1118">
        <v>0</v>
      </c>
      <c r="W1118" t="s">
        <v>3056</v>
      </c>
      <c r="X1118" s="3" t="s">
        <v>3331</v>
      </c>
      <c r="Y1118" s="3">
        <f t="shared" si="125"/>
        <v>44964</v>
      </c>
      <c r="Z1118">
        <v>0.4259</v>
      </c>
    </row>
    <row r="1119" spans="1:26" x14ac:dyDescent="0.35">
      <c r="A1119" t="s">
        <v>1125</v>
      </c>
      <c r="B1119" t="str">
        <f t="shared" si="119"/>
        <v>OK</v>
      </c>
      <c r="C1119" t="s">
        <v>2612</v>
      </c>
      <c r="D1119" s="2">
        <v>35</v>
      </c>
      <c r="E1119">
        <f>IF(OR(D1119&lt;18, D1119&gt;100),AD1118,D1119)</f>
        <v>35</v>
      </c>
      <c r="F1119" t="s">
        <v>2990</v>
      </c>
      <c r="G1119" t="str">
        <f t="shared" si="120"/>
        <v>Male</v>
      </c>
      <c r="H1119" t="s">
        <v>3004</v>
      </c>
      <c r="I1119" t="s">
        <v>3021</v>
      </c>
      <c r="K1119" t="str">
        <f t="shared" si="121"/>
        <v>Unemployed</v>
      </c>
      <c r="L1119">
        <v>20</v>
      </c>
      <c r="M1119">
        <v>893226</v>
      </c>
      <c r="N1119">
        <f t="shared" si="122"/>
        <v>893226</v>
      </c>
      <c r="O1119">
        <v>690798</v>
      </c>
      <c r="P1119">
        <v>23.69</v>
      </c>
      <c r="Q1119">
        <v>12</v>
      </c>
      <c r="R1119" t="s">
        <v>3048</v>
      </c>
      <c r="S1119" t="str">
        <f t="shared" si="123"/>
        <v>Home Improvement</v>
      </c>
      <c r="T1119">
        <v>354</v>
      </c>
      <c r="U1119">
        <f t="shared" si="124"/>
        <v>354</v>
      </c>
      <c r="V1119">
        <v>6</v>
      </c>
      <c r="W1119" t="s">
        <v>3056</v>
      </c>
      <c r="X1119" s="3" t="s">
        <v>3898</v>
      </c>
      <c r="Y1119" s="3">
        <f t="shared" si="125"/>
        <v>44277</v>
      </c>
      <c r="Z1119">
        <v>0.77339999999999998</v>
      </c>
    </row>
    <row r="1120" spans="1:26" x14ac:dyDescent="0.35">
      <c r="A1120" t="s">
        <v>1126</v>
      </c>
      <c r="B1120" t="str">
        <f t="shared" si="119"/>
        <v>OK</v>
      </c>
      <c r="C1120" t="s">
        <v>2613</v>
      </c>
      <c r="D1120" s="2">
        <v>33</v>
      </c>
      <c r="E1120">
        <f>IF(OR(D1120&lt;18, D1120&gt;100),AD1119,D1120)</f>
        <v>33</v>
      </c>
      <c r="F1120" t="s">
        <v>2992</v>
      </c>
      <c r="G1120" t="str">
        <f t="shared" si="120"/>
        <v>Female</v>
      </c>
      <c r="H1120" t="s">
        <v>2998</v>
      </c>
      <c r="I1120" t="s">
        <v>3020</v>
      </c>
      <c r="K1120" t="str">
        <f t="shared" si="121"/>
        <v>Self-Employed</v>
      </c>
      <c r="L1120">
        <v>18</v>
      </c>
      <c r="M1120">
        <v>2255406</v>
      </c>
      <c r="N1120">
        <f t="shared" si="122"/>
        <v>2255406</v>
      </c>
      <c r="O1120">
        <v>348785</v>
      </c>
      <c r="P1120" t="s">
        <v>3038</v>
      </c>
      <c r="Q1120">
        <v>24</v>
      </c>
      <c r="R1120" t="s">
        <v>3049</v>
      </c>
      <c r="S1120" t="str">
        <f t="shared" si="123"/>
        <v>Business</v>
      </c>
      <c r="T1120">
        <v>671</v>
      </c>
      <c r="U1120">
        <f t="shared" si="124"/>
        <v>671</v>
      </c>
      <c r="V1120">
        <v>0</v>
      </c>
      <c r="W1120" t="s">
        <v>3053</v>
      </c>
      <c r="X1120" s="3" t="s">
        <v>3450</v>
      </c>
      <c r="Y1120" s="3">
        <f t="shared" si="125"/>
        <v>44388</v>
      </c>
      <c r="Z1120">
        <v>0.15459999999999999</v>
      </c>
    </row>
    <row r="1121" spans="1:26" x14ac:dyDescent="0.35">
      <c r="A1121" t="s">
        <v>1127</v>
      </c>
      <c r="B1121" t="str">
        <f t="shared" si="119"/>
        <v>OK</v>
      </c>
      <c r="C1121" t="s">
        <v>2614</v>
      </c>
      <c r="D1121" s="2">
        <v>51</v>
      </c>
      <c r="E1121">
        <f>IF(OR(D1121&lt;18, D1121&gt;100),AD1120,D1121)</f>
        <v>51</v>
      </c>
      <c r="F1121" t="s">
        <v>2990</v>
      </c>
      <c r="G1121" t="str">
        <f t="shared" si="120"/>
        <v>Male</v>
      </c>
      <c r="H1121" t="s">
        <v>3005</v>
      </c>
      <c r="I1121" t="s">
        <v>3021</v>
      </c>
      <c r="K1121" t="str">
        <f t="shared" si="121"/>
        <v>Unemployed</v>
      </c>
      <c r="L1121">
        <v>14</v>
      </c>
      <c r="M1121">
        <v>2325472</v>
      </c>
      <c r="N1121">
        <f t="shared" si="122"/>
        <v>2325472</v>
      </c>
      <c r="O1121">
        <v>421415</v>
      </c>
      <c r="P1121">
        <v>11.2</v>
      </c>
      <c r="Q1121">
        <v>12</v>
      </c>
      <c r="R1121" t="s">
        <v>3051</v>
      </c>
      <c r="S1121" t="str">
        <f t="shared" si="123"/>
        <v>Education</v>
      </c>
      <c r="T1121">
        <v>618</v>
      </c>
      <c r="U1121">
        <f t="shared" si="124"/>
        <v>618</v>
      </c>
      <c r="V1121">
        <v>1</v>
      </c>
      <c r="W1121" t="s">
        <v>3052</v>
      </c>
      <c r="X1121" s="3" t="s">
        <v>3899</v>
      </c>
      <c r="Y1121" s="3">
        <f t="shared" si="125"/>
        <v>44335</v>
      </c>
      <c r="Z1121">
        <v>0.1812</v>
      </c>
    </row>
    <row r="1122" spans="1:26" x14ac:dyDescent="0.35">
      <c r="A1122" t="s">
        <v>1128</v>
      </c>
      <c r="B1122" t="str">
        <f t="shared" si="119"/>
        <v>OK</v>
      </c>
      <c r="C1122" t="s">
        <v>2615</v>
      </c>
      <c r="D1122" s="2">
        <v>59</v>
      </c>
      <c r="E1122">
        <f>IF(OR(D1122&lt;18, D1122&gt;100),AD1121,D1122)</f>
        <v>59</v>
      </c>
      <c r="F1122" t="s">
        <v>2990</v>
      </c>
      <c r="G1122" t="str">
        <f t="shared" si="120"/>
        <v>Male</v>
      </c>
      <c r="H1122" t="s">
        <v>3004</v>
      </c>
      <c r="I1122" t="s">
        <v>3019</v>
      </c>
      <c r="K1122" t="str">
        <f t="shared" si="121"/>
        <v>Employed</v>
      </c>
      <c r="L1122">
        <v>16</v>
      </c>
      <c r="M1122">
        <v>674178</v>
      </c>
      <c r="N1122">
        <f t="shared" si="122"/>
        <v>674178</v>
      </c>
      <c r="O1122">
        <v>797475</v>
      </c>
      <c r="P1122">
        <v>20.2</v>
      </c>
      <c r="Q1122">
        <v>24</v>
      </c>
      <c r="R1122" t="s">
        <v>3048</v>
      </c>
      <c r="S1122" t="str">
        <f t="shared" si="123"/>
        <v>Home Improvement</v>
      </c>
      <c r="T1122">
        <v>811</v>
      </c>
      <c r="U1122">
        <f t="shared" si="124"/>
        <v>811</v>
      </c>
      <c r="V1122">
        <v>0</v>
      </c>
      <c r="W1122" t="s">
        <v>3057</v>
      </c>
      <c r="X1122" s="3" t="s">
        <v>3671</v>
      </c>
      <c r="Y1122" s="3">
        <f t="shared" si="125"/>
        <v>44393</v>
      </c>
      <c r="Z1122">
        <v>1.1829000000000001</v>
      </c>
    </row>
    <row r="1123" spans="1:26" x14ac:dyDescent="0.35">
      <c r="A1123" t="s">
        <v>1129</v>
      </c>
      <c r="B1123" t="str">
        <f t="shared" si="119"/>
        <v>OK</v>
      </c>
      <c r="C1123" t="s">
        <v>2616</v>
      </c>
      <c r="D1123" s="2">
        <v>52</v>
      </c>
      <c r="E1123">
        <f>IF(OR(D1123&lt;18, D1123&gt;100),AD1122,D1123)</f>
        <v>52</v>
      </c>
      <c r="F1123" t="s">
        <v>2990</v>
      </c>
      <c r="G1123" t="str">
        <f t="shared" si="120"/>
        <v>Male</v>
      </c>
      <c r="H1123" t="s">
        <v>3005</v>
      </c>
      <c r="I1123" t="s">
        <v>3021</v>
      </c>
      <c r="K1123" t="str">
        <f t="shared" si="121"/>
        <v>Unemployed</v>
      </c>
      <c r="L1123">
        <v>16</v>
      </c>
      <c r="M1123">
        <v>460852</v>
      </c>
      <c r="N1123">
        <f t="shared" si="122"/>
        <v>460852</v>
      </c>
      <c r="O1123">
        <v>290784</v>
      </c>
      <c r="P1123">
        <v>21.83</v>
      </c>
      <c r="Q1123">
        <v>60</v>
      </c>
      <c r="R1123" t="s">
        <v>3051</v>
      </c>
      <c r="S1123" t="str">
        <f t="shared" si="123"/>
        <v>Education</v>
      </c>
      <c r="T1123">
        <v>488</v>
      </c>
      <c r="U1123">
        <f t="shared" si="124"/>
        <v>488</v>
      </c>
      <c r="V1123">
        <v>1</v>
      </c>
      <c r="W1123" t="s">
        <v>3056</v>
      </c>
      <c r="X1123" s="3" t="s">
        <v>3900</v>
      </c>
      <c r="Y1123" s="3">
        <f t="shared" si="125"/>
        <v>45278</v>
      </c>
      <c r="Z1123">
        <v>0.63100000000000001</v>
      </c>
    </row>
    <row r="1124" spans="1:26" x14ac:dyDescent="0.35">
      <c r="A1124" t="s">
        <v>1130</v>
      </c>
      <c r="B1124" t="str">
        <f t="shared" si="119"/>
        <v>OK</v>
      </c>
      <c r="C1124" t="s">
        <v>2617</v>
      </c>
      <c r="D1124" s="2">
        <v>52</v>
      </c>
      <c r="E1124">
        <f>IF(OR(D1124&lt;18, D1124&gt;100),AD1123,D1124)</f>
        <v>52</v>
      </c>
      <c r="F1124" t="s">
        <v>2992</v>
      </c>
      <c r="G1124" t="str">
        <f t="shared" si="120"/>
        <v>Female</v>
      </c>
      <c r="H1124" t="s">
        <v>2999</v>
      </c>
      <c r="I1124" t="s">
        <v>3019</v>
      </c>
      <c r="K1124" t="str">
        <f t="shared" si="121"/>
        <v>Employed</v>
      </c>
      <c r="L1124">
        <v>10</v>
      </c>
      <c r="M1124">
        <v>1123187</v>
      </c>
      <c r="N1124">
        <f t="shared" si="122"/>
        <v>1123187</v>
      </c>
      <c r="O1124">
        <v>431124</v>
      </c>
      <c r="P1124">
        <v>10.07</v>
      </c>
      <c r="Q1124">
        <v>12</v>
      </c>
      <c r="R1124" t="s">
        <v>3048</v>
      </c>
      <c r="S1124" t="str">
        <f t="shared" si="123"/>
        <v>Home Improvement</v>
      </c>
      <c r="T1124">
        <v>322</v>
      </c>
      <c r="U1124">
        <f t="shared" si="124"/>
        <v>322</v>
      </c>
      <c r="V1124">
        <v>2</v>
      </c>
      <c r="W1124" t="s">
        <v>3055</v>
      </c>
      <c r="X1124" s="3" t="s">
        <v>3901</v>
      </c>
      <c r="Y1124" s="3">
        <f t="shared" si="125"/>
        <v>44956</v>
      </c>
      <c r="Z1124">
        <v>0.38379999999999997</v>
      </c>
    </row>
    <row r="1125" spans="1:26" x14ac:dyDescent="0.35">
      <c r="A1125" t="s">
        <v>1131</v>
      </c>
      <c r="B1125" t="str">
        <f t="shared" si="119"/>
        <v>OK</v>
      </c>
      <c r="C1125" t="s">
        <v>2618</v>
      </c>
      <c r="D1125" s="2">
        <v>45</v>
      </c>
      <c r="E1125">
        <f>IF(OR(D1125&lt;18, D1125&gt;100),AD1124,D1125)</f>
        <v>45</v>
      </c>
      <c r="F1125" t="s">
        <v>2990</v>
      </c>
      <c r="G1125" t="str">
        <f t="shared" si="120"/>
        <v>Male</v>
      </c>
      <c r="H1125" t="s">
        <v>3000</v>
      </c>
      <c r="I1125" t="s">
        <v>3020</v>
      </c>
      <c r="K1125" t="str">
        <f t="shared" si="121"/>
        <v>Self-Employed</v>
      </c>
      <c r="L1125">
        <v>8</v>
      </c>
      <c r="M1125">
        <v>763098</v>
      </c>
      <c r="N1125">
        <f t="shared" si="122"/>
        <v>763098</v>
      </c>
      <c r="O1125">
        <v>121158</v>
      </c>
      <c r="P1125">
        <v>13.13</v>
      </c>
      <c r="Q1125">
        <v>48</v>
      </c>
      <c r="R1125" t="s">
        <v>3051</v>
      </c>
      <c r="S1125" t="str">
        <f t="shared" si="123"/>
        <v>Education</v>
      </c>
      <c r="T1125">
        <v>503</v>
      </c>
      <c r="U1125">
        <f t="shared" si="124"/>
        <v>503</v>
      </c>
      <c r="V1125">
        <v>2</v>
      </c>
      <c r="W1125" t="s">
        <v>3056</v>
      </c>
      <c r="X1125" s="3" t="s">
        <v>3517</v>
      </c>
      <c r="Y1125" s="3">
        <f t="shared" si="125"/>
        <v>44021</v>
      </c>
      <c r="Z1125">
        <v>0.1588</v>
      </c>
    </row>
    <row r="1126" spans="1:26" x14ac:dyDescent="0.35">
      <c r="A1126" t="s">
        <v>1132</v>
      </c>
      <c r="B1126" t="str">
        <f t="shared" si="119"/>
        <v>OK</v>
      </c>
      <c r="C1126" t="s">
        <v>2619</v>
      </c>
      <c r="D1126" s="2">
        <v>37</v>
      </c>
      <c r="E1126">
        <f>IF(OR(D1126&lt;18, D1126&gt;100),AD1125,D1126)</f>
        <v>37</v>
      </c>
      <c r="F1126" t="s">
        <v>2992</v>
      </c>
      <c r="G1126" t="str">
        <f t="shared" si="120"/>
        <v>Female</v>
      </c>
      <c r="H1126" t="s">
        <v>3006</v>
      </c>
      <c r="I1126" t="s">
        <v>3020</v>
      </c>
      <c r="K1126" t="str">
        <f t="shared" si="121"/>
        <v>Self-Employed</v>
      </c>
      <c r="L1126">
        <v>10</v>
      </c>
      <c r="M1126">
        <v>1289639</v>
      </c>
      <c r="N1126">
        <f t="shared" si="122"/>
        <v>1289639</v>
      </c>
      <c r="O1126">
        <v>150356</v>
      </c>
      <c r="P1126">
        <v>24.29</v>
      </c>
      <c r="Q1126">
        <v>12</v>
      </c>
      <c r="S1126" t="str">
        <f t="shared" si="123"/>
        <v>Unknown</v>
      </c>
      <c r="U1126">
        <f t="shared" si="124"/>
        <v>556</v>
      </c>
      <c r="V1126">
        <v>5</v>
      </c>
      <c r="W1126" t="s">
        <v>3056</v>
      </c>
      <c r="X1126" s="3" t="s">
        <v>3803</v>
      </c>
      <c r="Y1126" s="3">
        <f t="shared" si="125"/>
        <v>43870</v>
      </c>
      <c r="Z1126">
        <v>0.1166</v>
      </c>
    </row>
    <row r="1127" spans="1:26" x14ac:dyDescent="0.35">
      <c r="A1127" t="s">
        <v>1133</v>
      </c>
      <c r="B1127" t="str">
        <f t="shared" si="119"/>
        <v>OK</v>
      </c>
      <c r="C1127" t="s">
        <v>2620</v>
      </c>
      <c r="D1127" s="2">
        <v>29</v>
      </c>
      <c r="E1127">
        <f>IF(OR(D1127&lt;18, D1127&gt;100),AD1126,D1127)</f>
        <v>29</v>
      </c>
      <c r="F1127" t="s">
        <v>2992</v>
      </c>
      <c r="G1127" t="str">
        <f t="shared" si="120"/>
        <v>Female</v>
      </c>
      <c r="H1127" t="s">
        <v>3005</v>
      </c>
      <c r="I1127" t="s">
        <v>3021</v>
      </c>
      <c r="K1127" t="str">
        <f t="shared" si="121"/>
        <v>Unemployed</v>
      </c>
      <c r="L1127">
        <v>11</v>
      </c>
      <c r="M1127">
        <v>2113460</v>
      </c>
      <c r="N1127">
        <f t="shared" si="122"/>
        <v>2113460</v>
      </c>
      <c r="O1127">
        <v>225776</v>
      </c>
      <c r="P1127">
        <v>14.47</v>
      </c>
      <c r="Q1127">
        <v>12</v>
      </c>
      <c r="R1127" t="s">
        <v>3050</v>
      </c>
      <c r="S1127" t="str">
        <f t="shared" si="123"/>
        <v>Agriculture</v>
      </c>
      <c r="T1127">
        <v>616</v>
      </c>
      <c r="U1127">
        <f t="shared" si="124"/>
        <v>616</v>
      </c>
      <c r="V1127">
        <v>6</v>
      </c>
      <c r="W1127" t="s">
        <v>3052</v>
      </c>
      <c r="X1127" s="3" t="s">
        <v>3603</v>
      </c>
      <c r="Y1127" s="3">
        <f t="shared" si="125"/>
        <v>44667</v>
      </c>
      <c r="Z1127">
        <v>0.10680000000000001</v>
      </c>
    </row>
    <row r="1128" spans="1:26" x14ac:dyDescent="0.35">
      <c r="A1128" t="s">
        <v>1134</v>
      </c>
      <c r="B1128" t="str">
        <f t="shared" si="119"/>
        <v>OK</v>
      </c>
      <c r="C1128" t="s">
        <v>2621</v>
      </c>
      <c r="D1128" s="2">
        <v>55</v>
      </c>
      <c r="E1128">
        <f>IF(OR(D1128&lt;18, D1128&gt;100),AD1127,D1128)</f>
        <v>55</v>
      </c>
      <c r="F1128" t="s">
        <v>2990</v>
      </c>
      <c r="G1128" t="str">
        <f t="shared" si="120"/>
        <v>Male</v>
      </c>
      <c r="H1128" t="s">
        <v>3005</v>
      </c>
      <c r="I1128" t="s">
        <v>3018</v>
      </c>
      <c r="K1128" t="str">
        <f t="shared" si="121"/>
        <v>Business Owner</v>
      </c>
      <c r="L1128">
        <v>23</v>
      </c>
      <c r="M1128">
        <v>1232207</v>
      </c>
      <c r="N1128">
        <f t="shared" si="122"/>
        <v>1232207</v>
      </c>
      <c r="O1128">
        <v>730672</v>
      </c>
      <c r="P1128">
        <v>14.91</v>
      </c>
      <c r="Q1128">
        <v>24</v>
      </c>
      <c r="R1128" t="s">
        <v>3046</v>
      </c>
      <c r="S1128" t="str">
        <f t="shared" si="123"/>
        <v>Medical</v>
      </c>
      <c r="T1128">
        <v>504</v>
      </c>
      <c r="U1128">
        <f t="shared" si="124"/>
        <v>504</v>
      </c>
      <c r="V1128">
        <v>2</v>
      </c>
      <c r="W1128" t="s">
        <v>3055</v>
      </c>
      <c r="X1128" s="3" t="s">
        <v>3319</v>
      </c>
      <c r="Y1128" s="3">
        <f t="shared" si="125"/>
        <v>44280</v>
      </c>
      <c r="Z1128">
        <v>0.59299999999999997</v>
      </c>
    </row>
    <row r="1129" spans="1:26" x14ac:dyDescent="0.35">
      <c r="A1129" t="s">
        <v>1135</v>
      </c>
      <c r="B1129" t="str">
        <f t="shared" si="119"/>
        <v>OK</v>
      </c>
      <c r="C1129" t="s">
        <v>2622</v>
      </c>
      <c r="D1129" s="2">
        <v>61</v>
      </c>
      <c r="E1129">
        <f>IF(OR(D1129&lt;18, D1129&gt;100),AD1128,D1129)</f>
        <v>61</v>
      </c>
      <c r="F1129" t="s">
        <v>2992</v>
      </c>
      <c r="G1129" t="str">
        <f t="shared" si="120"/>
        <v>Female</v>
      </c>
      <c r="H1129" t="s">
        <v>2999</v>
      </c>
      <c r="I1129" t="s">
        <v>3018</v>
      </c>
      <c r="K1129" t="str">
        <f t="shared" si="121"/>
        <v>Business Owner</v>
      </c>
      <c r="L1129">
        <v>6</v>
      </c>
      <c r="M1129">
        <v>1021531</v>
      </c>
      <c r="N1129">
        <f t="shared" si="122"/>
        <v>1021531</v>
      </c>
      <c r="O1129">
        <v>685938</v>
      </c>
      <c r="P1129">
        <v>19.71</v>
      </c>
      <c r="Q1129">
        <v>12</v>
      </c>
      <c r="R1129" t="s">
        <v>3047</v>
      </c>
      <c r="S1129" t="str">
        <f t="shared" si="123"/>
        <v>Personal</v>
      </c>
      <c r="T1129">
        <v>744</v>
      </c>
      <c r="U1129">
        <f t="shared" si="124"/>
        <v>744</v>
      </c>
      <c r="V1129">
        <v>1</v>
      </c>
      <c r="W1129" t="s">
        <v>3053</v>
      </c>
      <c r="X1129" s="3" t="s">
        <v>3902</v>
      </c>
      <c r="Y1129" s="3">
        <f t="shared" si="125"/>
        <v>43842</v>
      </c>
      <c r="Z1129">
        <v>0.67149999999999999</v>
      </c>
    </row>
    <row r="1130" spans="1:26" x14ac:dyDescent="0.35">
      <c r="A1130" t="s">
        <v>1136</v>
      </c>
      <c r="B1130" t="str">
        <f t="shared" si="119"/>
        <v>OK</v>
      </c>
      <c r="C1130" t="s">
        <v>2623</v>
      </c>
      <c r="D1130" s="2">
        <v>29</v>
      </c>
      <c r="E1130">
        <f>IF(OR(D1130&lt;18, D1130&gt;100),AD1129,D1130)</f>
        <v>29</v>
      </c>
      <c r="F1130" t="s">
        <v>2990</v>
      </c>
      <c r="G1130" t="str">
        <f t="shared" si="120"/>
        <v>Male</v>
      </c>
      <c r="H1130" t="s">
        <v>3005</v>
      </c>
      <c r="I1130" t="s">
        <v>3019</v>
      </c>
      <c r="K1130" t="str">
        <f t="shared" si="121"/>
        <v>Employed</v>
      </c>
      <c r="L1130">
        <v>25</v>
      </c>
      <c r="M1130">
        <v>733343</v>
      </c>
      <c r="N1130">
        <f t="shared" si="122"/>
        <v>733343</v>
      </c>
      <c r="O1130">
        <v>491797</v>
      </c>
      <c r="P1130">
        <v>11.08</v>
      </c>
      <c r="Q1130">
        <v>48</v>
      </c>
      <c r="S1130" t="str">
        <f t="shared" si="123"/>
        <v>Unknown</v>
      </c>
      <c r="T1130">
        <v>608</v>
      </c>
      <c r="U1130">
        <f t="shared" si="124"/>
        <v>608</v>
      </c>
      <c r="V1130">
        <v>5</v>
      </c>
      <c r="W1130" t="s">
        <v>3056</v>
      </c>
      <c r="X1130" s="3" t="s">
        <v>3888</v>
      </c>
      <c r="Y1130" s="3">
        <f t="shared" si="125"/>
        <v>44737</v>
      </c>
      <c r="Z1130">
        <v>0.67059999999999997</v>
      </c>
    </row>
    <row r="1131" spans="1:26" x14ac:dyDescent="0.35">
      <c r="A1131" t="s">
        <v>1137</v>
      </c>
      <c r="B1131" t="str">
        <f t="shared" si="119"/>
        <v>OK</v>
      </c>
      <c r="C1131" t="s">
        <v>2624</v>
      </c>
      <c r="D1131" s="2">
        <v>49</v>
      </c>
      <c r="E1131">
        <f>IF(OR(D1131&lt;18, D1131&gt;100),AD1130,D1131)</f>
        <v>49</v>
      </c>
      <c r="F1131" t="s">
        <v>2992</v>
      </c>
      <c r="G1131" t="str">
        <f t="shared" si="120"/>
        <v>Female</v>
      </c>
      <c r="H1131" t="s">
        <v>2999</v>
      </c>
      <c r="I1131" t="s">
        <v>3019</v>
      </c>
      <c r="K1131" t="str">
        <f t="shared" si="121"/>
        <v>Employed</v>
      </c>
      <c r="L1131">
        <v>1</v>
      </c>
      <c r="M1131">
        <v>1464382</v>
      </c>
      <c r="N1131">
        <f t="shared" si="122"/>
        <v>1464382</v>
      </c>
      <c r="O1131">
        <v>579351</v>
      </c>
      <c r="P1131">
        <v>25.59</v>
      </c>
      <c r="Q1131">
        <v>12</v>
      </c>
      <c r="R1131" t="s">
        <v>3047</v>
      </c>
      <c r="S1131" t="str">
        <f t="shared" si="123"/>
        <v>Personal</v>
      </c>
      <c r="T1131">
        <v>809</v>
      </c>
      <c r="U1131">
        <f t="shared" si="124"/>
        <v>809</v>
      </c>
      <c r="V1131">
        <v>7</v>
      </c>
      <c r="W1131" t="s">
        <v>3057</v>
      </c>
      <c r="X1131" s="3" t="s">
        <v>3127</v>
      </c>
      <c r="Y1131" s="3">
        <f t="shared" si="125"/>
        <v>44401</v>
      </c>
      <c r="Z1131">
        <v>0.39560000000000001</v>
      </c>
    </row>
    <row r="1132" spans="1:26" x14ac:dyDescent="0.35">
      <c r="A1132" t="s">
        <v>1138</v>
      </c>
      <c r="B1132" t="str">
        <f t="shared" si="119"/>
        <v>OK</v>
      </c>
      <c r="C1132" t="s">
        <v>2625</v>
      </c>
      <c r="D1132" s="2">
        <v>57</v>
      </c>
      <c r="E1132">
        <f>IF(OR(D1132&lt;18, D1132&gt;100),AD1131,D1132)</f>
        <v>57</v>
      </c>
      <c r="F1132" t="s">
        <v>2990</v>
      </c>
      <c r="G1132" t="str">
        <f t="shared" si="120"/>
        <v>Male</v>
      </c>
      <c r="H1132" t="s">
        <v>2998</v>
      </c>
      <c r="K1132" t="str">
        <f t="shared" si="121"/>
        <v>Unknown</v>
      </c>
      <c r="L1132">
        <v>28</v>
      </c>
      <c r="M1132">
        <v>1167471</v>
      </c>
      <c r="N1132">
        <f t="shared" si="122"/>
        <v>1167471</v>
      </c>
      <c r="O1132">
        <v>773494</v>
      </c>
      <c r="P1132" t="s">
        <v>3039</v>
      </c>
      <c r="Q1132">
        <v>48</v>
      </c>
      <c r="R1132" t="s">
        <v>3047</v>
      </c>
      <c r="S1132" t="str">
        <f t="shared" si="123"/>
        <v>Personal</v>
      </c>
      <c r="T1132">
        <v>675</v>
      </c>
      <c r="U1132">
        <f t="shared" si="124"/>
        <v>675</v>
      </c>
      <c r="V1132">
        <v>3</v>
      </c>
      <c r="W1132" t="s">
        <v>3054</v>
      </c>
      <c r="X1132" s="3" t="s">
        <v>3903</v>
      </c>
      <c r="Y1132" s="3">
        <f t="shared" si="125"/>
        <v>44371</v>
      </c>
      <c r="Z1132">
        <v>0.66249999999999998</v>
      </c>
    </row>
    <row r="1133" spans="1:26" x14ac:dyDescent="0.35">
      <c r="A1133" t="s">
        <v>1139</v>
      </c>
      <c r="B1133" t="str">
        <f t="shared" si="119"/>
        <v>OK</v>
      </c>
      <c r="C1133" t="s">
        <v>2626</v>
      </c>
      <c r="D1133" s="2">
        <v>23</v>
      </c>
      <c r="E1133">
        <f>IF(OR(D1133&lt;18, D1133&gt;100),AD1132,D1133)</f>
        <v>23</v>
      </c>
      <c r="F1133" t="s">
        <v>2992</v>
      </c>
      <c r="G1133" t="str">
        <f t="shared" si="120"/>
        <v>Female</v>
      </c>
      <c r="H1133" t="s">
        <v>2998</v>
      </c>
      <c r="I1133" t="s">
        <v>3019</v>
      </c>
      <c r="K1133" t="str">
        <f t="shared" si="121"/>
        <v>Employed</v>
      </c>
      <c r="L1133">
        <v>27</v>
      </c>
      <c r="M1133">
        <v>2020418</v>
      </c>
      <c r="N1133">
        <f t="shared" si="122"/>
        <v>2020418</v>
      </c>
      <c r="O1133">
        <v>356986</v>
      </c>
      <c r="P1133">
        <v>18.239999999999998</v>
      </c>
      <c r="Q1133">
        <v>24</v>
      </c>
      <c r="R1133" t="s">
        <v>3051</v>
      </c>
      <c r="S1133" t="str">
        <f t="shared" si="123"/>
        <v>Education</v>
      </c>
      <c r="T1133">
        <v>483</v>
      </c>
      <c r="U1133">
        <f t="shared" si="124"/>
        <v>483</v>
      </c>
      <c r="V1133">
        <v>1</v>
      </c>
      <c r="W1133" t="s">
        <v>3053</v>
      </c>
      <c r="X1133" s="3" t="s">
        <v>3271</v>
      </c>
      <c r="Y1133" s="3">
        <f t="shared" si="125"/>
        <v>45123</v>
      </c>
      <c r="Z1133">
        <v>0.1767</v>
      </c>
    </row>
    <row r="1134" spans="1:26" x14ac:dyDescent="0.35">
      <c r="A1134" t="s">
        <v>1140</v>
      </c>
      <c r="B1134" t="str">
        <f t="shared" si="119"/>
        <v>OK</v>
      </c>
      <c r="C1134" t="s">
        <v>2627</v>
      </c>
      <c r="D1134" s="2">
        <v>22</v>
      </c>
      <c r="E1134">
        <f>IF(OR(D1134&lt;18, D1134&gt;100),AD1133,D1134)</f>
        <v>22</v>
      </c>
      <c r="F1134" t="s">
        <v>2990</v>
      </c>
      <c r="G1134" t="str">
        <f t="shared" si="120"/>
        <v>Male</v>
      </c>
      <c r="H1134" t="s">
        <v>3005</v>
      </c>
      <c r="I1134" t="s">
        <v>3021</v>
      </c>
      <c r="K1134" t="str">
        <f t="shared" si="121"/>
        <v>Unemployed</v>
      </c>
      <c r="L1134">
        <v>26</v>
      </c>
      <c r="M1134">
        <v>1881243</v>
      </c>
      <c r="N1134">
        <f t="shared" si="122"/>
        <v>1881243</v>
      </c>
      <c r="O1134">
        <v>223834</v>
      </c>
      <c r="P1134">
        <v>25.69</v>
      </c>
      <c r="Q1134">
        <v>36</v>
      </c>
      <c r="R1134" t="s">
        <v>3050</v>
      </c>
      <c r="S1134" t="str">
        <f t="shared" si="123"/>
        <v>Agriculture</v>
      </c>
      <c r="T1134">
        <v>405</v>
      </c>
      <c r="U1134">
        <f t="shared" si="124"/>
        <v>405</v>
      </c>
      <c r="V1134">
        <v>5</v>
      </c>
      <c r="W1134" t="s">
        <v>3052</v>
      </c>
      <c r="X1134" s="3" t="s">
        <v>3904</v>
      </c>
      <c r="Y1134" s="3">
        <f t="shared" si="125"/>
        <v>45225</v>
      </c>
      <c r="Z1134">
        <v>0.11899999999999999</v>
      </c>
    </row>
    <row r="1135" spans="1:26" x14ac:dyDescent="0.35">
      <c r="A1135" t="s">
        <v>1141</v>
      </c>
      <c r="B1135" t="str">
        <f t="shared" si="119"/>
        <v>OK</v>
      </c>
      <c r="C1135" t="s">
        <v>2628</v>
      </c>
      <c r="D1135" s="2">
        <v>27</v>
      </c>
      <c r="E1135">
        <f>IF(OR(D1135&lt;18, D1135&gt;100),AD1134,D1135)</f>
        <v>27</v>
      </c>
      <c r="F1135" t="s">
        <v>2992</v>
      </c>
      <c r="G1135" t="str">
        <f t="shared" si="120"/>
        <v>Female</v>
      </c>
      <c r="H1135" t="s">
        <v>3004</v>
      </c>
      <c r="I1135" t="s">
        <v>3019</v>
      </c>
      <c r="K1135" t="str">
        <f t="shared" si="121"/>
        <v>Employed</v>
      </c>
      <c r="L1135">
        <v>24</v>
      </c>
      <c r="M1135">
        <v>459713</v>
      </c>
      <c r="N1135">
        <f t="shared" si="122"/>
        <v>459713</v>
      </c>
      <c r="O1135">
        <v>787674</v>
      </c>
      <c r="P1135">
        <v>23.66</v>
      </c>
      <c r="Q1135">
        <v>12</v>
      </c>
      <c r="R1135" t="s">
        <v>3051</v>
      </c>
      <c r="S1135" t="str">
        <f t="shared" si="123"/>
        <v>Education</v>
      </c>
      <c r="T1135">
        <v>389</v>
      </c>
      <c r="U1135">
        <f t="shared" si="124"/>
        <v>389</v>
      </c>
      <c r="V1135">
        <v>1</v>
      </c>
      <c r="W1135" t="s">
        <v>3056</v>
      </c>
      <c r="X1135" s="3" t="s">
        <v>3905</v>
      </c>
      <c r="Y1135" s="3">
        <f t="shared" si="125"/>
        <v>45249</v>
      </c>
      <c r="Z1135">
        <v>1.7134</v>
      </c>
    </row>
    <row r="1136" spans="1:26" x14ac:dyDescent="0.35">
      <c r="A1136" t="s">
        <v>1142</v>
      </c>
      <c r="B1136" t="str">
        <f t="shared" si="119"/>
        <v>OK</v>
      </c>
      <c r="C1136" t="s">
        <v>2629</v>
      </c>
      <c r="D1136" s="2">
        <v>33</v>
      </c>
      <c r="E1136">
        <f>IF(OR(D1136&lt;18, D1136&gt;100),AD1135,D1136)</f>
        <v>33</v>
      </c>
      <c r="F1136" t="s">
        <v>2992</v>
      </c>
      <c r="G1136" t="str">
        <f t="shared" si="120"/>
        <v>Female</v>
      </c>
      <c r="H1136" t="s">
        <v>3002</v>
      </c>
      <c r="K1136" t="str">
        <f t="shared" si="121"/>
        <v>Unknown</v>
      </c>
      <c r="L1136">
        <v>17</v>
      </c>
      <c r="M1136">
        <v>2280343</v>
      </c>
      <c r="N1136">
        <f t="shared" si="122"/>
        <v>2280343</v>
      </c>
      <c r="O1136">
        <v>534265</v>
      </c>
      <c r="P1136">
        <v>19.05</v>
      </c>
      <c r="Q1136">
        <v>12</v>
      </c>
      <c r="R1136" t="s">
        <v>3048</v>
      </c>
      <c r="S1136" t="str">
        <f t="shared" si="123"/>
        <v>Home Improvement</v>
      </c>
      <c r="T1136">
        <v>393</v>
      </c>
      <c r="U1136">
        <f t="shared" si="124"/>
        <v>393</v>
      </c>
      <c r="V1136">
        <v>0</v>
      </c>
      <c r="W1136" t="s">
        <v>3057</v>
      </c>
      <c r="X1136" s="3" t="s">
        <v>3906</v>
      </c>
      <c r="Y1136" s="3">
        <f t="shared" si="125"/>
        <v>44949</v>
      </c>
      <c r="Z1136">
        <v>0.23430000000000001</v>
      </c>
    </row>
    <row r="1137" spans="1:26" x14ac:dyDescent="0.35">
      <c r="A1137" t="s">
        <v>1143</v>
      </c>
      <c r="B1137" t="str">
        <f t="shared" si="119"/>
        <v>OK</v>
      </c>
      <c r="C1137" t="s">
        <v>2630</v>
      </c>
      <c r="D1137" s="2">
        <v>53</v>
      </c>
      <c r="E1137">
        <f>IF(OR(D1137&lt;18, D1137&gt;100),AD1136,D1137)</f>
        <v>53</v>
      </c>
      <c r="F1137" t="s">
        <v>2990</v>
      </c>
      <c r="G1137" t="str">
        <f t="shared" si="120"/>
        <v>Male</v>
      </c>
      <c r="H1137" t="s">
        <v>3002</v>
      </c>
      <c r="I1137" t="s">
        <v>3020</v>
      </c>
      <c r="K1137" t="str">
        <f t="shared" si="121"/>
        <v>Self-Employed</v>
      </c>
      <c r="L1137">
        <v>5</v>
      </c>
      <c r="M1137">
        <v>980101</v>
      </c>
      <c r="N1137">
        <f t="shared" si="122"/>
        <v>980101</v>
      </c>
      <c r="O1137">
        <v>770186</v>
      </c>
      <c r="P1137">
        <v>20.46</v>
      </c>
      <c r="Q1137">
        <v>12</v>
      </c>
      <c r="R1137" t="s">
        <v>3049</v>
      </c>
      <c r="S1137" t="str">
        <f t="shared" si="123"/>
        <v>Business</v>
      </c>
      <c r="T1137">
        <v>588</v>
      </c>
      <c r="U1137">
        <f t="shared" si="124"/>
        <v>588</v>
      </c>
      <c r="V1137">
        <v>7</v>
      </c>
      <c r="W1137" t="s">
        <v>3057</v>
      </c>
      <c r="X1137" s="3" t="s">
        <v>3907</v>
      </c>
      <c r="Y1137" s="3">
        <f t="shared" si="125"/>
        <v>45213</v>
      </c>
      <c r="Z1137">
        <v>0.78580000000000005</v>
      </c>
    </row>
    <row r="1138" spans="1:26" x14ac:dyDescent="0.35">
      <c r="A1138" t="s">
        <v>1144</v>
      </c>
      <c r="B1138" t="str">
        <f t="shared" si="119"/>
        <v>OK</v>
      </c>
      <c r="C1138" t="s">
        <v>2631</v>
      </c>
      <c r="D1138" s="2">
        <v>52</v>
      </c>
      <c r="E1138">
        <f>IF(OR(D1138&lt;18, D1138&gt;100),AD1137,D1138)</f>
        <v>52</v>
      </c>
      <c r="F1138" t="s">
        <v>2992</v>
      </c>
      <c r="G1138" t="str">
        <f t="shared" si="120"/>
        <v>Female</v>
      </c>
      <c r="H1138" t="s">
        <v>3006</v>
      </c>
      <c r="I1138" t="s">
        <v>3020</v>
      </c>
      <c r="K1138" t="str">
        <f t="shared" si="121"/>
        <v>Self-Employed</v>
      </c>
      <c r="L1138">
        <v>13</v>
      </c>
      <c r="M1138">
        <v>468859</v>
      </c>
      <c r="N1138">
        <f t="shared" si="122"/>
        <v>468859</v>
      </c>
      <c r="O1138">
        <v>151184</v>
      </c>
      <c r="P1138">
        <v>14.63</v>
      </c>
      <c r="Q1138">
        <v>60</v>
      </c>
      <c r="R1138" t="s">
        <v>3049</v>
      </c>
      <c r="S1138" t="str">
        <f t="shared" si="123"/>
        <v>Business</v>
      </c>
      <c r="T1138">
        <v>720</v>
      </c>
      <c r="U1138">
        <f t="shared" si="124"/>
        <v>720</v>
      </c>
      <c r="V1138">
        <v>3</v>
      </c>
      <c r="W1138" t="s">
        <v>3057</v>
      </c>
      <c r="X1138" s="3" t="s">
        <v>3908</v>
      </c>
      <c r="Y1138" s="3">
        <f t="shared" si="125"/>
        <v>44898</v>
      </c>
      <c r="Z1138">
        <v>0.32250000000000001</v>
      </c>
    </row>
    <row r="1139" spans="1:26" x14ac:dyDescent="0.35">
      <c r="A1139" t="s">
        <v>1145</v>
      </c>
      <c r="B1139" t="str">
        <f t="shared" si="119"/>
        <v>OK</v>
      </c>
      <c r="C1139" t="s">
        <v>2632</v>
      </c>
      <c r="D1139" s="2">
        <v>25</v>
      </c>
      <c r="E1139">
        <f>IF(OR(D1139&lt;18, D1139&gt;100),AD1138,D1139)</f>
        <v>25</v>
      </c>
      <c r="F1139" t="s">
        <v>2992</v>
      </c>
      <c r="G1139" t="str">
        <f t="shared" si="120"/>
        <v>Female</v>
      </c>
      <c r="H1139" t="s">
        <v>3006</v>
      </c>
      <c r="I1139" t="s">
        <v>3019</v>
      </c>
      <c r="K1139" t="str">
        <f t="shared" si="121"/>
        <v>Employed</v>
      </c>
      <c r="L1139">
        <v>24</v>
      </c>
      <c r="M1139">
        <v>1893136</v>
      </c>
      <c r="N1139">
        <f t="shared" si="122"/>
        <v>1893136</v>
      </c>
      <c r="O1139">
        <v>295011</v>
      </c>
      <c r="P1139">
        <v>13.44</v>
      </c>
      <c r="Q1139">
        <v>36</v>
      </c>
      <c r="R1139" t="s">
        <v>3048</v>
      </c>
      <c r="S1139" t="str">
        <f t="shared" si="123"/>
        <v>Home Improvement</v>
      </c>
      <c r="T1139">
        <v>460</v>
      </c>
      <c r="U1139">
        <f t="shared" si="124"/>
        <v>460</v>
      </c>
      <c r="V1139">
        <v>7</v>
      </c>
      <c r="W1139" t="s">
        <v>3052</v>
      </c>
      <c r="X1139" s="3" t="s">
        <v>3909</v>
      </c>
      <c r="Y1139" s="3">
        <v>44438</v>
      </c>
      <c r="Z1139">
        <v>0.15579999999999999</v>
      </c>
    </row>
    <row r="1140" spans="1:26" x14ac:dyDescent="0.35">
      <c r="A1140" t="s">
        <v>1146</v>
      </c>
      <c r="B1140" t="str">
        <f t="shared" si="119"/>
        <v>OK</v>
      </c>
      <c r="C1140" t="s">
        <v>2633</v>
      </c>
      <c r="D1140" s="2">
        <v>24</v>
      </c>
      <c r="E1140">
        <f>IF(OR(D1140&lt;18, D1140&gt;100),AD1139,D1140)</f>
        <v>24</v>
      </c>
      <c r="F1140" t="s">
        <v>2992</v>
      </c>
      <c r="G1140" t="str">
        <f t="shared" si="120"/>
        <v>Female</v>
      </c>
      <c r="H1140" t="s">
        <v>2999</v>
      </c>
      <c r="I1140" t="s">
        <v>3021</v>
      </c>
      <c r="K1140" t="str">
        <f t="shared" si="121"/>
        <v>Unemployed</v>
      </c>
      <c r="L1140">
        <v>11</v>
      </c>
      <c r="M1140">
        <v>1021965</v>
      </c>
      <c r="N1140">
        <f t="shared" si="122"/>
        <v>1021965</v>
      </c>
      <c r="O1140">
        <v>332660</v>
      </c>
      <c r="P1140">
        <v>18.11</v>
      </c>
      <c r="Q1140">
        <v>24</v>
      </c>
      <c r="R1140" t="s">
        <v>3051</v>
      </c>
      <c r="S1140" t="str">
        <f t="shared" si="123"/>
        <v>Education</v>
      </c>
      <c r="T1140">
        <v>628</v>
      </c>
      <c r="U1140">
        <f t="shared" si="124"/>
        <v>628</v>
      </c>
      <c r="V1140">
        <v>0</v>
      </c>
      <c r="W1140" t="s">
        <v>3054</v>
      </c>
      <c r="X1140" s="3" t="s">
        <v>3910</v>
      </c>
      <c r="Y1140" s="3">
        <f t="shared" si="125"/>
        <v>45060</v>
      </c>
      <c r="Z1140">
        <v>0.32550000000000001</v>
      </c>
    </row>
    <row r="1141" spans="1:26" x14ac:dyDescent="0.35">
      <c r="A1141" t="s">
        <v>1147</v>
      </c>
      <c r="B1141" t="str">
        <f t="shared" si="119"/>
        <v>OK</v>
      </c>
      <c r="C1141" t="s">
        <v>2634</v>
      </c>
      <c r="D1141" s="2">
        <v>56</v>
      </c>
      <c r="E1141">
        <f>IF(OR(D1141&lt;18, D1141&gt;100),AD1140,D1141)</f>
        <v>56</v>
      </c>
      <c r="F1141" t="s">
        <v>2992</v>
      </c>
      <c r="G1141" t="str">
        <f t="shared" si="120"/>
        <v>Female</v>
      </c>
      <c r="H1141" t="s">
        <v>3001</v>
      </c>
      <c r="I1141" t="s">
        <v>3018</v>
      </c>
      <c r="K1141" t="str">
        <f t="shared" si="121"/>
        <v>Business Owner</v>
      </c>
      <c r="L1141">
        <v>2</v>
      </c>
      <c r="M1141">
        <v>1532790</v>
      </c>
      <c r="N1141">
        <f t="shared" si="122"/>
        <v>1532790</v>
      </c>
      <c r="O1141">
        <v>294535</v>
      </c>
      <c r="P1141">
        <v>11.8</v>
      </c>
      <c r="Q1141">
        <v>24</v>
      </c>
      <c r="R1141" t="s">
        <v>3048</v>
      </c>
      <c r="S1141" t="str">
        <f t="shared" si="123"/>
        <v>Home Improvement</v>
      </c>
      <c r="T1141">
        <v>637</v>
      </c>
      <c r="U1141">
        <f t="shared" si="124"/>
        <v>637</v>
      </c>
      <c r="V1141">
        <v>4</v>
      </c>
      <c r="W1141" t="s">
        <v>3055</v>
      </c>
      <c r="X1141" s="3" t="s">
        <v>3911</v>
      </c>
      <c r="Y1141" s="3">
        <f t="shared" si="125"/>
        <v>44923</v>
      </c>
      <c r="Z1141">
        <v>0.19220000000000001</v>
      </c>
    </row>
    <row r="1142" spans="1:26" x14ac:dyDescent="0.35">
      <c r="A1142" t="s">
        <v>1148</v>
      </c>
      <c r="B1142" t="str">
        <f t="shared" si="119"/>
        <v>OK</v>
      </c>
      <c r="C1142" t="s">
        <v>2635</v>
      </c>
      <c r="D1142" s="2">
        <v>25</v>
      </c>
      <c r="E1142">
        <f>IF(OR(D1142&lt;18, D1142&gt;100),AD1141,D1142)</f>
        <v>25</v>
      </c>
      <c r="F1142" t="s">
        <v>2990</v>
      </c>
      <c r="G1142" t="str">
        <f t="shared" si="120"/>
        <v>Male</v>
      </c>
      <c r="H1142" t="s">
        <v>3004</v>
      </c>
      <c r="I1142" t="s">
        <v>3020</v>
      </c>
      <c r="K1142" t="str">
        <f t="shared" si="121"/>
        <v>Self-Employed</v>
      </c>
      <c r="L1142">
        <v>3</v>
      </c>
      <c r="M1142">
        <v>442093</v>
      </c>
      <c r="N1142">
        <f t="shared" si="122"/>
        <v>442093</v>
      </c>
      <c r="O1142">
        <v>598641</v>
      </c>
      <c r="P1142">
        <v>8.24</v>
      </c>
      <c r="Q1142">
        <v>48</v>
      </c>
      <c r="S1142" t="str">
        <f t="shared" si="123"/>
        <v>Unknown</v>
      </c>
      <c r="T1142">
        <v>587</v>
      </c>
      <c r="U1142">
        <f t="shared" si="124"/>
        <v>587</v>
      </c>
      <c r="V1142">
        <v>2</v>
      </c>
      <c r="W1142" t="s">
        <v>3053</v>
      </c>
      <c r="X1142" s="3" t="s">
        <v>3611</v>
      </c>
      <c r="Y1142" s="3">
        <f t="shared" si="125"/>
        <v>44187</v>
      </c>
      <c r="Z1142">
        <v>1.3541000000000001</v>
      </c>
    </row>
    <row r="1143" spans="1:26" x14ac:dyDescent="0.35">
      <c r="A1143" t="s">
        <v>1149</v>
      </c>
      <c r="B1143" t="str">
        <f t="shared" si="119"/>
        <v>OK</v>
      </c>
      <c r="C1143" t="s">
        <v>2636</v>
      </c>
      <c r="D1143" s="2">
        <v>46</v>
      </c>
      <c r="E1143">
        <f>IF(OR(D1143&lt;18, D1143&gt;100),AD1142,D1143)</f>
        <v>46</v>
      </c>
      <c r="F1143" t="s">
        <v>2990</v>
      </c>
      <c r="G1143" t="str">
        <f t="shared" si="120"/>
        <v>Male</v>
      </c>
      <c r="H1143" t="s">
        <v>3004</v>
      </c>
      <c r="I1143" t="s">
        <v>3020</v>
      </c>
      <c r="K1143" t="str">
        <f t="shared" si="121"/>
        <v>Self-Employed</v>
      </c>
      <c r="L1143">
        <v>11</v>
      </c>
      <c r="M1143">
        <v>1566689</v>
      </c>
      <c r="N1143">
        <f t="shared" si="122"/>
        <v>1566689</v>
      </c>
      <c r="O1143">
        <v>513960</v>
      </c>
      <c r="P1143">
        <v>8.73</v>
      </c>
      <c r="Q1143">
        <v>12</v>
      </c>
      <c r="R1143" t="s">
        <v>3047</v>
      </c>
      <c r="S1143" t="str">
        <f t="shared" si="123"/>
        <v>Personal</v>
      </c>
      <c r="T1143">
        <v>592</v>
      </c>
      <c r="U1143">
        <f t="shared" si="124"/>
        <v>592</v>
      </c>
      <c r="V1143">
        <v>2</v>
      </c>
      <c r="W1143" t="s">
        <v>3055</v>
      </c>
      <c r="X1143" s="3" t="s">
        <v>3837</v>
      </c>
      <c r="Y1143" s="3">
        <f t="shared" si="125"/>
        <v>44318</v>
      </c>
      <c r="Z1143">
        <v>0.3281</v>
      </c>
    </row>
    <row r="1144" spans="1:26" x14ac:dyDescent="0.35">
      <c r="A1144" t="s">
        <v>1150</v>
      </c>
      <c r="B1144" t="str">
        <f t="shared" si="119"/>
        <v>OK</v>
      </c>
      <c r="C1144" t="s">
        <v>2637</v>
      </c>
      <c r="D1144" s="2">
        <v>39</v>
      </c>
      <c r="E1144">
        <f>IF(OR(D1144&lt;18, D1144&gt;100),AD1143,D1144)</f>
        <v>39</v>
      </c>
      <c r="F1144" t="s">
        <v>2990</v>
      </c>
      <c r="G1144" t="str">
        <f t="shared" si="120"/>
        <v>Male</v>
      </c>
      <c r="H1144" t="s">
        <v>2998</v>
      </c>
      <c r="I1144" t="s">
        <v>3019</v>
      </c>
      <c r="K1144" t="str">
        <f t="shared" si="121"/>
        <v>Employed</v>
      </c>
      <c r="L1144">
        <v>6</v>
      </c>
      <c r="M1144">
        <v>691603</v>
      </c>
      <c r="N1144">
        <f t="shared" si="122"/>
        <v>691603</v>
      </c>
      <c r="O1144">
        <v>34995</v>
      </c>
      <c r="P1144">
        <v>14.84</v>
      </c>
      <c r="Q1144">
        <v>48</v>
      </c>
      <c r="R1144" t="s">
        <v>3048</v>
      </c>
      <c r="S1144" t="str">
        <f t="shared" si="123"/>
        <v>Home Improvement</v>
      </c>
      <c r="U1144">
        <f t="shared" si="124"/>
        <v>556</v>
      </c>
      <c r="V1144">
        <v>4</v>
      </c>
      <c r="W1144" t="s">
        <v>3056</v>
      </c>
      <c r="X1144" s="3" t="s">
        <v>3128</v>
      </c>
      <c r="Y1144" s="3">
        <f t="shared" si="125"/>
        <v>44580</v>
      </c>
      <c r="Z1144">
        <v>5.0599999999999999E-2</v>
      </c>
    </row>
    <row r="1145" spans="1:26" x14ac:dyDescent="0.35">
      <c r="A1145" t="s">
        <v>1151</v>
      </c>
      <c r="B1145" t="str">
        <f t="shared" si="119"/>
        <v>OK</v>
      </c>
      <c r="C1145" t="s">
        <v>2638</v>
      </c>
      <c r="D1145" s="2">
        <v>64</v>
      </c>
      <c r="E1145">
        <f>IF(OR(D1145&lt;18, D1145&gt;100),AD1144,D1145)</f>
        <v>64</v>
      </c>
      <c r="F1145" t="s">
        <v>2990</v>
      </c>
      <c r="G1145" t="str">
        <f t="shared" si="120"/>
        <v>Male</v>
      </c>
      <c r="H1145" t="s">
        <v>3004</v>
      </c>
      <c r="I1145" t="s">
        <v>3020</v>
      </c>
      <c r="K1145" t="str">
        <f t="shared" si="121"/>
        <v>Self-Employed</v>
      </c>
      <c r="L1145">
        <v>13</v>
      </c>
      <c r="M1145">
        <v>412732</v>
      </c>
      <c r="N1145">
        <f t="shared" si="122"/>
        <v>412732</v>
      </c>
      <c r="O1145">
        <v>655310</v>
      </c>
      <c r="P1145">
        <v>8.3800000000000008</v>
      </c>
      <c r="Q1145">
        <v>36</v>
      </c>
      <c r="R1145" t="s">
        <v>3051</v>
      </c>
      <c r="S1145" t="str">
        <f t="shared" si="123"/>
        <v>Education</v>
      </c>
      <c r="T1145">
        <v>532</v>
      </c>
      <c r="U1145">
        <f t="shared" si="124"/>
        <v>532</v>
      </c>
      <c r="V1145">
        <v>4</v>
      </c>
      <c r="W1145" t="s">
        <v>3055</v>
      </c>
      <c r="X1145" s="3" t="s">
        <v>3912</v>
      </c>
      <c r="Y1145" s="3">
        <f t="shared" si="125"/>
        <v>44608</v>
      </c>
      <c r="Z1145">
        <v>1.5876999999999999</v>
      </c>
    </row>
    <row r="1146" spans="1:26" x14ac:dyDescent="0.35">
      <c r="A1146" t="s">
        <v>1152</v>
      </c>
      <c r="B1146" t="str">
        <f t="shared" si="119"/>
        <v>OK</v>
      </c>
      <c r="C1146" t="s">
        <v>2639</v>
      </c>
      <c r="D1146" s="2">
        <v>38</v>
      </c>
      <c r="E1146">
        <f>IF(OR(D1146&lt;18, D1146&gt;100),AD1145,D1146)</f>
        <v>38</v>
      </c>
      <c r="F1146" t="s">
        <v>2992</v>
      </c>
      <c r="G1146" t="str">
        <f t="shared" si="120"/>
        <v>Female</v>
      </c>
      <c r="H1146" t="s">
        <v>3001</v>
      </c>
      <c r="I1146" t="s">
        <v>3019</v>
      </c>
      <c r="K1146" t="str">
        <f t="shared" si="121"/>
        <v>Employed</v>
      </c>
      <c r="L1146">
        <v>0</v>
      </c>
      <c r="M1146">
        <v>925182</v>
      </c>
      <c r="N1146">
        <f t="shared" si="122"/>
        <v>925182</v>
      </c>
      <c r="O1146">
        <v>446674</v>
      </c>
      <c r="P1146">
        <v>18.940000000000001</v>
      </c>
      <c r="Q1146">
        <v>48</v>
      </c>
      <c r="R1146" t="s">
        <v>3051</v>
      </c>
      <c r="S1146" t="str">
        <f t="shared" si="123"/>
        <v>Education</v>
      </c>
      <c r="T1146">
        <v>588</v>
      </c>
      <c r="U1146">
        <f t="shared" si="124"/>
        <v>588</v>
      </c>
      <c r="V1146">
        <v>1</v>
      </c>
      <c r="W1146" t="s">
        <v>3056</v>
      </c>
      <c r="X1146" s="3" t="s">
        <v>3387</v>
      </c>
      <c r="Y1146" s="3">
        <f t="shared" si="125"/>
        <v>44265</v>
      </c>
      <c r="Z1146">
        <v>0.48280000000000001</v>
      </c>
    </row>
    <row r="1147" spans="1:26" x14ac:dyDescent="0.35">
      <c r="A1147" t="s">
        <v>1153</v>
      </c>
      <c r="B1147" t="str">
        <f t="shared" ref="B1147:B1210" si="126">IF(A1147="", "MISSING", "OK")</f>
        <v>OK</v>
      </c>
      <c r="C1147" t="s">
        <v>2640</v>
      </c>
      <c r="D1147" s="2">
        <v>56</v>
      </c>
      <c r="E1147">
        <f>IF(OR(D1147&lt;18, D1147&gt;100),AD1146,D1147)</f>
        <v>56</v>
      </c>
      <c r="F1147" t="s">
        <v>2990</v>
      </c>
      <c r="G1147" t="str">
        <f t="shared" si="120"/>
        <v>Male</v>
      </c>
      <c r="H1147" t="s">
        <v>2998</v>
      </c>
      <c r="I1147" t="s">
        <v>3020</v>
      </c>
      <c r="K1147" t="str">
        <f t="shared" si="121"/>
        <v>Self-Employed</v>
      </c>
      <c r="L1147">
        <v>1</v>
      </c>
      <c r="M1147">
        <v>818387</v>
      </c>
      <c r="N1147">
        <f t="shared" si="122"/>
        <v>818387</v>
      </c>
      <c r="O1147">
        <v>355299</v>
      </c>
      <c r="P1147">
        <v>22.01</v>
      </c>
      <c r="Q1147">
        <v>48</v>
      </c>
      <c r="R1147" t="s">
        <v>3047</v>
      </c>
      <c r="S1147" t="str">
        <f t="shared" si="123"/>
        <v>Personal</v>
      </c>
      <c r="T1147">
        <v>819</v>
      </c>
      <c r="U1147">
        <f t="shared" si="124"/>
        <v>819</v>
      </c>
      <c r="V1147">
        <v>6</v>
      </c>
      <c r="W1147" t="s">
        <v>3057</v>
      </c>
      <c r="X1147" s="3" t="s">
        <v>3537</v>
      </c>
      <c r="Y1147" s="3">
        <f t="shared" si="125"/>
        <v>44332</v>
      </c>
      <c r="Z1147">
        <v>0.43409999999999999</v>
      </c>
    </row>
    <row r="1148" spans="1:26" x14ac:dyDescent="0.35">
      <c r="A1148" t="s">
        <v>1154</v>
      </c>
      <c r="B1148" t="str">
        <f t="shared" si="126"/>
        <v>OK</v>
      </c>
      <c r="C1148" t="s">
        <v>2641</v>
      </c>
      <c r="D1148" s="2">
        <v>34</v>
      </c>
      <c r="E1148">
        <f>IF(OR(D1148&lt;18, D1148&gt;100),AD1147,D1148)</f>
        <v>34</v>
      </c>
      <c r="F1148" t="s">
        <v>2990</v>
      </c>
      <c r="G1148" t="str">
        <f t="shared" si="120"/>
        <v>Male</v>
      </c>
      <c r="H1148" t="s">
        <v>2999</v>
      </c>
      <c r="I1148" t="s">
        <v>3020</v>
      </c>
      <c r="K1148" t="str">
        <f t="shared" si="121"/>
        <v>Self-Employed</v>
      </c>
      <c r="L1148">
        <v>27</v>
      </c>
      <c r="M1148">
        <v>1147561</v>
      </c>
      <c r="N1148">
        <f t="shared" si="122"/>
        <v>1147561</v>
      </c>
      <c r="O1148">
        <v>144116</v>
      </c>
      <c r="P1148">
        <v>18.43</v>
      </c>
      <c r="Q1148">
        <v>12</v>
      </c>
      <c r="R1148" t="s">
        <v>3050</v>
      </c>
      <c r="S1148" t="str">
        <f t="shared" si="123"/>
        <v>Agriculture</v>
      </c>
      <c r="T1148">
        <v>521</v>
      </c>
      <c r="U1148">
        <f t="shared" si="124"/>
        <v>521</v>
      </c>
      <c r="V1148">
        <v>2</v>
      </c>
      <c r="W1148" t="s">
        <v>3053</v>
      </c>
      <c r="X1148" s="3" t="s">
        <v>3913</v>
      </c>
      <c r="Y1148" s="3">
        <f t="shared" si="125"/>
        <v>43856</v>
      </c>
      <c r="Z1148">
        <v>0.12559999999999999</v>
      </c>
    </row>
    <row r="1149" spans="1:26" x14ac:dyDescent="0.35">
      <c r="A1149" t="s">
        <v>1155</v>
      </c>
      <c r="B1149" t="str">
        <f t="shared" si="126"/>
        <v>OK</v>
      </c>
      <c r="C1149" t="s">
        <v>2642</v>
      </c>
      <c r="D1149" s="2">
        <v>59</v>
      </c>
      <c r="E1149">
        <f>IF(OR(D1149&lt;18, D1149&gt;100),AD1148,D1149)</f>
        <v>59</v>
      </c>
      <c r="F1149" t="s">
        <v>2990</v>
      </c>
      <c r="G1149" t="str">
        <f t="shared" si="120"/>
        <v>Male</v>
      </c>
      <c r="H1149" t="s">
        <v>3007</v>
      </c>
      <c r="I1149" t="s">
        <v>3019</v>
      </c>
      <c r="K1149" t="str">
        <f t="shared" si="121"/>
        <v>Employed</v>
      </c>
      <c r="L1149">
        <v>6</v>
      </c>
      <c r="M1149">
        <v>1424380</v>
      </c>
      <c r="N1149">
        <f t="shared" si="122"/>
        <v>1424380</v>
      </c>
      <c r="O1149">
        <v>146310</v>
      </c>
      <c r="P1149">
        <v>12.22</v>
      </c>
      <c r="Q1149">
        <v>24</v>
      </c>
      <c r="R1149" t="s">
        <v>3047</v>
      </c>
      <c r="S1149" t="str">
        <f t="shared" si="123"/>
        <v>Personal</v>
      </c>
      <c r="U1149">
        <f t="shared" si="124"/>
        <v>556</v>
      </c>
      <c r="V1149">
        <v>2</v>
      </c>
      <c r="W1149" t="s">
        <v>3054</v>
      </c>
      <c r="X1149" s="3" t="s">
        <v>3407</v>
      </c>
      <c r="Y1149" s="3">
        <f t="shared" si="125"/>
        <v>45189</v>
      </c>
      <c r="Z1149">
        <v>0.1027</v>
      </c>
    </row>
    <row r="1150" spans="1:26" x14ac:dyDescent="0.35">
      <c r="A1150" t="s">
        <v>1156</v>
      </c>
      <c r="B1150" t="str">
        <f t="shared" si="126"/>
        <v>OK</v>
      </c>
      <c r="C1150" t="s">
        <v>2643</v>
      </c>
      <c r="D1150" s="2">
        <v>55</v>
      </c>
      <c r="E1150">
        <f>IF(OR(D1150&lt;18, D1150&gt;100),AD1149,D1150)</f>
        <v>55</v>
      </c>
      <c r="F1150" t="s">
        <v>2992</v>
      </c>
      <c r="G1150" t="str">
        <f t="shared" si="120"/>
        <v>Female</v>
      </c>
      <c r="H1150" t="s">
        <v>3003</v>
      </c>
      <c r="I1150" t="s">
        <v>3021</v>
      </c>
      <c r="K1150" t="str">
        <f t="shared" si="121"/>
        <v>Unemployed</v>
      </c>
      <c r="L1150">
        <v>5</v>
      </c>
      <c r="M1150">
        <v>968443</v>
      </c>
      <c r="N1150">
        <f t="shared" si="122"/>
        <v>968443</v>
      </c>
      <c r="O1150">
        <v>563692</v>
      </c>
      <c r="P1150">
        <v>19.95</v>
      </c>
      <c r="Q1150">
        <v>60</v>
      </c>
      <c r="R1150" t="s">
        <v>3049</v>
      </c>
      <c r="S1150" t="str">
        <f t="shared" si="123"/>
        <v>Business</v>
      </c>
      <c r="T1150">
        <v>747</v>
      </c>
      <c r="U1150">
        <f t="shared" si="124"/>
        <v>747</v>
      </c>
      <c r="V1150">
        <v>1</v>
      </c>
      <c r="W1150" t="s">
        <v>3052</v>
      </c>
      <c r="X1150" s="3" t="s">
        <v>3462</v>
      </c>
      <c r="Y1150" s="3">
        <f t="shared" si="125"/>
        <v>44100</v>
      </c>
      <c r="Z1150">
        <v>0.58209999999999995</v>
      </c>
    </row>
    <row r="1151" spans="1:26" x14ac:dyDescent="0.35">
      <c r="A1151" t="s">
        <v>1157</v>
      </c>
      <c r="B1151" t="str">
        <f t="shared" si="126"/>
        <v>OK</v>
      </c>
      <c r="C1151" t="s">
        <v>2644</v>
      </c>
      <c r="D1151" s="2">
        <v>56</v>
      </c>
      <c r="E1151">
        <f>IF(OR(D1151&lt;18, D1151&gt;100),AD1150,D1151)</f>
        <v>56</v>
      </c>
      <c r="F1151" t="s">
        <v>2992</v>
      </c>
      <c r="G1151" t="str">
        <f t="shared" si="120"/>
        <v>Female</v>
      </c>
      <c r="H1151" t="s">
        <v>3003</v>
      </c>
      <c r="I1151" t="s">
        <v>3021</v>
      </c>
      <c r="K1151" t="str">
        <f t="shared" si="121"/>
        <v>Unemployed</v>
      </c>
      <c r="L1151">
        <v>5</v>
      </c>
      <c r="M1151">
        <v>370237</v>
      </c>
      <c r="N1151">
        <f t="shared" si="122"/>
        <v>370237</v>
      </c>
      <c r="O1151">
        <v>555352</v>
      </c>
      <c r="P1151">
        <v>10.11</v>
      </c>
      <c r="Q1151">
        <v>60</v>
      </c>
      <c r="R1151" t="s">
        <v>3049</v>
      </c>
      <c r="S1151" t="str">
        <f t="shared" si="123"/>
        <v>Business</v>
      </c>
      <c r="T1151">
        <v>538</v>
      </c>
      <c r="U1151">
        <f t="shared" si="124"/>
        <v>538</v>
      </c>
      <c r="V1151">
        <v>1</v>
      </c>
      <c r="W1151" t="s">
        <v>3056</v>
      </c>
      <c r="X1151" s="3" t="s">
        <v>3914</v>
      </c>
      <c r="Y1151" s="3">
        <f t="shared" si="125"/>
        <v>45187</v>
      </c>
      <c r="Z1151">
        <v>1.5</v>
      </c>
    </row>
    <row r="1152" spans="1:26" x14ac:dyDescent="0.35">
      <c r="A1152" t="s">
        <v>1158</v>
      </c>
      <c r="B1152" t="str">
        <f t="shared" si="126"/>
        <v>OK</v>
      </c>
      <c r="C1152" t="s">
        <v>2645</v>
      </c>
      <c r="D1152" s="2">
        <v>60</v>
      </c>
      <c r="E1152">
        <f>IF(OR(D1152&lt;18, D1152&gt;100),AD1151,D1152)</f>
        <v>60</v>
      </c>
      <c r="F1152" t="s">
        <v>2990</v>
      </c>
      <c r="G1152" t="str">
        <f t="shared" si="120"/>
        <v>Male</v>
      </c>
      <c r="H1152" t="s">
        <v>3006</v>
      </c>
      <c r="I1152" t="s">
        <v>3021</v>
      </c>
      <c r="K1152" t="str">
        <f t="shared" si="121"/>
        <v>Unemployed</v>
      </c>
      <c r="L1152">
        <v>22</v>
      </c>
      <c r="M1152">
        <v>1273609</v>
      </c>
      <c r="N1152">
        <f t="shared" si="122"/>
        <v>1273609</v>
      </c>
      <c r="O1152">
        <v>480115</v>
      </c>
      <c r="P1152">
        <v>16.88</v>
      </c>
      <c r="Q1152">
        <v>60</v>
      </c>
      <c r="R1152" t="s">
        <v>3047</v>
      </c>
      <c r="S1152" t="str">
        <f t="shared" si="123"/>
        <v>Personal</v>
      </c>
      <c r="T1152">
        <v>353</v>
      </c>
      <c r="U1152">
        <f t="shared" si="124"/>
        <v>353</v>
      </c>
      <c r="V1152">
        <v>0</v>
      </c>
      <c r="W1152" t="s">
        <v>3055</v>
      </c>
      <c r="X1152" s="3" t="s">
        <v>3348</v>
      </c>
      <c r="Y1152" s="3">
        <f t="shared" si="125"/>
        <v>45180</v>
      </c>
      <c r="Z1152">
        <v>0.377</v>
      </c>
    </row>
    <row r="1153" spans="1:26" x14ac:dyDescent="0.35">
      <c r="A1153" t="s">
        <v>1159</v>
      </c>
      <c r="B1153" t="str">
        <f t="shared" si="126"/>
        <v>OK</v>
      </c>
      <c r="C1153" t="s">
        <v>2646</v>
      </c>
      <c r="D1153" s="2">
        <v>27</v>
      </c>
      <c r="E1153">
        <f>IF(OR(D1153&lt;18, D1153&gt;100),AD1152,D1153)</f>
        <v>27</v>
      </c>
      <c r="G1153" t="str">
        <f t="shared" si="120"/>
        <v>Unknown</v>
      </c>
      <c r="H1153" t="s">
        <v>3006</v>
      </c>
      <c r="I1153" t="s">
        <v>3018</v>
      </c>
      <c r="K1153" t="str">
        <f t="shared" si="121"/>
        <v>Business Owner</v>
      </c>
      <c r="L1153">
        <v>27</v>
      </c>
      <c r="M1153">
        <v>2223037</v>
      </c>
      <c r="N1153">
        <f t="shared" si="122"/>
        <v>2223037</v>
      </c>
      <c r="O1153">
        <v>82021</v>
      </c>
      <c r="P1153">
        <v>11.54</v>
      </c>
      <c r="Q1153">
        <v>36</v>
      </c>
      <c r="R1153" t="s">
        <v>3046</v>
      </c>
      <c r="S1153" t="str">
        <f t="shared" si="123"/>
        <v>Medical</v>
      </c>
      <c r="T1153">
        <v>431</v>
      </c>
      <c r="U1153">
        <f t="shared" si="124"/>
        <v>431</v>
      </c>
      <c r="V1153">
        <v>0</v>
      </c>
      <c r="W1153" t="s">
        <v>3055</v>
      </c>
      <c r="X1153" s="3" t="s">
        <v>3915</v>
      </c>
      <c r="Y1153" s="3">
        <f t="shared" si="125"/>
        <v>44800</v>
      </c>
      <c r="Z1153">
        <v>3.6900000000000002E-2</v>
      </c>
    </row>
    <row r="1154" spans="1:26" x14ac:dyDescent="0.35">
      <c r="A1154" t="s">
        <v>1160</v>
      </c>
      <c r="B1154" t="str">
        <f t="shared" si="126"/>
        <v>OK</v>
      </c>
      <c r="C1154" t="s">
        <v>2647</v>
      </c>
      <c r="D1154" s="2">
        <v>37</v>
      </c>
      <c r="E1154">
        <f>IF(OR(D1154&lt;18, D1154&gt;100),AD1153,D1154)</f>
        <v>37</v>
      </c>
      <c r="F1154" t="s">
        <v>2992</v>
      </c>
      <c r="G1154" t="str">
        <f t="shared" si="120"/>
        <v>Female</v>
      </c>
      <c r="H1154" t="s">
        <v>3007</v>
      </c>
      <c r="I1154" t="s">
        <v>3020</v>
      </c>
      <c r="K1154" t="str">
        <f t="shared" si="121"/>
        <v>Self-Employed</v>
      </c>
      <c r="L1154">
        <v>29</v>
      </c>
      <c r="M1154">
        <v>404605</v>
      </c>
      <c r="N1154">
        <f t="shared" si="122"/>
        <v>404605</v>
      </c>
      <c r="O1154">
        <v>558314</v>
      </c>
      <c r="P1154">
        <v>21.92</v>
      </c>
      <c r="Q1154">
        <v>60</v>
      </c>
      <c r="R1154" t="s">
        <v>3051</v>
      </c>
      <c r="S1154" t="str">
        <f t="shared" si="123"/>
        <v>Education</v>
      </c>
      <c r="T1154">
        <v>626</v>
      </c>
      <c r="U1154">
        <f t="shared" si="124"/>
        <v>626</v>
      </c>
      <c r="V1154">
        <v>5</v>
      </c>
      <c r="W1154" t="s">
        <v>3052</v>
      </c>
      <c r="X1154" s="3" t="s">
        <v>3449</v>
      </c>
      <c r="Y1154" s="3">
        <f t="shared" si="125"/>
        <v>44238</v>
      </c>
      <c r="Z1154">
        <v>1.3798999999999999</v>
      </c>
    </row>
    <row r="1155" spans="1:26" x14ac:dyDescent="0.35">
      <c r="A1155" t="s">
        <v>1161</v>
      </c>
      <c r="B1155" t="str">
        <f t="shared" si="126"/>
        <v>OK</v>
      </c>
      <c r="C1155" t="s">
        <v>2648</v>
      </c>
      <c r="D1155" s="2">
        <v>57</v>
      </c>
      <c r="E1155">
        <f>IF(OR(D1155&lt;18, D1155&gt;100),AD1154,D1155)</f>
        <v>57</v>
      </c>
      <c r="F1155" t="s">
        <v>2990</v>
      </c>
      <c r="G1155" t="str">
        <f t="shared" ref="G1155:G1218" si="127">IF(F1155="", "Unknown", IF(OR(F1155="F", F1155="FEMALE", F1155="Female"), "Female", IF(OR(F1155="M", F1155="MALE", F1155="Male"), "Male", "Other")))</f>
        <v>Male</v>
      </c>
      <c r="H1155" t="s">
        <v>3005</v>
      </c>
      <c r="I1155" t="s">
        <v>3020</v>
      </c>
      <c r="K1155" t="str">
        <f t="shared" ref="K1155:K1218" si="128">IF(I1155="", "Unknown", I1155)</f>
        <v>Self-Employed</v>
      </c>
      <c r="L1155">
        <v>5</v>
      </c>
      <c r="M1155">
        <v>-625377</v>
      </c>
      <c r="N1155">
        <f t="shared" ref="N1155:N1218" si="129">IF(OR(M1155="",M1155&lt;0),$AD$3,M1155)</f>
        <v>1333224</v>
      </c>
      <c r="O1155">
        <v>709870</v>
      </c>
      <c r="P1155">
        <v>16.8</v>
      </c>
      <c r="Q1155">
        <v>60</v>
      </c>
      <c r="R1155" t="s">
        <v>3050</v>
      </c>
      <c r="S1155" t="str">
        <f t="shared" ref="S1155:S1218" si="130">IF(R1155="", "Unknown", R1155)</f>
        <v>Agriculture</v>
      </c>
      <c r="T1155">
        <v>554</v>
      </c>
      <c r="U1155">
        <f t="shared" ref="U1155:U1218" si="131">IF(OR(T1155="",T1155&gt;999),$AD$2,T1155)</f>
        <v>554</v>
      </c>
      <c r="V1155">
        <v>4</v>
      </c>
      <c r="W1155" t="s">
        <v>3056</v>
      </c>
      <c r="X1155" s="3" t="s">
        <v>3916</v>
      </c>
      <c r="Y1155" s="3">
        <f t="shared" ref="Y1155:Y1218" si="132">IF(ISNUMBER(X1155), X1155, DATEVALUE(X1155))</f>
        <v>44547</v>
      </c>
      <c r="Z1155">
        <v>1.1351</v>
      </c>
    </row>
    <row r="1156" spans="1:26" x14ac:dyDescent="0.35">
      <c r="A1156" t="s">
        <v>1162</v>
      </c>
      <c r="B1156" t="str">
        <f t="shared" si="126"/>
        <v>OK</v>
      </c>
      <c r="C1156" t="s">
        <v>2649</v>
      </c>
      <c r="D1156" s="2">
        <v>34</v>
      </c>
      <c r="E1156">
        <f>IF(OR(D1156&lt;18, D1156&gt;100),AD1155,D1156)</f>
        <v>34</v>
      </c>
      <c r="F1156" t="s">
        <v>2990</v>
      </c>
      <c r="G1156" t="str">
        <f t="shared" si="127"/>
        <v>Male</v>
      </c>
      <c r="H1156" t="s">
        <v>3000</v>
      </c>
      <c r="I1156" t="s">
        <v>3019</v>
      </c>
      <c r="K1156" t="str">
        <f t="shared" si="128"/>
        <v>Employed</v>
      </c>
      <c r="L1156">
        <v>7</v>
      </c>
      <c r="M1156">
        <v>1416530</v>
      </c>
      <c r="N1156">
        <f t="shared" si="129"/>
        <v>1416530</v>
      </c>
      <c r="O1156">
        <v>51085</v>
      </c>
      <c r="P1156">
        <v>22.3</v>
      </c>
      <c r="Q1156">
        <v>60</v>
      </c>
      <c r="R1156" t="s">
        <v>3050</v>
      </c>
      <c r="S1156" t="str">
        <f t="shared" si="130"/>
        <v>Agriculture</v>
      </c>
      <c r="T1156">
        <v>844</v>
      </c>
      <c r="U1156">
        <f t="shared" si="131"/>
        <v>844</v>
      </c>
      <c r="V1156">
        <v>5</v>
      </c>
      <c r="W1156" t="s">
        <v>3056</v>
      </c>
      <c r="X1156" s="3" t="s">
        <v>3126</v>
      </c>
      <c r="Y1156" s="3">
        <f t="shared" si="132"/>
        <v>44309</v>
      </c>
      <c r="Z1156">
        <v>3.61E-2</v>
      </c>
    </row>
    <row r="1157" spans="1:26" x14ac:dyDescent="0.35">
      <c r="A1157" t="s">
        <v>1163</v>
      </c>
      <c r="B1157" t="str">
        <f t="shared" si="126"/>
        <v>OK</v>
      </c>
      <c r="C1157" t="s">
        <v>2650</v>
      </c>
      <c r="D1157" s="2">
        <v>45</v>
      </c>
      <c r="E1157">
        <f>IF(OR(D1157&lt;18, D1157&gt;100),AD1156,D1157)</f>
        <v>45</v>
      </c>
      <c r="F1157" t="s">
        <v>2992</v>
      </c>
      <c r="G1157" t="str">
        <f t="shared" si="127"/>
        <v>Female</v>
      </c>
      <c r="H1157" t="s">
        <v>2998</v>
      </c>
      <c r="I1157" t="s">
        <v>3018</v>
      </c>
      <c r="K1157" t="str">
        <f t="shared" si="128"/>
        <v>Business Owner</v>
      </c>
      <c r="L1157">
        <v>22</v>
      </c>
      <c r="M1157">
        <v>585804</v>
      </c>
      <c r="N1157">
        <f t="shared" si="129"/>
        <v>585804</v>
      </c>
      <c r="O1157">
        <v>722922</v>
      </c>
      <c r="P1157">
        <v>11.36</v>
      </c>
      <c r="Q1157">
        <v>48</v>
      </c>
      <c r="R1157" t="s">
        <v>3050</v>
      </c>
      <c r="S1157" t="str">
        <f t="shared" si="130"/>
        <v>Agriculture</v>
      </c>
      <c r="T1157">
        <v>596</v>
      </c>
      <c r="U1157">
        <f t="shared" si="131"/>
        <v>596</v>
      </c>
      <c r="V1157">
        <v>7</v>
      </c>
      <c r="W1157" t="s">
        <v>3055</v>
      </c>
      <c r="X1157" s="3" t="s">
        <v>3917</v>
      </c>
      <c r="Y1157" s="3">
        <f t="shared" si="132"/>
        <v>44206</v>
      </c>
      <c r="Z1157">
        <v>1.2341</v>
      </c>
    </row>
    <row r="1158" spans="1:26" x14ac:dyDescent="0.35">
      <c r="A1158" t="s">
        <v>1164</v>
      </c>
      <c r="B1158" t="str">
        <f t="shared" si="126"/>
        <v>OK</v>
      </c>
      <c r="C1158" t="s">
        <v>2651</v>
      </c>
      <c r="D1158" s="2">
        <v>38</v>
      </c>
      <c r="E1158">
        <f>IF(OR(D1158&lt;18, D1158&gt;100),AD1157,D1158)</f>
        <v>38</v>
      </c>
      <c r="F1158" t="s">
        <v>2990</v>
      </c>
      <c r="G1158" t="str">
        <f t="shared" si="127"/>
        <v>Male</v>
      </c>
      <c r="H1158" t="s">
        <v>3006</v>
      </c>
      <c r="I1158" t="s">
        <v>3018</v>
      </c>
      <c r="K1158" t="str">
        <f t="shared" si="128"/>
        <v>Business Owner</v>
      </c>
      <c r="L1158">
        <v>25</v>
      </c>
      <c r="M1158">
        <v>1863541</v>
      </c>
      <c r="N1158">
        <f t="shared" si="129"/>
        <v>1863541</v>
      </c>
      <c r="O1158">
        <v>75745</v>
      </c>
      <c r="P1158">
        <v>14.14</v>
      </c>
      <c r="Q1158">
        <v>48</v>
      </c>
      <c r="R1158" t="s">
        <v>3050</v>
      </c>
      <c r="S1158" t="str">
        <f t="shared" si="130"/>
        <v>Agriculture</v>
      </c>
      <c r="T1158">
        <v>676</v>
      </c>
      <c r="U1158">
        <f t="shared" si="131"/>
        <v>676</v>
      </c>
      <c r="V1158">
        <v>2</v>
      </c>
      <c r="W1158" t="s">
        <v>3056</v>
      </c>
      <c r="X1158" s="3" t="s">
        <v>3918</v>
      </c>
      <c r="Y1158" s="3">
        <f t="shared" si="132"/>
        <v>44657</v>
      </c>
      <c r="Z1158">
        <v>4.0599999999999997E-2</v>
      </c>
    </row>
    <row r="1159" spans="1:26" x14ac:dyDescent="0.35">
      <c r="A1159" t="s">
        <v>1165</v>
      </c>
      <c r="B1159" t="str">
        <f t="shared" si="126"/>
        <v>OK</v>
      </c>
      <c r="C1159" t="s">
        <v>2652</v>
      </c>
      <c r="D1159" s="2">
        <v>40</v>
      </c>
      <c r="E1159">
        <f>IF(OR(D1159&lt;18, D1159&gt;100),AD1158,D1159)</f>
        <v>40</v>
      </c>
      <c r="F1159" t="s">
        <v>2992</v>
      </c>
      <c r="G1159" t="str">
        <f t="shared" si="127"/>
        <v>Female</v>
      </c>
      <c r="H1159" t="s">
        <v>2998</v>
      </c>
      <c r="I1159" t="s">
        <v>3021</v>
      </c>
      <c r="K1159" t="str">
        <f t="shared" si="128"/>
        <v>Unemployed</v>
      </c>
      <c r="L1159">
        <v>9</v>
      </c>
      <c r="M1159">
        <v>1397060</v>
      </c>
      <c r="N1159">
        <f t="shared" si="129"/>
        <v>1397060</v>
      </c>
      <c r="O1159">
        <v>546492</v>
      </c>
      <c r="P1159">
        <v>12.18</v>
      </c>
      <c r="Q1159">
        <v>60</v>
      </c>
      <c r="S1159" t="str">
        <f t="shared" si="130"/>
        <v>Unknown</v>
      </c>
      <c r="T1159">
        <v>619</v>
      </c>
      <c r="U1159">
        <f t="shared" si="131"/>
        <v>619</v>
      </c>
      <c r="V1159">
        <v>6</v>
      </c>
      <c r="W1159" t="s">
        <v>3053</v>
      </c>
      <c r="X1159" s="3" t="s">
        <v>3315</v>
      </c>
      <c r="Y1159" s="3">
        <f t="shared" si="132"/>
        <v>44302</v>
      </c>
      <c r="Z1159">
        <v>0.39119999999999999</v>
      </c>
    </row>
    <row r="1160" spans="1:26" x14ac:dyDescent="0.35">
      <c r="A1160" t="s">
        <v>1166</v>
      </c>
      <c r="B1160" t="str">
        <f t="shared" si="126"/>
        <v>OK</v>
      </c>
      <c r="C1160" t="s">
        <v>2653</v>
      </c>
      <c r="D1160" s="2">
        <v>43</v>
      </c>
      <c r="E1160">
        <f>IF(OR(D1160&lt;18, D1160&gt;100),AD1159,D1160)</f>
        <v>43</v>
      </c>
      <c r="F1160" t="s">
        <v>2990</v>
      </c>
      <c r="G1160" t="str">
        <f t="shared" si="127"/>
        <v>Male</v>
      </c>
      <c r="H1160" t="s">
        <v>3005</v>
      </c>
      <c r="I1160" t="s">
        <v>3021</v>
      </c>
      <c r="K1160" t="str">
        <f t="shared" si="128"/>
        <v>Unemployed</v>
      </c>
      <c r="L1160">
        <v>28</v>
      </c>
      <c r="M1160">
        <v>1794737</v>
      </c>
      <c r="N1160">
        <f t="shared" si="129"/>
        <v>1794737</v>
      </c>
      <c r="O1160">
        <v>443966</v>
      </c>
      <c r="P1160">
        <v>11.66</v>
      </c>
      <c r="Q1160">
        <v>60</v>
      </c>
      <c r="R1160" t="s">
        <v>3048</v>
      </c>
      <c r="S1160" t="str">
        <f t="shared" si="130"/>
        <v>Home Improvement</v>
      </c>
      <c r="T1160">
        <v>426</v>
      </c>
      <c r="U1160">
        <f t="shared" si="131"/>
        <v>426</v>
      </c>
      <c r="V1160">
        <v>6</v>
      </c>
      <c r="W1160" t="s">
        <v>3052</v>
      </c>
      <c r="X1160" s="3" t="s">
        <v>3488</v>
      </c>
      <c r="Y1160" s="3">
        <f t="shared" si="132"/>
        <v>45216</v>
      </c>
      <c r="Z1160">
        <v>0.24740000000000001</v>
      </c>
    </row>
    <row r="1161" spans="1:26" x14ac:dyDescent="0.35">
      <c r="A1161" t="s">
        <v>1167</v>
      </c>
      <c r="B1161" t="str">
        <f t="shared" si="126"/>
        <v>OK</v>
      </c>
      <c r="C1161" t="s">
        <v>2036</v>
      </c>
      <c r="D1161" s="2">
        <v>54</v>
      </c>
      <c r="E1161">
        <f>IF(OR(D1161&lt;18, D1161&gt;100),AD1160,D1161)</f>
        <v>54</v>
      </c>
      <c r="F1161" t="s">
        <v>2992</v>
      </c>
      <c r="G1161" t="str">
        <f t="shared" si="127"/>
        <v>Female</v>
      </c>
      <c r="H1161" t="s">
        <v>3004</v>
      </c>
      <c r="I1161" t="s">
        <v>3019</v>
      </c>
      <c r="K1161" t="str">
        <f t="shared" si="128"/>
        <v>Employed</v>
      </c>
      <c r="L1161">
        <v>17</v>
      </c>
      <c r="M1161">
        <v>1732226</v>
      </c>
      <c r="N1161">
        <f t="shared" si="129"/>
        <v>1732226</v>
      </c>
      <c r="O1161">
        <v>696999</v>
      </c>
      <c r="P1161">
        <v>23.7</v>
      </c>
      <c r="Q1161">
        <v>12</v>
      </c>
      <c r="R1161" t="s">
        <v>3046</v>
      </c>
      <c r="S1161" t="str">
        <f t="shared" si="130"/>
        <v>Medical</v>
      </c>
      <c r="T1161">
        <v>529</v>
      </c>
      <c r="U1161">
        <f t="shared" si="131"/>
        <v>529</v>
      </c>
      <c r="V1161">
        <v>6</v>
      </c>
      <c r="W1161" t="s">
        <v>3053</v>
      </c>
      <c r="X1161" s="3" t="s">
        <v>3919</v>
      </c>
      <c r="Y1161" s="3">
        <f t="shared" si="132"/>
        <v>44155</v>
      </c>
      <c r="Z1161">
        <v>0.40239999999999998</v>
      </c>
    </row>
    <row r="1162" spans="1:26" x14ac:dyDescent="0.35">
      <c r="A1162" t="s">
        <v>1168</v>
      </c>
      <c r="B1162" t="str">
        <f t="shared" si="126"/>
        <v>OK</v>
      </c>
      <c r="C1162" t="s">
        <v>2654</v>
      </c>
      <c r="D1162" s="2">
        <v>23</v>
      </c>
      <c r="E1162">
        <f>IF(OR(D1162&lt;18, D1162&gt;100),AD1161,D1162)</f>
        <v>23</v>
      </c>
      <c r="F1162" t="s">
        <v>2990</v>
      </c>
      <c r="G1162" t="str">
        <f t="shared" si="127"/>
        <v>Male</v>
      </c>
      <c r="H1162" t="s">
        <v>3001</v>
      </c>
      <c r="I1162" t="s">
        <v>3020</v>
      </c>
      <c r="K1162" t="str">
        <f t="shared" si="128"/>
        <v>Self-Employed</v>
      </c>
      <c r="L1162">
        <v>2</v>
      </c>
      <c r="M1162">
        <v>748302</v>
      </c>
      <c r="N1162">
        <f t="shared" si="129"/>
        <v>748302</v>
      </c>
      <c r="O1162">
        <v>136545</v>
      </c>
      <c r="P1162">
        <v>25.62</v>
      </c>
      <c r="Q1162">
        <v>60</v>
      </c>
      <c r="R1162" t="s">
        <v>3051</v>
      </c>
      <c r="S1162" t="str">
        <f t="shared" si="130"/>
        <v>Education</v>
      </c>
      <c r="T1162">
        <v>811</v>
      </c>
      <c r="U1162">
        <f t="shared" si="131"/>
        <v>811</v>
      </c>
      <c r="V1162">
        <v>7</v>
      </c>
      <c r="W1162" t="s">
        <v>3054</v>
      </c>
      <c r="X1162" s="3" t="s">
        <v>3178</v>
      </c>
      <c r="Y1162" s="3">
        <f t="shared" si="132"/>
        <v>44015</v>
      </c>
      <c r="Z1162">
        <v>0.1825</v>
      </c>
    </row>
    <row r="1163" spans="1:26" x14ac:dyDescent="0.35">
      <c r="A1163" t="s">
        <v>1169</v>
      </c>
      <c r="B1163" t="str">
        <f t="shared" si="126"/>
        <v>OK</v>
      </c>
      <c r="C1163" t="s">
        <v>2655</v>
      </c>
      <c r="D1163" s="2">
        <v>53</v>
      </c>
      <c r="E1163">
        <f>IF(OR(D1163&lt;18, D1163&gt;100),AD1162,D1163)</f>
        <v>53</v>
      </c>
      <c r="F1163" t="s">
        <v>2990</v>
      </c>
      <c r="G1163" t="str">
        <f t="shared" si="127"/>
        <v>Male</v>
      </c>
      <c r="H1163" t="s">
        <v>3001</v>
      </c>
      <c r="I1163" t="s">
        <v>3019</v>
      </c>
      <c r="K1163" t="str">
        <f t="shared" si="128"/>
        <v>Employed</v>
      </c>
      <c r="L1163">
        <v>12</v>
      </c>
      <c r="M1163">
        <v>1214586</v>
      </c>
      <c r="N1163">
        <f t="shared" si="129"/>
        <v>1214586</v>
      </c>
      <c r="O1163">
        <v>195607</v>
      </c>
      <c r="P1163">
        <v>10.45</v>
      </c>
      <c r="Q1163">
        <v>24</v>
      </c>
      <c r="R1163" t="s">
        <v>3048</v>
      </c>
      <c r="S1163" t="str">
        <f t="shared" si="130"/>
        <v>Home Improvement</v>
      </c>
      <c r="U1163">
        <f t="shared" si="131"/>
        <v>556</v>
      </c>
      <c r="V1163">
        <v>3</v>
      </c>
      <c r="W1163" t="s">
        <v>3057</v>
      </c>
      <c r="X1163" s="3" t="s">
        <v>3920</v>
      </c>
      <c r="Y1163" s="3">
        <f t="shared" si="132"/>
        <v>44645</v>
      </c>
      <c r="Z1163">
        <v>0.161</v>
      </c>
    </row>
    <row r="1164" spans="1:26" x14ac:dyDescent="0.35">
      <c r="A1164" t="s">
        <v>1170</v>
      </c>
      <c r="B1164" t="str">
        <f t="shared" si="126"/>
        <v>OK</v>
      </c>
      <c r="C1164" t="s">
        <v>2656</v>
      </c>
      <c r="D1164" s="2">
        <v>30</v>
      </c>
      <c r="E1164">
        <f>IF(OR(D1164&lt;18, D1164&gt;100),AD1163,D1164)</f>
        <v>30</v>
      </c>
      <c r="F1164" t="s">
        <v>2990</v>
      </c>
      <c r="G1164" t="str">
        <f t="shared" si="127"/>
        <v>Male</v>
      </c>
      <c r="H1164" t="s">
        <v>2998</v>
      </c>
      <c r="I1164" t="s">
        <v>3019</v>
      </c>
      <c r="K1164" t="str">
        <f t="shared" si="128"/>
        <v>Employed</v>
      </c>
      <c r="L1164">
        <v>25</v>
      </c>
      <c r="N1164">
        <f t="shared" si="129"/>
        <v>1333224</v>
      </c>
      <c r="O1164">
        <v>504146</v>
      </c>
      <c r="P1164">
        <v>16.760000000000002</v>
      </c>
      <c r="Q1164">
        <v>36</v>
      </c>
      <c r="R1164" t="s">
        <v>3051</v>
      </c>
      <c r="S1164" t="str">
        <f t="shared" si="130"/>
        <v>Education</v>
      </c>
      <c r="T1164">
        <v>352</v>
      </c>
      <c r="U1164">
        <f t="shared" si="131"/>
        <v>352</v>
      </c>
      <c r="V1164">
        <v>4</v>
      </c>
      <c r="W1164" t="s">
        <v>3057</v>
      </c>
      <c r="X1164" s="3" t="s">
        <v>3374</v>
      </c>
      <c r="Y1164" s="3">
        <f t="shared" si="132"/>
        <v>44307</v>
      </c>
      <c r="Z1164">
        <v>0.2366</v>
      </c>
    </row>
    <row r="1165" spans="1:26" x14ac:dyDescent="0.35">
      <c r="A1165" t="s">
        <v>1171</v>
      </c>
      <c r="B1165" t="str">
        <f t="shared" si="126"/>
        <v>OK</v>
      </c>
      <c r="C1165" t="s">
        <v>2657</v>
      </c>
      <c r="D1165" s="2">
        <v>45</v>
      </c>
      <c r="E1165">
        <f>IF(OR(D1165&lt;18, D1165&gt;100),AD1164,D1165)</f>
        <v>45</v>
      </c>
      <c r="F1165" t="s">
        <v>2992</v>
      </c>
      <c r="G1165" t="str">
        <f t="shared" si="127"/>
        <v>Female</v>
      </c>
      <c r="H1165" t="s">
        <v>2998</v>
      </c>
      <c r="I1165" t="s">
        <v>3018</v>
      </c>
      <c r="K1165" t="str">
        <f t="shared" si="128"/>
        <v>Business Owner</v>
      </c>
      <c r="L1165">
        <v>29</v>
      </c>
      <c r="M1165">
        <v>574423</v>
      </c>
      <c r="N1165">
        <f t="shared" si="129"/>
        <v>574423</v>
      </c>
      <c r="O1165">
        <v>226903</v>
      </c>
      <c r="P1165">
        <v>17.47</v>
      </c>
      <c r="Q1165">
        <v>36</v>
      </c>
      <c r="R1165" t="s">
        <v>3048</v>
      </c>
      <c r="S1165" t="str">
        <f t="shared" si="130"/>
        <v>Home Improvement</v>
      </c>
      <c r="T1165">
        <v>844</v>
      </c>
      <c r="U1165">
        <f t="shared" si="131"/>
        <v>844</v>
      </c>
      <c r="V1165">
        <v>2</v>
      </c>
      <c r="W1165" t="s">
        <v>3052</v>
      </c>
      <c r="X1165" s="3" t="s">
        <v>3921</v>
      </c>
      <c r="Y1165" s="3">
        <f t="shared" si="132"/>
        <v>45033</v>
      </c>
      <c r="Z1165">
        <v>0.39500000000000002</v>
      </c>
    </row>
    <row r="1166" spans="1:26" x14ac:dyDescent="0.35">
      <c r="A1166" t="s">
        <v>1172</v>
      </c>
      <c r="B1166" t="str">
        <f t="shared" si="126"/>
        <v>OK</v>
      </c>
      <c r="C1166" t="s">
        <v>2658</v>
      </c>
      <c r="D1166" s="2">
        <v>49</v>
      </c>
      <c r="E1166">
        <f>IF(OR(D1166&lt;18, D1166&gt;100),AD1165,D1166)</f>
        <v>49</v>
      </c>
      <c r="F1166" t="s">
        <v>2992</v>
      </c>
      <c r="G1166" t="str">
        <f t="shared" si="127"/>
        <v>Female</v>
      </c>
      <c r="H1166" t="s">
        <v>3004</v>
      </c>
      <c r="I1166" t="s">
        <v>3018</v>
      </c>
      <c r="K1166" t="str">
        <f t="shared" si="128"/>
        <v>Business Owner</v>
      </c>
      <c r="L1166">
        <v>17</v>
      </c>
      <c r="M1166">
        <v>1201469</v>
      </c>
      <c r="N1166">
        <f t="shared" si="129"/>
        <v>1201469</v>
      </c>
      <c r="O1166">
        <v>645210</v>
      </c>
      <c r="P1166">
        <v>27.91</v>
      </c>
      <c r="Q1166">
        <v>36</v>
      </c>
      <c r="R1166" t="s">
        <v>3046</v>
      </c>
      <c r="S1166" t="str">
        <f t="shared" si="130"/>
        <v>Medical</v>
      </c>
      <c r="T1166">
        <v>373</v>
      </c>
      <c r="U1166">
        <f t="shared" si="131"/>
        <v>373</v>
      </c>
      <c r="V1166">
        <v>3</v>
      </c>
      <c r="W1166" t="s">
        <v>3054</v>
      </c>
      <c r="X1166" s="3" t="s">
        <v>3140</v>
      </c>
      <c r="Y1166" s="3">
        <f t="shared" si="132"/>
        <v>45157</v>
      </c>
      <c r="Z1166">
        <v>0.53700000000000003</v>
      </c>
    </row>
    <row r="1167" spans="1:26" x14ac:dyDescent="0.35">
      <c r="A1167" t="s">
        <v>1173</v>
      </c>
      <c r="B1167" t="str">
        <f t="shared" si="126"/>
        <v>OK</v>
      </c>
      <c r="C1167" t="s">
        <v>2659</v>
      </c>
      <c r="D1167" s="2">
        <v>50</v>
      </c>
      <c r="E1167">
        <f>IF(OR(D1167&lt;18, D1167&gt;100),AD1166,D1167)</f>
        <v>50</v>
      </c>
      <c r="F1167" t="s">
        <v>2992</v>
      </c>
      <c r="G1167" t="str">
        <f t="shared" si="127"/>
        <v>Female</v>
      </c>
      <c r="H1167" t="s">
        <v>3005</v>
      </c>
      <c r="K1167" t="str">
        <f t="shared" si="128"/>
        <v>Unknown</v>
      </c>
      <c r="L1167">
        <v>25</v>
      </c>
      <c r="N1167">
        <f t="shared" si="129"/>
        <v>1333224</v>
      </c>
      <c r="O1167">
        <v>715532</v>
      </c>
      <c r="P1167">
        <v>8.7100000000000009</v>
      </c>
      <c r="Q1167">
        <v>36</v>
      </c>
      <c r="R1167" t="s">
        <v>3046</v>
      </c>
      <c r="S1167" t="str">
        <f t="shared" si="130"/>
        <v>Medical</v>
      </c>
      <c r="T1167">
        <v>846</v>
      </c>
      <c r="U1167">
        <f t="shared" si="131"/>
        <v>846</v>
      </c>
      <c r="V1167">
        <v>3</v>
      </c>
      <c r="W1167" t="s">
        <v>3054</v>
      </c>
      <c r="X1167" s="3" t="s">
        <v>3706</v>
      </c>
      <c r="Y1167" s="3">
        <f t="shared" si="132"/>
        <v>43836</v>
      </c>
      <c r="Z1167">
        <v>2.7823000000000002</v>
      </c>
    </row>
    <row r="1168" spans="1:26" x14ac:dyDescent="0.35">
      <c r="A1168" t="s">
        <v>1174</v>
      </c>
      <c r="B1168" t="str">
        <f t="shared" si="126"/>
        <v>OK</v>
      </c>
      <c r="C1168" t="s">
        <v>2660</v>
      </c>
      <c r="D1168" s="2">
        <v>23</v>
      </c>
      <c r="E1168">
        <f>IF(OR(D1168&lt;18, D1168&gt;100),AD1167,D1168)</f>
        <v>23</v>
      </c>
      <c r="F1168" t="s">
        <v>2992</v>
      </c>
      <c r="G1168" t="str">
        <f t="shared" si="127"/>
        <v>Female</v>
      </c>
      <c r="H1168" t="s">
        <v>3006</v>
      </c>
      <c r="I1168" t="s">
        <v>3018</v>
      </c>
      <c r="K1168" t="str">
        <f t="shared" si="128"/>
        <v>Business Owner</v>
      </c>
      <c r="L1168">
        <v>11</v>
      </c>
      <c r="M1168">
        <v>1980072</v>
      </c>
      <c r="N1168">
        <f t="shared" si="129"/>
        <v>1980072</v>
      </c>
      <c r="O1168">
        <v>437247</v>
      </c>
      <c r="P1168">
        <v>14.16</v>
      </c>
      <c r="Q1168">
        <v>24</v>
      </c>
      <c r="R1168" t="s">
        <v>3047</v>
      </c>
      <c r="S1168" t="str">
        <f t="shared" si="130"/>
        <v>Personal</v>
      </c>
      <c r="T1168">
        <v>761</v>
      </c>
      <c r="U1168">
        <f t="shared" si="131"/>
        <v>761</v>
      </c>
      <c r="V1168">
        <v>4</v>
      </c>
      <c r="W1168" t="s">
        <v>3053</v>
      </c>
      <c r="X1168" s="3" t="s">
        <v>3418</v>
      </c>
      <c r="Y1168" s="3">
        <f t="shared" si="132"/>
        <v>43906</v>
      </c>
      <c r="Z1168">
        <v>0.2208</v>
      </c>
    </row>
    <row r="1169" spans="1:26" x14ac:dyDescent="0.35">
      <c r="A1169" t="s">
        <v>1175</v>
      </c>
      <c r="B1169" t="str">
        <f t="shared" si="126"/>
        <v>OK</v>
      </c>
      <c r="C1169" t="s">
        <v>2661</v>
      </c>
      <c r="D1169" s="2">
        <v>61</v>
      </c>
      <c r="E1169">
        <f>IF(OR(D1169&lt;18, D1169&gt;100),AD1168,D1169)</f>
        <v>61</v>
      </c>
      <c r="F1169" t="s">
        <v>2991</v>
      </c>
      <c r="G1169" t="str">
        <f t="shared" si="127"/>
        <v>Female</v>
      </c>
      <c r="H1169" t="s">
        <v>3006</v>
      </c>
      <c r="I1169" t="s">
        <v>3018</v>
      </c>
      <c r="K1169" t="str">
        <f t="shared" si="128"/>
        <v>Business Owner</v>
      </c>
      <c r="L1169">
        <v>13</v>
      </c>
      <c r="M1169">
        <v>1030350</v>
      </c>
      <c r="N1169">
        <f t="shared" si="129"/>
        <v>1030350</v>
      </c>
      <c r="O1169">
        <v>739778</v>
      </c>
      <c r="P1169">
        <v>22.98</v>
      </c>
      <c r="Q1169">
        <v>36</v>
      </c>
      <c r="R1169" t="s">
        <v>3047</v>
      </c>
      <c r="S1169" t="str">
        <f t="shared" si="130"/>
        <v>Personal</v>
      </c>
      <c r="T1169">
        <v>336</v>
      </c>
      <c r="U1169">
        <f t="shared" si="131"/>
        <v>336</v>
      </c>
      <c r="V1169">
        <v>5</v>
      </c>
      <c r="W1169" t="s">
        <v>3054</v>
      </c>
      <c r="X1169" s="3" t="s">
        <v>3922</v>
      </c>
      <c r="Y1169" s="3">
        <f t="shared" si="132"/>
        <v>44084</v>
      </c>
      <c r="Z1169">
        <v>0.71799999999999997</v>
      </c>
    </row>
    <row r="1170" spans="1:26" x14ac:dyDescent="0.35">
      <c r="A1170" t="s">
        <v>1088</v>
      </c>
      <c r="B1170" t="str">
        <f t="shared" si="126"/>
        <v>OK</v>
      </c>
      <c r="C1170" t="s">
        <v>2575</v>
      </c>
      <c r="D1170" s="2">
        <v>50</v>
      </c>
      <c r="E1170">
        <f>IF(OR(D1170&lt;18, D1170&gt;100),AD1169,D1170)</f>
        <v>50</v>
      </c>
      <c r="F1170" t="s">
        <v>2992</v>
      </c>
      <c r="G1170" t="str">
        <f t="shared" si="127"/>
        <v>Female</v>
      </c>
      <c r="H1170" t="s">
        <v>2999</v>
      </c>
      <c r="I1170" t="s">
        <v>3019</v>
      </c>
      <c r="K1170" t="str">
        <f t="shared" si="128"/>
        <v>Employed</v>
      </c>
      <c r="L1170">
        <v>11</v>
      </c>
      <c r="M1170">
        <v>1282127</v>
      </c>
      <c r="N1170">
        <f t="shared" si="129"/>
        <v>1282127</v>
      </c>
      <c r="O1170">
        <v>418172</v>
      </c>
      <c r="P1170">
        <v>16.84</v>
      </c>
      <c r="Q1170">
        <v>48</v>
      </c>
      <c r="R1170" t="s">
        <v>3051</v>
      </c>
      <c r="S1170" t="str">
        <f t="shared" si="130"/>
        <v>Education</v>
      </c>
      <c r="T1170">
        <v>437</v>
      </c>
      <c r="U1170">
        <f t="shared" si="131"/>
        <v>437</v>
      </c>
      <c r="V1170">
        <v>7</v>
      </c>
      <c r="W1170" t="s">
        <v>3057</v>
      </c>
      <c r="X1170" s="3" t="s">
        <v>3666</v>
      </c>
      <c r="Y1170" s="3">
        <f t="shared" si="132"/>
        <v>44067</v>
      </c>
      <c r="Z1170">
        <v>0.32619999999999999</v>
      </c>
    </row>
    <row r="1171" spans="1:26" x14ac:dyDescent="0.35">
      <c r="A1171" t="s">
        <v>1176</v>
      </c>
      <c r="B1171" t="str">
        <f t="shared" si="126"/>
        <v>OK</v>
      </c>
      <c r="C1171" t="s">
        <v>2662</v>
      </c>
      <c r="D1171" s="2">
        <v>53</v>
      </c>
      <c r="E1171">
        <f>IF(OR(D1171&lt;18, D1171&gt;100),AD1170,D1171)</f>
        <v>53</v>
      </c>
      <c r="F1171" t="s">
        <v>2992</v>
      </c>
      <c r="G1171" t="str">
        <f t="shared" si="127"/>
        <v>Female</v>
      </c>
      <c r="H1171" t="s">
        <v>2999</v>
      </c>
      <c r="I1171" t="s">
        <v>3021</v>
      </c>
      <c r="K1171" t="str">
        <f t="shared" si="128"/>
        <v>Unemployed</v>
      </c>
      <c r="L1171">
        <v>18</v>
      </c>
      <c r="M1171">
        <v>1189612</v>
      </c>
      <c r="N1171">
        <f t="shared" si="129"/>
        <v>1189612</v>
      </c>
      <c r="O1171">
        <v>772462</v>
      </c>
      <c r="P1171">
        <v>12.41</v>
      </c>
      <c r="Q1171">
        <v>48</v>
      </c>
      <c r="R1171" t="s">
        <v>3046</v>
      </c>
      <c r="S1171" t="str">
        <f t="shared" si="130"/>
        <v>Medical</v>
      </c>
      <c r="T1171">
        <v>736</v>
      </c>
      <c r="U1171">
        <f t="shared" si="131"/>
        <v>736</v>
      </c>
      <c r="V1171">
        <v>2</v>
      </c>
      <c r="W1171" t="s">
        <v>3055</v>
      </c>
      <c r="X1171" s="3" t="s">
        <v>3923</v>
      </c>
      <c r="Y1171" s="3">
        <f t="shared" si="132"/>
        <v>45267</v>
      </c>
      <c r="Z1171">
        <v>0.64929999999999999</v>
      </c>
    </row>
    <row r="1172" spans="1:26" x14ac:dyDescent="0.35">
      <c r="A1172" t="s">
        <v>1177</v>
      </c>
      <c r="B1172" t="str">
        <f t="shared" si="126"/>
        <v>OK</v>
      </c>
      <c r="C1172" t="s">
        <v>2663</v>
      </c>
      <c r="D1172" s="2">
        <v>35</v>
      </c>
      <c r="E1172">
        <f>IF(OR(D1172&lt;18, D1172&gt;100),AD1171,D1172)</f>
        <v>35</v>
      </c>
      <c r="F1172" t="s">
        <v>2992</v>
      </c>
      <c r="G1172" t="str">
        <f t="shared" si="127"/>
        <v>Female</v>
      </c>
      <c r="H1172" t="s">
        <v>3004</v>
      </c>
      <c r="I1172" t="s">
        <v>3019</v>
      </c>
      <c r="K1172" t="str">
        <f t="shared" si="128"/>
        <v>Employed</v>
      </c>
      <c r="L1172">
        <v>21</v>
      </c>
      <c r="M1172">
        <v>1140612</v>
      </c>
      <c r="N1172">
        <f t="shared" si="129"/>
        <v>1140612</v>
      </c>
      <c r="O1172">
        <v>409959</v>
      </c>
      <c r="P1172">
        <v>22.03</v>
      </c>
      <c r="Q1172">
        <v>48</v>
      </c>
      <c r="R1172" t="s">
        <v>3050</v>
      </c>
      <c r="S1172" t="str">
        <f t="shared" si="130"/>
        <v>Agriculture</v>
      </c>
      <c r="T1172">
        <v>715</v>
      </c>
      <c r="U1172">
        <f t="shared" si="131"/>
        <v>715</v>
      </c>
      <c r="V1172">
        <v>3</v>
      </c>
      <c r="W1172" t="s">
        <v>3054</v>
      </c>
      <c r="X1172" s="3" t="s">
        <v>3924</v>
      </c>
      <c r="Y1172" s="3">
        <f t="shared" si="132"/>
        <v>44953</v>
      </c>
      <c r="Z1172">
        <v>0.3594</v>
      </c>
    </row>
    <row r="1173" spans="1:26" x14ac:dyDescent="0.35">
      <c r="A1173" t="s">
        <v>1178</v>
      </c>
      <c r="B1173" t="str">
        <f t="shared" si="126"/>
        <v>OK</v>
      </c>
      <c r="C1173" t="s">
        <v>2664</v>
      </c>
      <c r="D1173" s="2">
        <v>32</v>
      </c>
      <c r="E1173">
        <f>IF(OR(D1173&lt;18, D1173&gt;100),AD1172,D1173)</f>
        <v>32</v>
      </c>
      <c r="F1173" t="s">
        <v>2992</v>
      </c>
      <c r="G1173" t="str">
        <f t="shared" si="127"/>
        <v>Female</v>
      </c>
      <c r="H1173" t="s">
        <v>3005</v>
      </c>
      <c r="I1173" t="s">
        <v>3018</v>
      </c>
      <c r="K1173" t="str">
        <f t="shared" si="128"/>
        <v>Business Owner</v>
      </c>
      <c r="L1173">
        <v>3</v>
      </c>
      <c r="M1173">
        <v>1046964</v>
      </c>
      <c r="N1173">
        <f t="shared" si="129"/>
        <v>1046964</v>
      </c>
      <c r="O1173">
        <v>165342</v>
      </c>
      <c r="P1173">
        <v>27.58</v>
      </c>
      <c r="Q1173">
        <v>48</v>
      </c>
      <c r="R1173" t="s">
        <v>3051</v>
      </c>
      <c r="S1173" t="str">
        <f t="shared" si="130"/>
        <v>Education</v>
      </c>
      <c r="T1173">
        <v>466</v>
      </c>
      <c r="U1173">
        <f t="shared" si="131"/>
        <v>466</v>
      </c>
      <c r="V1173">
        <v>3</v>
      </c>
      <c r="W1173" t="s">
        <v>3052</v>
      </c>
      <c r="X1173" s="3" t="s">
        <v>3169</v>
      </c>
      <c r="Y1173" s="3">
        <f t="shared" si="132"/>
        <v>44157</v>
      </c>
      <c r="Z1173">
        <v>0.15790000000000001</v>
      </c>
    </row>
    <row r="1174" spans="1:26" x14ac:dyDescent="0.35">
      <c r="A1174" t="s">
        <v>1179</v>
      </c>
      <c r="B1174" t="str">
        <f t="shared" si="126"/>
        <v>OK</v>
      </c>
      <c r="C1174" t="s">
        <v>2665</v>
      </c>
      <c r="D1174" s="2">
        <v>59</v>
      </c>
      <c r="E1174">
        <f>IF(OR(D1174&lt;18, D1174&gt;100),AD1173,D1174)</f>
        <v>59</v>
      </c>
      <c r="F1174" t="s">
        <v>2990</v>
      </c>
      <c r="G1174" t="str">
        <f t="shared" si="127"/>
        <v>Male</v>
      </c>
      <c r="H1174" t="s">
        <v>3002</v>
      </c>
      <c r="I1174" t="s">
        <v>3018</v>
      </c>
      <c r="K1174" t="str">
        <f t="shared" si="128"/>
        <v>Business Owner</v>
      </c>
      <c r="L1174">
        <v>7</v>
      </c>
      <c r="M1174">
        <v>2315219</v>
      </c>
      <c r="N1174">
        <f t="shared" si="129"/>
        <v>2315219</v>
      </c>
      <c r="O1174">
        <v>105774</v>
      </c>
      <c r="P1174">
        <v>13.09</v>
      </c>
      <c r="Q1174">
        <v>48</v>
      </c>
      <c r="R1174" t="s">
        <v>3050</v>
      </c>
      <c r="S1174" t="str">
        <f t="shared" si="130"/>
        <v>Agriculture</v>
      </c>
      <c r="T1174">
        <v>795</v>
      </c>
      <c r="U1174">
        <f t="shared" si="131"/>
        <v>795</v>
      </c>
      <c r="V1174">
        <v>2</v>
      </c>
      <c r="W1174" t="s">
        <v>3056</v>
      </c>
      <c r="X1174" s="3" t="s">
        <v>3924</v>
      </c>
      <c r="Y1174" s="3">
        <f t="shared" si="132"/>
        <v>44953</v>
      </c>
      <c r="Z1174">
        <v>4.5699999999999998E-2</v>
      </c>
    </row>
    <row r="1175" spans="1:26" x14ac:dyDescent="0.35">
      <c r="A1175" t="s">
        <v>1180</v>
      </c>
      <c r="B1175" t="str">
        <f t="shared" si="126"/>
        <v>OK</v>
      </c>
      <c r="C1175" t="s">
        <v>2666</v>
      </c>
      <c r="D1175" s="2">
        <v>40</v>
      </c>
      <c r="E1175">
        <f>IF(OR(D1175&lt;18, D1175&gt;100),AD1174,D1175)</f>
        <v>40</v>
      </c>
      <c r="F1175" t="s">
        <v>2990</v>
      </c>
      <c r="G1175" t="str">
        <f t="shared" si="127"/>
        <v>Male</v>
      </c>
      <c r="H1175" t="s">
        <v>2998</v>
      </c>
      <c r="I1175" t="s">
        <v>3021</v>
      </c>
      <c r="K1175" t="str">
        <f t="shared" si="128"/>
        <v>Unemployed</v>
      </c>
      <c r="L1175">
        <v>12</v>
      </c>
      <c r="M1175">
        <v>1411534</v>
      </c>
      <c r="N1175">
        <f t="shared" si="129"/>
        <v>1411534</v>
      </c>
      <c r="O1175">
        <v>215877</v>
      </c>
      <c r="P1175">
        <v>23.05</v>
      </c>
      <c r="Q1175">
        <v>60</v>
      </c>
      <c r="R1175" t="s">
        <v>3046</v>
      </c>
      <c r="S1175" t="str">
        <f t="shared" si="130"/>
        <v>Medical</v>
      </c>
      <c r="T1175">
        <v>309</v>
      </c>
      <c r="U1175">
        <f t="shared" si="131"/>
        <v>309</v>
      </c>
      <c r="V1175">
        <v>5</v>
      </c>
      <c r="W1175" t="s">
        <v>3057</v>
      </c>
      <c r="X1175" s="3" t="s">
        <v>3925</v>
      </c>
      <c r="Y1175" s="3">
        <f t="shared" si="132"/>
        <v>44171</v>
      </c>
      <c r="Z1175">
        <v>0.15290000000000001</v>
      </c>
    </row>
    <row r="1176" spans="1:26" x14ac:dyDescent="0.35">
      <c r="A1176" t="s">
        <v>1181</v>
      </c>
      <c r="B1176" t="str">
        <f t="shared" si="126"/>
        <v>OK</v>
      </c>
      <c r="C1176" t="s">
        <v>2667</v>
      </c>
      <c r="D1176" s="2">
        <v>63</v>
      </c>
      <c r="E1176">
        <f>IF(OR(D1176&lt;18, D1176&gt;100),AD1175,D1176)</f>
        <v>63</v>
      </c>
      <c r="F1176" t="s">
        <v>2992</v>
      </c>
      <c r="G1176" t="str">
        <f t="shared" si="127"/>
        <v>Female</v>
      </c>
      <c r="H1176" t="s">
        <v>3001</v>
      </c>
      <c r="I1176" t="s">
        <v>3018</v>
      </c>
      <c r="K1176" t="str">
        <f t="shared" si="128"/>
        <v>Business Owner</v>
      </c>
      <c r="L1176">
        <v>20</v>
      </c>
      <c r="N1176">
        <f t="shared" si="129"/>
        <v>1333224</v>
      </c>
      <c r="O1176">
        <v>666047</v>
      </c>
      <c r="P1176">
        <v>11.69</v>
      </c>
      <c r="Q1176">
        <v>36</v>
      </c>
      <c r="R1176" t="s">
        <v>3050</v>
      </c>
      <c r="S1176" t="str">
        <f t="shared" si="130"/>
        <v>Agriculture</v>
      </c>
      <c r="T1176">
        <v>382</v>
      </c>
      <c r="U1176">
        <f t="shared" si="131"/>
        <v>382</v>
      </c>
      <c r="V1176">
        <v>1</v>
      </c>
      <c r="W1176" t="s">
        <v>3058</v>
      </c>
      <c r="X1176" s="3" t="s">
        <v>3926</v>
      </c>
      <c r="Y1176" s="3">
        <f t="shared" si="132"/>
        <v>44237</v>
      </c>
      <c r="Z1176">
        <v>0.27779999999999999</v>
      </c>
    </row>
    <row r="1177" spans="1:26" x14ac:dyDescent="0.35">
      <c r="A1177" t="s">
        <v>1182</v>
      </c>
      <c r="B1177" t="str">
        <f t="shared" si="126"/>
        <v>OK</v>
      </c>
      <c r="C1177" t="s">
        <v>2668</v>
      </c>
      <c r="D1177" s="2">
        <v>54</v>
      </c>
      <c r="E1177">
        <f>IF(OR(D1177&lt;18, D1177&gt;100),AD1176,D1177)</f>
        <v>54</v>
      </c>
      <c r="F1177" t="s">
        <v>2990</v>
      </c>
      <c r="G1177" t="str">
        <f t="shared" si="127"/>
        <v>Male</v>
      </c>
      <c r="H1177" t="s">
        <v>3003</v>
      </c>
      <c r="I1177" t="s">
        <v>3020</v>
      </c>
      <c r="K1177" t="str">
        <f t="shared" si="128"/>
        <v>Self-Employed</v>
      </c>
      <c r="L1177">
        <v>10</v>
      </c>
      <c r="M1177">
        <v>1110370</v>
      </c>
      <c r="N1177">
        <f t="shared" si="129"/>
        <v>1110370</v>
      </c>
      <c r="O1177">
        <v>617904</v>
      </c>
      <c r="P1177">
        <v>21.17</v>
      </c>
      <c r="Q1177">
        <v>36</v>
      </c>
      <c r="R1177" t="s">
        <v>3049</v>
      </c>
      <c r="S1177" t="str">
        <f t="shared" si="130"/>
        <v>Business</v>
      </c>
      <c r="T1177">
        <v>770</v>
      </c>
      <c r="U1177">
        <f t="shared" si="131"/>
        <v>770</v>
      </c>
      <c r="V1177">
        <v>2</v>
      </c>
      <c r="W1177" t="s">
        <v>3053</v>
      </c>
      <c r="X1177" s="3" t="s">
        <v>3927</v>
      </c>
      <c r="Y1177" s="3">
        <f t="shared" si="132"/>
        <v>44097</v>
      </c>
      <c r="Z1177">
        <v>0.55649999999999999</v>
      </c>
    </row>
    <row r="1178" spans="1:26" x14ac:dyDescent="0.35">
      <c r="A1178" t="s">
        <v>1183</v>
      </c>
      <c r="B1178" t="str">
        <f t="shared" si="126"/>
        <v>OK</v>
      </c>
      <c r="C1178" t="s">
        <v>2669</v>
      </c>
      <c r="D1178" s="2">
        <v>34</v>
      </c>
      <c r="E1178">
        <f>IF(OR(D1178&lt;18, D1178&gt;100),AD1177,D1178)</f>
        <v>34</v>
      </c>
      <c r="F1178" t="s">
        <v>2992</v>
      </c>
      <c r="G1178" t="str">
        <f t="shared" si="127"/>
        <v>Female</v>
      </c>
      <c r="H1178" t="s">
        <v>2998</v>
      </c>
      <c r="I1178" t="s">
        <v>3018</v>
      </c>
      <c r="K1178" t="str">
        <f t="shared" si="128"/>
        <v>Business Owner</v>
      </c>
      <c r="L1178">
        <v>4</v>
      </c>
      <c r="M1178">
        <v>935111</v>
      </c>
      <c r="N1178">
        <f t="shared" si="129"/>
        <v>935111</v>
      </c>
      <c r="O1178">
        <v>256094</v>
      </c>
      <c r="P1178">
        <v>15.54</v>
      </c>
      <c r="Q1178">
        <v>12</v>
      </c>
      <c r="R1178" t="s">
        <v>3051</v>
      </c>
      <c r="S1178" t="str">
        <f t="shared" si="130"/>
        <v>Education</v>
      </c>
      <c r="T1178">
        <v>346</v>
      </c>
      <c r="U1178">
        <f t="shared" si="131"/>
        <v>346</v>
      </c>
      <c r="V1178">
        <v>1</v>
      </c>
      <c r="W1178" t="s">
        <v>3056</v>
      </c>
      <c r="X1178" s="3" t="s">
        <v>3410</v>
      </c>
      <c r="Y1178" s="3">
        <f t="shared" si="132"/>
        <v>44908</v>
      </c>
      <c r="Z1178">
        <v>0.27389999999999998</v>
      </c>
    </row>
    <row r="1179" spans="1:26" x14ac:dyDescent="0.35">
      <c r="A1179" t="s">
        <v>1184</v>
      </c>
      <c r="B1179" t="str">
        <f t="shared" si="126"/>
        <v>OK</v>
      </c>
      <c r="C1179" t="s">
        <v>2670</v>
      </c>
      <c r="D1179" s="2">
        <v>22</v>
      </c>
      <c r="E1179">
        <f>IF(OR(D1179&lt;18, D1179&gt;100),AD1178,D1179)</f>
        <v>22</v>
      </c>
      <c r="F1179" t="s">
        <v>2990</v>
      </c>
      <c r="G1179" t="str">
        <f t="shared" si="127"/>
        <v>Male</v>
      </c>
      <c r="H1179" t="s">
        <v>3002</v>
      </c>
      <c r="I1179" t="s">
        <v>3019</v>
      </c>
      <c r="K1179" t="str">
        <f t="shared" si="128"/>
        <v>Employed</v>
      </c>
      <c r="L1179">
        <v>10</v>
      </c>
      <c r="M1179">
        <v>260257</v>
      </c>
      <c r="N1179">
        <f t="shared" si="129"/>
        <v>260257</v>
      </c>
      <c r="O1179">
        <v>595228</v>
      </c>
      <c r="P1179">
        <v>25.17</v>
      </c>
      <c r="Q1179">
        <v>24</v>
      </c>
      <c r="R1179" t="s">
        <v>3050</v>
      </c>
      <c r="S1179" t="str">
        <f t="shared" si="130"/>
        <v>Agriculture</v>
      </c>
      <c r="T1179">
        <v>803</v>
      </c>
      <c r="U1179">
        <f t="shared" si="131"/>
        <v>803</v>
      </c>
      <c r="V1179">
        <v>2</v>
      </c>
      <c r="W1179" t="s">
        <v>3054</v>
      </c>
      <c r="X1179" s="3" t="s">
        <v>3928</v>
      </c>
      <c r="Y1179" s="3">
        <f t="shared" si="132"/>
        <v>44855</v>
      </c>
      <c r="Z1179">
        <v>2.2871000000000001</v>
      </c>
    </row>
    <row r="1180" spans="1:26" x14ac:dyDescent="0.35">
      <c r="A1180" t="s">
        <v>1185</v>
      </c>
      <c r="B1180" t="str">
        <f t="shared" si="126"/>
        <v>OK</v>
      </c>
      <c r="C1180" t="s">
        <v>2671</v>
      </c>
      <c r="D1180" s="2">
        <v>55</v>
      </c>
      <c r="E1180">
        <f>IF(OR(D1180&lt;18, D1180&gt;100),AD1179,D1180)</f>
        <v>55</v>
      </c>
      <c r="F1180" t="s">
        <v>2992</v>
      </c>
      <c r="G1180" t="str">
        <f t="shared" si="127"/>
        <v>Female</v>
      </c>
      <c r="H1180" t="s">
        <v>3005</v>
      </c>
      <c r="I1180" t="s">
        <v>3021</v>
      </c>
      <c r="K1180" t="str">
        <f t="shared" si="128"/>
        <v>Unemployed</v>
      </c>
      <c r="L1180">
        <v>15</v>
      </c>
      <c r="M1180">
        <v>1983847</v>
      </c>
      <c r="N1180">
        <f t="shared" si="129"/>
        <v>1983847</v>
      </c>
      <c r="O1180">
        <v>131715</v>
      </c>
      <c r="P1180">
        <v>9.58</v>
      </c>
      <c r="Q1180">
        <v>24</v>
      </c>
      <c r="R1180" t="s">
        <v>3051</v>
      </c>
      <c r="S1180" t="str">
        <f t="shared" si="130"/>
        <v>Education</v>
      </c>
      <c r="T1180">
        <v>670</v>
      </c>
      <c r="U1180">
        <f t="shared" si="131"/>
        <v>670</v>
      </c>
      <c r="V1180">
        <v>0</v>
      </c>
      <c r="W1180" t="s">
        <v>3056</v>
      </c>
      <c r="X1180" s="3" t="s">
        <v>3397</v>
      </c>
      <c r="Y1180" s="3">
        <f t="shared" si="132"/>
        <v>44980</v>
      </c>
      <c r="Z1180">
        <v>6.6400000000000001E-2</v>
      </c>
    </row>
    <row r="1181" spans="1:26" x14ac:dyDescent="0.35">
      <c r="A1181" t="s">
        <v>1186</v>
      </c>
      <c r="B1181" t="str">
        <f t="shared" si="126"/>
        <v>OK</v>
      </c>
      <c r="C1181" t="s">
        <v>2672</v>
      </c>
      <c r="D1181" s="2">
        <v>28</v>
      </c>
      <c r="E1181">
        <f>IF(OR(D1181&lt;18, D1181&gt;100),AD1180,D1181)</f>
        <v>28</v>
      </c>
      <c r="F1181" t="s">
        <v>2992</v>
      </c>
      <c r="G1181" t="str">
        <f t="shared" si="127"/>
        <v>Female</v>
      </c>
      <c r="H1181" t="s">
        <v>3004</v>
      </c>
      <c r="I1181" t="s">
        <v>3019</v>
      </c>
      <c r="K1181" t="str">
        <f t="shared" si="128"/>
        <v>Employed</v>
      </c>
      <c r="L1181">
        <v>4</v>
      </c>
      <c r="N1181">
        <f t="shared" si="129"/>
        <v>1333224</v>
      </c>
      <c r="O1181">
        <v>678966</v>
      </c>
      <c r="P1181">
        <v>13.76</v>
      </c>
      <c r="Q1181">
        <v>12</v>
      </c>
      <c r="R1181" t="s">
        <v>3049</v>
      </c>
      <c r="S1181" t="str">
        <f t="shared" si="130"/>
        <v>Business</v>
      </c>
      <c r="T1181">
        <v>762</v>
      </c>
      <c r="U1181">
        <f t="shared" si="131"/>
        <v>762</v>
      </c>
      <c r="V1181">
        <v>1</v>
      </c>
      <c r="W1181" t="s">
        <v>3056</v>
      </c>
      <c r="X1181" s="3" t="s">
        <v>3403</v>
      </c>
      <c r="Y1181" s="3">
        <f t="shared" si="132"/>
        <v>43859</v>
      </c>
      <c r="Z1181">
        <v>0.62629999999999997</v>
      </c>
    </row>
    <row r="1182" spans="1:26" x14ac:dyDescent="0.35">
      <c r="A1182" t="s">
        <v>1187</v>
      </c>
      <c r="B1182" t="str">
        <f t="shared" si="126"/>
        <v>OK</v>
      </c>
      <c r="C1182" t="s">
        <v>2673</v>
      </c>
      <c r="D1182" s="2">
        <v>29</v>
      </c>
      <c r="E1182">
        <f>IF(OR(D1182&lt;18, D1182&gt;100),AD1181,D1182)</f>
        <v>29</v>
      </c>
      <c r="F1182" t="s">
        <v>2990</v>
      </c>
      <c r="G1182" t="str">
        <f t="shared" si="127"/>
        <v>Male</v>
      </c>
      <c r="H1182" t="s">
        <v>2999</v>
      </c>
      <c r="I1182" t="s">
        <v>3021</v>
      </c>
      <c r="K1182" t="str">
        <f t="shared" si="128"/>
        <v>Unemployed</v>
      </c>
      <c r="L1182">
        <v>14</v>
      </c>
      <c r="M1182">
        <v>1527098</v>
      </c>
      <c r="N1182">
        <f t="shared" si="129"/>
        <v>1527098</v>
      </c>
      <c r="O1182">
        <v>113526</v>
      </c>
      <c r="P1182">
        <v>9.01</v>
      </c>
      <c r="Q1182">
        <v>60</v>
      </c>
      <c r="R1182" t="s">
        <v>3046</v>
      </c>
      <c r="S1182" t="str">
        <f t="shared" si="130"/>
        <v>Medical</v>
      </c>
      <c r="T1182">
        <v>535</v>
      </c>
      <c r="U1182">
        <f t="shared" si="131"/>
        <v>535</v>
      </c>
      <c r="V1182">
        <v>3</v>
      </c>
      <c r="W1182" t="s">
        <v>3057</v>
      </c>
      <c r="X1182" s="3" t="s">
        <v>3257</v>
      </c>
      <c r="Y1182" s="3">
        <f t="shared" si="132"/>
        <v>44724</v>
      </c>
      <c r="Z1182">
        <v>7.4300000000000005E-2</v>
      </c>
    </row>
    <row r="1183" spans="1:26" x14ac:dyDescent="0.35">
      <c r="A1183" t="s">
        <v>1188</v>
      </c>
      <c r="B1183" t="str">
        <f t="shared" si="126"/>
        <v>OK</v>
      </c>
      <c r="C1183" t="s">
        <v>2674</v>
      </c>
      <c r="D1183" s="2">
        <v>57</v>
      </c>
      <c r="E1183">
        <f>IF(OR(D1183&lt;18, D1183&gt;100),AD1182,D1183)</f>
        <v>57</v>
      </c>
      <c r="F1183" t="s">
        <v>2992</v>
      </c>
      <c r="G1183" t="str">
        <f t="shared" si="127"/>
        <v>Female</v>
      </c>
      <c r="H1183" t="s">
        <v>3004</v>
      </c>
      <c r="I1183" t="s">
        <v>3020</v>
      </c>
      <c r="K1183" t="str">
        <f t="shared" si="128"/>
        <v>Self-Employed</v>
      </c>
      <c r="L1183">
        <v>10</v>
      </c>
      <c r="M1183">
        <v>2065077</v>
      </c>
      <c r="N1183">
        <f t="shared" si="129"/>
        <v>2065077</v>
      </c>
      <c r="O1183">
        <v>536835</v>
      </c>
      <c r="P1183">
        <v>24.42</v>
      </c>
      <c r="Q1183">
        <v>48</v>
      </c>
      <c r="R1183" t="s">
        <v>3046</v>
      </c>
      <c r="S1183" t="str">
        <f t="shared" si="130"/>
        <v>Medical</v>
      </c>
      <c r="T1183">
        <v>800</v>
      </c>
      <c r="U1183">
        <f t="shared" si="131"/>
        <v>800</v>
      </c>
      <c r="V1183">
        <v>1</v>
      </c>
      <c r="W1183" t="s">
        <v>3055</v>
      </c>
      <c r="X1183" s="3" t="s">
        <v>3929</v>
      </c>
      <c r="Y1183" s="3">
        <f t="shared" si="132"/>
        <v>43832</v>
      </c>
      <c r="Z1183">
        <v>0.26</v>
      </c>
    </row>
    <row r="1184" spans="1:26" x14ac:dyDescent="0.35">
      <c r="A1184" t="s">
        <v>1189</v>
      </c>
      <c r="B1184" t="str">
        <f t="shared" si="126"/>
        <v>OK</v>
      </c>
      <c r="C1184" t="s">
        <v>2675</v>
      </c>
      <c r="D1184" s="2">
        <v>35</v>
      </c>
      <c r="E1184">
        <f>IF(OR(D1184&lt;18, D1184&gt;100),AD1183,D1184)</f>
        <v>35</v>
      </c>
      <c r="F1184" t="s">
        <v>2990</v>
      </c>
      <c r="G1184" t="str">
        <f t="shared" si="127"/>
        <v>Male</v>
      </c>
      <c r="H1184" t="s">
        <v>2999</v>
      </c>
      <c r="I1184" t="s">
        <v>3020</v>
      </c>
      <c r="K1184" t="str">
        <f t="shared" si="128"/>
        <v>Self-Employed</v>
      </c>
      <c r="L1184">
        <v>22</v>
      </c>
      <c r="M1184">
        <v>1333224</v>
      </c>
      <c r="N1184">
        <f t="shared" si="129"/>
        <v>1333224</v>
      </c>
      <c r="O1184">
        <v>403071</v>
      </c>
      <c r="P1184">
        <v>15.38</v>
      </c>
      <c r="Q1184">
        <v>36</v>
      </c>
      <c r="R1184" t="s">
        <v>3050</v>
      </c>
      <c r="S1184" t="str">
        <f t="shared" si="130"/>
        <v>Agriculture</v>
      </c>
      <c r="T1184">
        <v>301</v>
      </c>
      <c r="U1184">
        <f t="shared" si="131"/>
        <v>301</v>
      </c>
      <c r="V1184">
        <v>5</v>
      </c>
      <c r="W1184" t="s">
        <v>3055</v>
      </c>
      <c r="X1184" s="3" t="s">
        <v>3378</v>
      </c>
      <c r="Y1184" s="3">
        <f t="shared" si="132"/>
        <v>44736</v>
      </c>
      <c r="Z1184">
        <v>0.30230000000000001</v>
      </c>
    </row>
    <row r="1185" spans="1:26" x14ac:dyDescent="0.35">
      <c r="A1185" t="s">
        <v>1190</v>
      </c>
      <c r="B1185" t="str">
        <f t="shared" si="126"/>
        <v>OK</v>
      </c>
      <c r="C1185" t="s">
        <v>2676</v>
      </c>
      <c r="D1185" s="2">
        <v>28</v>
      </c>
      <c r="E1185">
        <f>IF(OR(D1185&lt;18, D1185&gt;100),AD1184,D1185)</f>
        <v>28</v>
      </c>
      <c r="F1185" t="s">
        <v>2990</v>
      </c>
      <c r="G1185" t="str">
        <f t="shared" si="127"/>
        <v>Male</v>
      </c>
      <c r="H1185" t="s">
        <v>2998</v>
      </c>
      <c r="I1185" t="s">
        <v>3019</v>
      </c>
      <c r="K1185" t="str">
        <f t="shared" si="128"/>
        <v>Employed</v>
      </c>
      <c r="L1185">
        <v>8</v>
      </c>
      <c r="M1185">
        <v>975600</v>
      </c>
      <c r="N1185">
        <f t="shared" si="129"/>
        <v>975600</v>
      </c>
      <c r="O1185">
        <v>394743</v>
      </c>
      <c r="P1185">
        <v>9.36</v>
      </c>
      <c r="Q1185">
        <v>36</v>
      </c>
      <c r="R1185" t="s">
        <v>3047</v>
      </c>
      <c r="S1185" t="str">
        <f t="shared" si="130"/>
        <v>Personal</v>
      </c>
      <c r="T1185">
        <v>716</v>
      </c>
      <c r="U1185">
        <f t="shared" si="131"/>
        <v>716</v>
      </c>
      <c r="V1185">
        <v>6</v>
      </c>
      <c r="W1185" t="s">
        <v>3053</v>
      </c>
      <c r="X1185" s="3" t="s">
        <v>3930</v>
      </c>
      <c r="Y1185" s="3">
        <f t="shared" si="132"/>
        <v>45039</v>
      </c>
      <c r="Z1185">
        <v>0.40460000000000002</v>
      </c>
    </row>
    <row r="1186" spans="1:26" x14ac:dyDescent="0.35">
      <c r="A1186" t="s">
        <v>1191</v>
      </c>
      <c r="B1186" t="str">
        <f t="shared" si="126"/>
        <v>OK</v>
      </c>
      <c r="C1186" t="s">
        <v>2677</v>
      </c>
      <c r="D1186" s="2">
        <v>56</v>
      </c>
      <c r="E1186">
        <f>IF(OR(D1186&lt;18, D1186&gt;100),AD1185,D1186)</f>
        <v>56</v>
      </c>
      <c r="F1186" t="s">
        <v>2990</v>
      </c>
      <c r="G1186" t="str">
        <f t="shared" si="127"/>
        <v>Male</v>
      </c>
      <c r="H1186" t="s">
        <v>2998</v>
      </c>
      <c r="I1186" t="s">
        <v>3020</v>
      </c>
      <c r="K1186" t="str">
        <f t="shared" si="128"/>
        <v>Self-Employed</v>
      </c>
      <c r="L1186">
        <v>14</v>
      </c>
      <c r="M1186">
        <v>726015</v>
      </c>
      <c r="N1186">
        <f t="shared" si="129"/>
        <v>726015</v>
      </c>
      <c r="O1186">
        <v>201561</v>
      </c>
      <c r="P1186">
        <v>21.41</v>
      </c>
      <c r="Q1186">
        <v>48</v>
      </c>
      <c r="R1186" t="s">
        <v>3047</v>
      </c>
      <c r="S1186" t="str">
        <f t="shared" si="130"/>
        <v>Personal</v>
      </c>
      <c r="T1186">
        <v>619</v>
      </c>
      <c r="U1186">
        <f t="shared" si="131"/>
        <v>619</v>
      </c>
      <c r="V1186">
        <v>3</v>
      </c>
      <c r="W1186" t="s">
        <v>3052</v>
      </c>
      <c r="X1186" s="3" t="s">
        <v>3931</v>
      </c>
      <c r="Y1186" s="3">
        <f t="shared" si="132"/>
        <v>45044</v>
      </c>
      <c r="Z1186">
        <v>0.27760000000000001</v>
      </c>
    </row>
    <row r="1187" spans="1:26" x14ac:dyDescent="0.35">
      <c r="A1187" t="s">
        <v>1192</v>
      </c>
      <c r="B1187" t="str">
        <f t="shared" si="126"/>
        <v>OK</v>
      </c>
      <c r="C1187" t="s">
        <v>2678</v>
      </c>
      <c r="D1187" s="2">
        <v>57</v>
      </c>
      <c r="E1187">
        <f>IF(OR(D1187&lt;18, D1187&gt;100),AD1186,D1187)</f>
        <v>57</v>
      </c>
      <c r="F1187" t="s">
        <v>2990</v>
      </c>
      <c r="G1187" t="str">
        <f t="shared" si="127"/>
        <v>Male</v>
      </c>
      <c r="H1187" t="s">
        <v>3007</v>
      </c>
      <c r="I1187" t="s">
        <v>3020</v>
      </c>
      <c r="K1187" t="str">
        <f t="shared" si="128"/>
        <v>Self-Employed</v>
      </c>
      <c r="L1187">
        <v>27</v>
      </c>
      <c r="M1187">
        <v>1763214</v>
      </c>
      <c r="N1187">
        <f t="shared" si="129"/>
        <v>1763214</v>
      </c>
      <c r="O1187">
        <v>578988</v>
      </c>
      <c r="P1187">
        <v>10.38</v>
      </c>
      <c r="Q1187">
        <v>24</v>
      </c>
      <c r="R1187" t="s">
        <v>3049</v>
      </c>
      <c r="S1187" t="str">
        <f t="shared" si="130"/>
        <v>Business</v>
      </c>
      <c r="T1187">
        <v>841</v>
      </c>
      <c r="U1187">
        <f t="shared" si="131"/>
        <v>841</v>
      </c>
      <c r="V1187">
        <v>2</v>
      </c>
      <c r="W1187" t="s">
        <v>3055</v>
      </c>
      <c r="X1187" s="3" t="s">
        <v>3908</v>
      </c>
      <c r="Y1187" s="3">
        <f t="shared" si="132"/>
        <v>44898</v>
      </c>
      <c r="Z1187">
        <v>0.32840000000000003</v>
      </c>
    </row>
    <row r="1188" spans="1:26" x14ac:dyDescent="0.35">
      <c r="A1188" t="s">
        <v>1193</v>
      </c>
      <c r="B1188" t="str">
        <f t="shared" si="126"/>
        <v>OK</v>
      </c>
      <c r="C1188" t="s">
        <v>2679</v>
      </c>
      <c r="D1188" s="2">
        <v>64</v>
      </c>
      <c r="E1188">
        <f>IF(OR(D1188&lt;18, D1188&gt;100),AD1187,D1188)</f>
        <v>64</v>
      </c>
      <c r="F1188" t="s">
        <v>2992</v>
      </c>
      <c r="G1188" t="str">
        <f t="shared" si="127"/>
        <v>Female</v>
      </c>
      <c r="H1188" t="s">
        <v>3000</v>
      </c>
      <c r="I1188" t="s">
        <v>3019</v>
      </c>
      <c r="K1188" t="str">
        <f t="shared" si="128"/>
        <v>Employed</v>
      </c>
      <c r="L1188">
        <v>22</v>
      </c>
      <c r="M1188">
        <v>1076816</v>
      </c>
      <c r="N1188">
        <f t="shared" si="129"/>
        <v>1076816</v>
      </c>
      <c r="O1188">
        <v>364126</v>
      </c>
      <c r="P1188">
        <v>16.05</v>
      </c>
      <c r="Q1188">
        <v>12</v>
      </c>
      <c r="R1188" t="s">
        <v>3047</v>
      </c>
      <c r="S1188" t="str">
        <f t="shared" si="130"/>
        <v>Personal</v>
      </c>
      <c r="T1188">
        <v>683</v>
      </c>
      <c r="U1188">
        <f t="shared" si="131"/>
        <v>683</v>
      </c>
      <c r="V1188">
        <v>4</v>
      </c>
      <c r="W1188" t="s">
        <v>3056</v>
      </c>
      <c r="X1188" s="3" t="s">
        <v>3932</v>
      </c>
      <c r="Y1188" s="3">
        <f t="shared" si="132"/>
        <v>45247</v>
      </c>
      <c r="Z1188">
        <v>0.3382</v>
      </c>
    </row>
    <row r="1189" spans="1:26" x14ac:dyDescent="0.35">
      <c r="A1189" t="s">
        <v>1194</v>
      </c>
      <c r="B1189" t="str">
        <f t="shared" si="126"/>
        <v>OK</v>
      </c>
      <c r="C1189" t="s">
        <v>2601</v>
      </c>
      <c r="D1189" s="2">
        <v>42</v>
      </c>
      <c r="E1189">
        <f>IF(OR(D1189&lt;18, D1189&gt;100),AD1188,D1189)</f>
        <v>42</v>
      </c>
      <c r="F1189" t="s">
        <v>2992</v>
      </c>
      <c r="G1189" t="str">
        <f t="shared" si="127"/>
        <v>Female</v>
      </c>
      <c r="H1189" t="s">
        <v>3001</v>
      </c>
      <c r="I1189" t="s">
        <v>3019</v>
      </c>
      <c r="K1189" t="str">
        <f t="shared" si="128"/>
        <v>Employed</v>
      </c>
      <c r="L1189">
        <v>5</v>
      </c>
      <c r="M1189">
        <v>615071</v>
      </c>
      <c r="N1189">
        <f t="shared" si="129"/>
        <v>615071</v>
      </c>
      <c r="O1189">
        <v>790050</v>
      </c>
      <c r="P1189">
        <v>20.63</v>
      </c>
      <c r="Q1189">
        <v>48</v>
      </c>
      <c r="R1189" t="s">
        <v>3049</v>
      </c>
      <c r="S1189" t="str">
        <f t="shared" si="130"/>
        <v>Business</v>
      </c>
      <c r="T1189">
        <v>730</v>
      </c>
      <c r="U1189">
        <f t="shared" si="131"/>
        <v>730</v>
      </c>
      <c r="V1189">
        <v>4</v>
      </c>
      <c r="W1189" t="s">
        <v>3052</v>
      </c>
      <c r="X1189" s="3" t="s">
        <v>3933</v>
      </c>
      <c r="Y1189" s="3">
        <f t="shared" si="132"/>
        <v>45177</v>
      </c>
      <c r="Z1189">
        <v>1.2845</v>
      </c>
    </row>
    <row r="1190" spans="1:26" x14ac:dyDescent="0.35">
      <c r="A1190" t="s">
        <v>1195</v>
      </c>
      <c r="B1190" t="str">
        <f t="shared" si="126"/>
        <v>OK</v>
      </c>
      <c r="C1190" t="s">
        <v>2680</v>
      </c>
      <c r="D1190" s="2">
        <v>38</v>
      </c>
      <c r="E1190">
        <f>IF(OR(D1190&lt;18, D1190&gt;100),AD1189,D1190)</f>
        <v>38</v>
      </c>
      <c r="F1190" t="s">
        <v>2992</v>
      </c>
      <c r="G1190" t="str">
        <f t="shared" si="127"/>
        <v>Female</v>
      </c>
      <c r="H1190" t="s">
        <v>3004</v>
      </c>
      <c r="I1190" t="s">
        <v>3019</v>
      </c>
      <c r="K1190" t="str">
        <f t="shared" si="128"/>
        <v>Employed</v>
      </c>
      <c r="L1190">
        <v>14</v>
      </c>
      <c r="M1190">
        <v>839738</v>
      </c>
      <c r="N1190">
        <f t="shared" si="129"/>
        <v>839738</v>
      </c>
      <c r="O1190">
        <v>402865</v>
      </c>
      <c r="P1190">
        <v>18.89</v>
      </c>
      <c r="Q1190">
        <v>12</v>
      </c>
      <c r="R1190" t="s">
        <v>3050</v>
      </c>
      <c r="S1190" t="str">
        <f t="shared" si="130"/>
        <v>Agriculture</v>
      </c>
      <c r="T1190">
        <v>366</v>
      </c>
      <c r="U1190">
        <f t="shared" si="131"/>
        <v>366</v>
      </c>
      <c r="V1190">
        <v>4</v>
      </c>
      <c r="W1190" t="s">
        <v>3057</v>
      </c>
      <c r="X1190" s="3" t="s">
        <v>3934</v>
      </c>
      <c r="Y1190" s="3">
        <f t="shared" si="132"/>
        <v>44479</v>
      </c>
      <c r="Z1190">
        <v>0.4798</v>
      </c>
    </row>
    <row r="1191" spans="1:26" x14ac:dyDescent="0.35">
      <c r="A1191" t="s">
        <v>1196</v>
      </c>
      <c r="B1191" t="str">
        <f t="shared" si="126"/>
        <v>OK</v>
      </c>
      <c r="C1191" t="s">
        <v>2681</v>
      </c>
      <c r="D1191" s="2">
        <v>41</v>
      </c>
      <c r="E1191">
        <f>IF(OR(D1191&lt;18, D1191&gt;100),AD1190,D1191)</f>
        <v>41</v>
      </c>
      <c r="F1191" t="s">
        <v>2992</v>
      </c>
      <c r="G1191" t="str">
        <f t="shared" si="127"/>
        <v>Female</v>
      </c>
      <c r="H1191" t="s">
        <v>2999</v>
      </c>
      <c r="I1191" t="s">
        <v>3021</v>
      </c>
      <c r="K1191" t="str">
        <f t="shared" si="128"/>
        <v>Unemployed</v>
      </c>
      <c r="L1191">
        <v>10</v>
      </c>
      <c r="M1191">
        <v>556794</v>
      </c>
      <c r="N1191">
        <f t="shared" si="129"/>
        <v>556794</v>
      </c>
      <c r="O1191">
        <v>491869</v>
      </c>
      <c r="P1191">
        <v>24.97</v>
      </c>
      <c r="Q1191">
        <v>60</v>
      </c>
      <c r="R1191" t="s">
        <v>3050</v>
      </c>
      <c r="S1191" t="str">
        <f t="shared" si="130"/>
        <v>Agriculture</v>
      </c>
      <c r="T1191">
        <v>686</v>
      </c>
      <c r="U1191">
        <f t="shared" si="131"/>
        <v>686</v>
      </c>
      <c r="V1191">
        <v>7</v>
      </c>
      <c r="W1191" t="s">
        <v>3052</v>
      </c>
      <c r="X1191" s="3" t="s">
        <v>3656</v>
      </c>
      <c r="Y1191" s="3">
        <f t="shared" si="132"/>
        <v>43985</v>
      </c>
      <c r="Z1191">
        <v>0.88339999999999996</v>
      </c>
    </row>
    <row r="1192" spans="1:26" x14ac:dyDescent="0.35">
      <c r="A1192" t="s">
        <v>1197</v>
      </c>
      <c r="B1192" t="str">
        <f t="shared" si="126"/>
        <v>OK</v>
      </c>
      <c r="C1192" t="s">
        <v>1654</v>
      </c>
      <c r="D1192" s="2">
        <v>42</v>
      </c>
      <c r="E1192">
        <f>IF(OR(D1192&lt;18, D1192&gt;100),AD1191,D1192)</f>
        <v>42</v>
      </c>
      <c r="F1192" t="s">
        <v>2992</v>
      </c>
      <c r="G1192" t="str">
        <f t="shared" si="127"/>
        <v>Female</v>
      </c>
      <c r="H1192" t="s">
        <v>2999</v>
      </c>
      <c r="I1192" t="s">
        <v>3018</v>
      </c>
      <c r="K1192" t="str">
        <f t="shared" si="128"/>
        <v>Business Owner</v>
      </c>
      <c r="L1192">
        <v>25</v>
      </c>
      <c r="M1192">
        <v>1060112</v>
      </c>
      <c r="N1192">
        <f t="shared" si="129"/>
        <v>1060112</v>
      </c>
      <c r="O1192">
        <v>438458</v>
      </c>
      <c r="P1192">
        <v>19</v>
      </c>
      <c r="Q1192">
        <v>12</v>
      </c>
      <c r="R1192" t="s">
        <v>3050</v>
      </c>
      <c r="S1192" t="str">
        <f t="shared" si="130"/>
        <v>Agriculture</v>
      </c>
      <c r="U1192">
        <f t="shared" si="131"/>
        <v>556</v>
      </c>
      <c r="V1192">
        <v>5</v>
      </c>
      <c r="W1192" t="s">
        <v>3054</v>
      </c>
      <c r="X1192" s="3" t="s">
        <v>3746</v>
      </c>
      <c r="Y1192" s="3">
        <f t="shared" si="132"/>
        <v>44587</v>
      </c>
      <c r="Z1192">
        <v>0.41360000000000002</v>
      </c>
    </row>
    <row r="1193" spans="1:26" x14ac:dyDescent="0.35">
      <c r="A1193" t="s">
        <v>1198</v>
      </c>
      <c r="B1193" t="str">
        <f t="shared" si="126"/>
        <v>OK</v>
      </c>
      <c r="C1193" t="s">
        <v>2682</v>
      </c>
      <c r="D1193" s="2">
        <v>33</v>
      </c>
      <c r="E1193">
        <f>IF(OR(D1193&lt;18, D1193&gt;100),AD1192,D1193)</f>
        <v>33</v>
      </c>
      <c r="F1193" t="s">
        <v>2992</v>
      </c>
      <c r="G1193" t="str">
        <f t="shared" si="127"/>
        <v>Female</v>
      </c>
      <c r="H1193" t="s">
        <v>3000</v>
      </c>
      <c r="I1193" t="s">
        <v>3020</v>
      </c>
      <c r="K1193" t="str">
        <f t="shared" si="128"/>
        <v>Self-Employed</v>
      </c>
      <c r="L1193">
        <v>5</v>
      </c>
      <c r="M1193">
        <v>1437100</v>
      </c>
      <c r="N1193">
        <f t="shared" si="129"/>
        <v>1437100</v>
      </c>
      <c r="O1193">
        <v>179034</v>
      </c>
      <c r="P1193">
        <v>11.92</v>
      </c>
      <c r="Q1193">
        <v>36</v>
      </c>
      <c r="R1193" t="s">
        <v>3050</v>
      </c>
      <c r="S1193" t="str">
        <f t="shared" si="130"/>
        <v>Agriculture</v>
      </c>
      <c r="T1193">
        <v>453</v>
      </c>
      <c r="U1193">
        <f t="shared" si="131"/>
        <v>453</v>
      </c>
      <c r="V1193">
        <v>3</v>
      </c>
      <c r="W1193" t="s">
        <v>3063</v>
      </c>
      <c r="X1193" s="3" t="s">
        <v>3668</v>
      </c>
      <c r="Y1193" s="3">
        <f t="shared" si="132"/>
        <v>44649</v>
      </c>
      <c r="Z1193">
        <v>0.1246</v>
      </c>
    </row>
    <row r="1194" spans="1:26" x14ac:dyDescent="0.35">
      <c r="A1194" t="s">
        <v>1199</v>
      </c>
      <c r="B1194" t="str">
        <f t="shared" si="126"/>
        <v>OK</v>
      </c>
      <c r="C1194" t="s">
        <v>2683</v>
      </c>
      <c r="D1194" s="2">
        <v>58</v>
      </c>
      <c r="E1194">
        <f>IF(OR(D1194&lt;18, D1194&gt;100),AD1193,D1194)</f>
        <v>58</v>
      </c>
      <c r="F1194" t="s">
        <v>2990</v>
      </c>
      <c r="G1194" t="str">
        <f t="shared" si="127"/>
        <v>Male</v>
      </c>
      <c r="H1194" t="s">
        <v>3006</v>
      </c>
      <c r="I1194" t="s">
        <v>3021</v>
      </c>
      <c r="K1194" t="str">
        <f t="shared" si="128"/>
        <v>Unemployed</v>
      </c>
      <c r="L1194">
        <v>11</v>
      </c>
      <c r="M1194">
        <v>190651</v>
      </c>
      <c r="N1194">
        <f t="shared" si="129"/>
        <v>190651</v>
      </c>
      <c r="O1194">
        <v>542313</v>
      </c>
      <c r="P1194">
        <v>26.76</v>
      </c>
      <c r="Q1194">
        <v>60</v>
      </c>
      <c r="R1194" t="s">
        <v>3051</v>
      </c>
      <c r="S1194" t="str">
        <f t="shared" si="130"/>
        <v>Education</v>
      </c>
      <c r="T1194">
        <v>796</v>
      </c>
      <c r="U1194">
        <f t="shared" si="131"/>
        <v>796</v>
      </c>
      <c r="V1194">
        <v>6</v>
      </c>
      <c r="W1194" t="s">
        <v>3057</v>
      </c>
      <c r="X1194" s="3" t="s">
        <v>3612</v>
      </c>
      <c r="Y1194" s="3">
        <f t="shared" si="132"/>
        <v>44772</v>
      </c>
      <c r="Z1194">
        <v>2.8445</v>
      </c>
    </row>
    <row r="1195" spans="1:26" x14ac:dyDescent="0.35">
      <c r="A1195" t="s">
        <v>1200</v>
      </c>
      <c r="B1195" t="str">
        <f t="shared" si="126"/>
        <v>OK</v>
      </c>
      <c r="C1195" t="s">
        <v>2684</v>
      </c>
      <c r="D1195" s="2">
        <v>44</v>
      </c>
      <c r="E1195">
        <f>IF(OR(D1195&lt;18, D1195&gt;100),AD1194,D1195)</f>
        <v>44</v>
      </c>
      <c r="F1195" t="s">
        <v>2990</v>
      </c>
      <c r="G1195" t="str">
        <f t="shared" si="127"/>
        <v>Male</v>
      </c>
      <c r="H1195" t="s">
        <v>3006</v>
      </c>
      <c r="I1195" t="s">
        <v>3018</v>
      </c>
      <c r="K1195" t="str">
        <f t="shared" si="128"/>
        <v>Business Owner</v>
      </c>
      <c r="L1195">
        <v>0</v>
      </c>
      <c r="M1195">
        <v>825194</v>
      </c>
      <c r="N1195">
        <f t="shared" si="129"/>
        <v>825194</v>
      </c>
      <c r="O1195">
        <v>464755</v>
      </c>
      <c r="P1195">
        <v>23.24</v>
      </c>
      <c r="Q1195">
        <v>24</v>
      </c>
      <c r="S1195" t="str">
        <f t="shared" si="130"/>
        <v>Unknown</v>
      </c>
      <c r="T1195">
        <v>388</v>
      </c>
      <c r="U1195">
        <f t="shared" si="131"/>
        <v>388</v>
      </c>
      <c r="V1195">
        <v>7</v>
      </c>
      <c r="W1195" t="s">
        <v>3056</v>
      </c>
      <c r="X1195" s="3" t="s">
        <v>3564</v>
      </c>
      <c r="Y1195" s="3">
        <f t="shared" si="132"/>
        <v>44435</v>
      </c>
      <c r="Z1195">
        <v>0.56320000000000003</v>
      </c>
    </row>
    <row r="1196" spans="1:26" x14ac:dyDescent="0.35">
      <c r="A1196" t="s">
        <v>1201</v>
      </c>
      <c r="B1196" t="str">
        <f t="shared" si="126"/>
        <v>OK</v>
      </c>
      <c r="C1196" t="s">
        <v>2685</v>
      </c>
      <c r="D1196" s="2">
        <v>45</v>
      </c>
      <c r="E1196">
        <f>IF(OR(D1196&lt;18, D1196&gt;100),AD1195,D1196)</f>
        <v>45</v>
      </c>
      <c r="F1196" t="s">
        <v>2990</v>
      </c>
      <c r="G1196" t="str">
        <f t="shared" si="127"/>
        <v>Male</v>
      </c>
      <c r="H1196" t="s">
        <v>3003</v>
      </c>
      <c r="I1196" t="s">
        <v>3021</v>
      </c>
      <c r="K1196" t="str">
        <f t="shared" si="128"/>
        <v>Unemployed</v>
      </c>
      <c r="L1196">
        <v>23</v>
      </c>
      <c r="M1196">
        <v>2162243</v>
      </c>
      <c r="N1196">
        <f t="shared" si="129"/>
        <v>2162243</v>
      </c>
      <c r="O1196">
        <v>455928</v>
      </c>
      <c r="P1196">
        <v>16.04</v>
      </c>
      <c r="Q1196">
        <v>24</v>
      </c>
      <c r="R1196" t="s">
        <v>3051</v>
      </c>
      <c r="S1196" t="str">
        <f t="shared" si="130"/>
        <v>Education</v>
      </c>
      <c r="T1196">
        <v>565</v>
      </c>
      <c r="U1196">
        <f t="shared" si="131"/>
        <v>565</v>
      </c>
      <c r="V1196">
        <v>4</v>
      </c>
      <c r="W1196" t="s">
        <v>3056</v>
      </c>
      <c r="X1196" s="3" t="s">
        <v>3442</v>
      </c>
      <c r="Y1196" s="3">
        <f t="shared" si="132"/>
        <v>44607</v>
      </c>
      <c r="Z1196">
        <v>0.2109</v>
      </c>
    </row>
    <row r="1197" spans="1:26" x14ac:dyDescent="0.35">
      <c r="A1197" t="s">
        <v>1202</v>
      </c>
      <c r="B1197" t="str">
        <f t="shared" si="126"/>
        <v>OK</v>
      </c>
      <c r="C1197" t="s">
        <v>2686</v>
      </c>
      <c r="D1197" s="2">
        <v>27</v>
      </c>
      <c r="E1197">
        <f>IF(OR(D1197&lt;18, D1197&gt;100),AD1196,D1197)</f>
        <v>27</v>
      </c>
      <c r="F1197" t="s">
        <v>2992</v>
      </c>
      <c r="G1197" t="str">
        <f t="shared" si="127"/>
        <v>Female</v>
      </c>
      <c r="H1197" t="s">
        <v>2998</v>
      </c>
      <c r="I1197" t="s">
        <v>3020</v>
      </c>
      <c r="K1197" t="str">
        <f t="shared" si="128"/>
        <v>Self-Employed</v>
      </c>
      <c r="L1197">
        <v>15</v>
      </c>
      <c r="M1197">
        <v>469102</v>
      </c>
      <c r="N1197">
        <f t="shared" si="129"/>
        <v>469102</v>
      </c>
      <c r="O1197">
        <v>158731</v>
      </c>
      <c r="P1197">
        <v>22.3</v>
      </c>
      <c r="Q1197">
        <v>12</v>
      </c>
      <c r="R1197" t="s">
        <v>3050</v>
      </c>
      <c r="S1197" t="str">
        <f t="shared" si="130"/>
        <v>Agriculture</v>
      </c>
      <c r="T1197">
        <v>334</v>
      </c>
      <c r="U1197">
        <f t="shared" si="131"/>
        <v>334</v>
      </c>
      <c r="V1197">
        <v>2</v>
      </c>
      <c r="W1197" t="s">
        <v>3056</v>
      </c>
      <c r="X1197" s="3" t="s">
        <v>3768</v>
      </c>
      <c r="Y1197" s="3">
        <f t="shared" si="132"/>
        <v>44328</v>
      </c>
      <c r="Z1197">
        <v>0.33839999999999998</v>
      </c>
    </row>
    <row r="1198" spans="1:26" x14ac:dyDescent="0.35">
      <c r="A1198" t="s">
        <v>1203</v>
      </c>
      <c r="B1198" t="str">
        <f t="shared" si="126"/>
        <v>OK</v>
      </c>
      <c r="C1198" t="s">
        <v>2687</v>
      </c>
      <c r="D1198" s="2">
        <v>64</v>
      </c>
      <c r="E1198">
        <f>IF(OR(D1198&lt;18, D1198&gt;100),AD1197,D1198)</f>
        <v>64</v>
      </c>
      <c r="F1198" t="s">
        <v>2990</v>
      </c>
      <c r="G1198" t="str">
        <f t="shared" si="127"/>
        <v>Male</v>
      </c>
      <c r="H1198" t="s">
        <v>3007</v>
      </c>
      <c r="I1198" t="s">
        <v>3018</v>
      </c>
      <c r="K1198" t="str">
        <f t="shared" si="128"/>
        <v>Business Owner</v>
      </c>
      <c r="L1198">
        <v>15</v>
      </c>
      <c r="M1198">
        <v>1379151</v>
      </c>
      <c r="N1198">
        <f t="shared" si="129"/>
        <v>1379151</v>
      </c>
      <c r="O1198">
        <v>764822</v>
      </c>
      <c r="P1198">
        <v>26.6</v>
      </c>
      <c r="Q1198">
        <v>60</v>
      </c>
      <c r="R1198" t="s">
        <v>3047</v>
      </c>
      <c r="S1198" t="str">
        <f t="shared" si="130"/>
        <v>Personal</v>
      </c>
      <c r="T1198">
        <v>788</v>
      </c>
      <c r="U1198">
        <f t="shared" si="131"/>
        <v>788</v>
      </c>
      <c r="V1198">
        <v>5</v>
      </c>
      <c r="W1198" t="s">
        <v>3057</v>
      </c>
      <c r="X1198" s="3" t="s">
        <v>3076</v>
      </c>
      <c r="Y1198" s="3">
        <f t="shared" si="132"/>
        <v>43955</v>
      </c>
      <c r="Z1198">
        <v>0.55459999999999998</v>
      </c>
    </row>
    <row r="1199" spans="1:26" x14ac:dyDescent="0.35">
      <c r="A1199" t="s">
        <v>1204</v>
      </c>
      <c r="B1199" t="str">
        <f t="shared" si="126"/>
        <v>OK</v>
      </c>
      <c r="C1199" t="s">
        <v>2688</v>
      </c>
      <c r="D1199" s="2">
        <v>37</v>
      </c>
      <c r="E1199">
        <f>IF(OR(D1199&lt;18, D1199&gt;100),AD1198,D1199)</f>
        <v>37</v>
      </c>
      <c r="F1199" t="s">
        <v>2992</v>
      </c>
      <c r="G1199" t="str">
        <f t="shared" si="127"/>
        <v>Female</v>
      </c>
      <c r="H1199" t="s">
        <v>3000</v>
      </c>
      <c r="I1199" t="s">
        <v>3020</v>
      </c>
      <c r="K1199" t="str">
        <f t="shared" si="128"/>
        <v>Self-Employed</v>
      </c>
      <c r="L1199">
        <v>11</v>
      </c>
      <c r="M1199">
        <v>1112817</v>
      </c>
      <c r="N1199">
        <f t="shared" si="129"/>
        <v>1112817</v>
      </c>
      <c r="O1199">
        <v>469763</v>
      </c>
      <c r="P1199">
        <v>9.06</v>
      </c>
      <c r="Q1199">
        <v>24</v>
      </c>
      <c r="R1199" t="s">
        <v>3046</v>
      </c>
      <c r="S1199" t="str">
        <f t="shared" si="130"/>
        <v>Medical</v>
      </c>
      <c r="T1199">
        <v>518</v>
      </c>
      <c r="U1199">
        <f t="shared" si="131"/>
        <v>518</v>
      </c>
      <c r="V1199">
        <v>5</v>
      </c>
      <c r="W1199" t="s">
        <v>3053</v>
      </c>
      <c r="X1199" s="3" t="s">
        <v>3201</v>
      </c>
      <c r="Y1199" s="3">
        <f t="shared" si="132"/>
        <v>44648</v>
      </c>
      <c r="Z1199">
        <v>0.42209999999999998</v>
      </c>
    </row>
    <row r="1200" spans="1:26" x14ac:dyDescent="0.35">
      <c r="A1200" t="s">
        <v>1205</v>
      </c>
      <c r="B1200" t="str">
        <f t="shared" si="126"/>
        <v>OK</v>
      </c>
      <c r="C1200" t="s">
        <v>2689</v>
      </c>
      <c r="D1200" s="2">
        <v>46</v>
      </c>
      <c r="E1200">
        <f>IF(OR(D1200&lt;18, D1200&gt;100),AD1199,D1200)</f>
        <v>46</v>
      </c>
      <c r="F1200" t="s">
        <v>2990</v>
      </c>
      <c r="G1200" t="str">
        <f t="shared" si="127"/>
        <v>Male</v>
      </c>
      <c r="H1200" t="s">
        <v>3000</v>
      </c>
      <c r="I1200" t="s">
        <v>3019</v>
      </c>
      <c r="K1200" t="str">
        <f t="shared" si="128"/>
        <v>Employed</v>
      </c>
      <c r="L1200">
        <v>28</v>
      </c>
      <c r="M1200">
        <v>2360707</v>
      </c>
      <c r="N1200">
        <f t="shared" si="129"/>
        <v>2360707</v>
      </c>
      <c r="O1200">
        <v>356246</v>
      </c>
      <c r="P1200">
        <v>18.93</v>
      </c>
      <c r="Q1200">
        <v>24</v>
      </c>
      <c r="R1200" t="s">
        <v>3047</v>
      </c>
      <c r="S1200" t="str">
        <f t="shared" si="130"/>
        <v>Personal</v>
      </c>
      <c r="T1200">
        <v>517</v>
      </c>
      <c r="U1200">
        <f t="shared" si="131"/>
        <v>517</v>
      </c>
      <c r="V1200">
        <v>6</v>
      </c>
      <c r="W1200" t="s">
        <v>3056</v>
      </c>
      <c r="X1200" s="3" t="s">
        <v>3935</v>
      </c>
      <c r="Y1200" s="3">
        <f t="shared" si="132"/>
        <v>45181</v>
      </c>
      <c r="Z1200">
        <v>0.15090000000000001</v>
      </c>
    </row>
    <row r="1201" spans="1:26" x14ac:dyDescent="0.35">
      <c r="A1201" t="s">
        <v>1206</v>
      </c>
      <c r="B1201" t="str">
        <f t="shared" si="126"/>
        <v>OK</v>
      </c>
      <c r="C1201" t="s">
        <v>2690</v>
      </c>
      <c r="D1201" s="2">
        <v>55</v>
      </c>
      <c r="E1201">
        <f>IF(OR(D1201&lt;18, D1201&gt;100),AD1200,D1201)</f>
        <v>55</v>
      </c>
      <c r="F1201" t="s">
        <v>2992</v>
      </c>
      <c r="G1201" t="str">
        <f t="shared" si="127"/>
        <v>Female</v>
      </c>
      <c r="H1201" t="s">
        <v>2999</v>
      </c>
      <c r="I1201" t="s">
        <v>3019</v>
      </c>
      <c r="K1201" t="str">
        <f t="shared" si="128"/>
        <v>Employed</v>
      </c>
      <c r="L1201">
        <v>25</v>
      </c>
      <c r="M1201">
        <v>1350439</v>
      </c>
      <c r="N1201">
        <f t="shared" si="129"/>
        <v>1350439</v>
      </c>
      <c r="O1201">
        <v>217227</v>
      </c>
      <c r="P1201">
        <v>21.19</v>
      </c>
      <c r="Q1201">
        <v>36</v>
      </c>
      <c r="R1201" t="s">
        <v>3049</v>
      </c>
      <c r="S1201" t="str">
        <f t="shared" si="130"/>
        <v>Business</v>
      </c>
      <c r="T1201">
        <v>378</v>
      </c>
      <c r="U1201">
        <f t="shared" si="131"/>
        <v>378</v>
      </c>
      <c r="V1201">
        <v>1</v>
      </c>
      <c r="W1201" t="s">
        <v>3054</v>
      </c>
      <c r="X1201" s="3" t="s">
        <v>3655</v>
      </c>
      <c r="Y1201" s="3">
        <f t="shared" si="132"/>
        <v>43995</v>
      </c>
      <c r="Z1201">
        <v>0.16089999999999999</v>
      </c>
    </row>
    <row r="1202" spans="1:26" x14ac:dyDescent="0.35">
      <c r="A1202" t="s">
        <v>1207</v>
      </c>
      <c r="B1202" t="str">
        <f t="shared" si="126"/>
        <v>OK</v>
      </c>
      <c r="C1202" t="s">
        <v>2691</v>
      </c>
      <c r="D1202" s="2">
        <v>42</v>
      </c>
      <c r="E1202">
        <f>IF(OR(D1202&lt;18, D1202&gt;100),AD1201,D1202)</f>
        <v>42</v>
      </c>
      <c r="F1202" t="s">
        <v>2992</v>
      </c>
      <c r="G1202" t="str">
        <f t="shared" si="127"/>
        <v>Female</v>
      </c>
      <c r="H1202" t="s">
        <v>3002</v>
      </c>
      <c r="I1202" t="s">
        <v>3020</v>
      </c>
      <c r="K1202" t="str">
        <f t="shared" si="128"/>
        <v>Self-Employed</v>
      </c>
      <c r="L1202">
        <v>28</v>
      </c>
      <c r="M1202">
        <v>2129022</v>
      </c>
      <c r="N1202">
        <f t="shared" si="129"/>
        <v>2129022</v>
      </c>
      <c r="O1202">
        <v>277906</v>
      </c>
      <c r="P1202">
        <v>15.21</v>
      </c>
      <c r="Q1202">
        <v>24</v>
      </c>
      <c r="R1202" t="s">
        <v>3046</v>
      </c>
      <c r="S1202" t="str">
        <f t="shared" si="130"/>
        <v>Medical</v>
      </c>
      <c r="T1202">
        <v>635</v>
      </c>
      <c r="U1202">
        <f t="shared" si="131"/>
        <v>635</v>
      </c>
      <c r="V1202">
        <v>7</v>
      </c>
      <c r="W1202" t="s">
        <v>3052</v>
      </c>
      <c r="X1202" s="3" t="s">
        <v>3936</v>
      </c>
      <c r="Y1202" s="3">
        <f t="shared" si="132"/>
        <v>44060</v>
      </c>
      <c r="Z1202">
        <v>0.1305</v>
      </c>
    </row>
    <row r="1203" spans="1:26" x14ac:dyDescent="0.35">
      <c r="A1203" t="s">
        <v>1208</v>
      </c>
      <c r="B1203" t="str">
        <f t="shared" si="126"/>
        <v>OK</v>
      </c>
      <c r="C1203" t="s">
        <v>2692</v>
      </c>
      <c r="D1203" s="2">
        <v>55</v>
      </c>
      <c r="E1203">
        <f>IF(OR(D1203&lt;18, D1203&gt;100),AD1202,D1203)</f>
        <v>55</v>
      </c>
      <c r="F1203" t="s">
        <v>2992</v>
      </c>
      <c r="G1203" t="str">
        <f t="shared" si="127"/>
        <v>Female</v>
      </c>
      <c r="H1203" t="s">
        <v>3006</v>
      </c>
      <c r="I1203" t="s">
        <v>3019</v>
      </c>
      <c r="K1203" t="str">
        <f t="shared" si="128"/>
        <v>Employed</v>
      </c>
      <c r="L1203">
        <v>16</v>
      </c>
      <c r="M1203">
        <v>528619</v>
      </c>
      <c r="N1203">
        <f t="shared" si="129"/>
        <v>528619</v>
      </c>
      <c r="O1203">
        <v>144932</v>
      </c>
      <c r="P1203">
        <v>24.55</v>
      </c>
      <c r="Q1203">
        <v>60</v>
      </c>
      <c r="R1203" t="s">
        <v>3049</v>
      </c>
      <c r="S1203" t="str">
        <f t="shared" si="130"/>
        <v>Business</v>
      </c>
      <c r="T1203">
        <v>830</v>
      </c>
      <c r="U1203">
        <f t="shared" si="131"/>
        <v>830</v>
      </c>
      <c r="V1203">
        <v>0</v>
      </c>
      <c r="W1203" t="s">
        <v>3056</v>
      </c>
      <c r="X1203" s="3" t="s">
        <v>3937</v>
      </c>
      <c r="Y1203" s="3">
        <f t="shared" si="132"/>
        <v>44749</v>
      </c>
      <c r="Z1203">
        <v>0.2742</v>
      </c>
    </row>
    <row r="1204" spans="1:26" x14ac:dyDescent="0.35">
      <c r="A1204" t="s">
        <v>1209</v>
      </c>
      <c r="B1204" t="str">
        <f t="shared" si="126"/>
        <v>OK</v>
      </c>
      <c r="C1204" t="s">
        <v>2693</v>
      </c>
      <c r="D1204" s="2">
        <v>27</v>
      </c>
      <c r="E1204">
        <f>IF(OR(D1204&lt;18, D1204&gt;100),AD1203,D1204)</f>
        <v>27</v>
      </c>
      <c r="F1204" t="s">
        <v>2990</v>
      </c>
      <c r="G1204" t="str">
        <f t="shared" si="127"/>
        <v>Male</v>
      </c>
      <c r="H1204" t="s">
        <v>3006</v>
      </c>
      <c r="I1204" t="s">
        <v>3018</v>
      </c>
      <c r="K1204" t="str">
        <f t="shared" si="128"/>
        <v>Business Owner</v>
      </c>
      <c r="L1204">
        <v>10</v>
      </c>
      <c r="M1204">
        <v>306060</v>
      </c>
      <c r="N1204">
        <f t="shared" si="129"/>
        <v>306060</v>
      </c>
      <c r="O1204">
        <v>613629</v>
      </c>
      <c r="P1204">
        <v>27.35</v>
      </c>
      <c r="Q1204">
        <v>60</v>
      </c>
      <c r="R1204" t="s">
        <v>3051</v>
      </c>
      <c r="S1204" t="str">
        <f t="shared" si="130"/>
        <v>Education</v>
      </c>
      <c r="T1204">
        <v>483</v>
      </c>
      <c r="U1204">
        <f t="shared" si="131"/>
        <v>483</v>
      </c>
      <c r="V1204">
        <v>1</v>
      </c>
      <c r="W1204" t="s">
        <v>3052</v>
      </c>
      <c r="X1204" s="3" t="s">
        <v>3907</v>
      </c>
      <c r="Y1204" s="3">
        <f t="shared" si="132"/>
        <v>45213</v>
      </c>
      <c r="Z1204">
        <v>2.0049000000000001</v>
      </c>
    </row>
    <row r="1205" spans="1:26" x14ac:dyDescent="0.35">
      <c r="A1205" t="s">
        <v>1210</v>
      </c>
      <c r="B1205" t="str">
        <f t="shared" si="126"/>
        <v>OK</v>
      </c>
      <c r="C1205" t="s">
        <v>2694</v>
      </c>
      <c r="D1205" s="2">
        <v>34</v>
      </c>
      <c r="E1205">
        <f>IF(OR(D1205&lt;18, D1205&gt;100),AD1204,D1205)</f>
        <v>34</v>
      </c>
      <c r="F1205" t="s">
        <v>2992</v>
      </c>
      <c r="G1205" t="str">
        <f t="shared" si="127"/>
        <v>Female</v>
      </c>
      <c r="H1205" t="s">
        <v>3007</v>
      </c>
      <c r="I1205" t="s">
        <v>3020</v>
      </c>
      <c r="K1205" t="str">
        <f t="shared" si="128"/>
        <v>Self-Employed</v>
      </c>
      <c r="L1205">
        <v>3</v>
      </c>
      <c r="M1205">
        <v>478090</v>
      </c>
      <c r="N1205">
        <f t="shared" si="129"/>
        <v>478090</v>
      </c>
      <c r="O1205">
        <v>309220</v>
      </c>
      <c r="P1205">
        <v>20.6</v>
      </c>
      <c r="Q1205">
        <v>36</v>
      </c>
      <c r="S1205" t="str">
        <f t="shared" si="130"/>
        <v>Unknown</v>
      </c>
      <c r="T1205">
        <v>492</v>
      </c>
      <c r="U1205">
        <f t="shared" si="131"/>
        <v>492</v>
      </c>
      <c r="V1205">
        <v>2</v>
      </c>
      <c r="W1205" t="s">
        <v>3056</v>
      </c>
      <c r="X1205" s="3" t="s">
        <v>3359</v>
      </c>
      <c r="Y1205" s="3">
        <f t="shared" si="132"/>
        <v>44022</v>
      </c>
      <c r="Z1205">
        <v>0.64680000000000004</v>
      </c>
    </row>
    <row r="1206" spans="1:26" x14ac:dyDescent="0.35">
      <c r="A1206" t="s">
        <v>1211</v>
      </c>
      <c r="B1206" t="str">
        <f t="shared" si="126"/>
        <v>OK</v>
      </c>
      <c r="C1206" t="s">
        <v>2695</v>
      </c>
      <c r="D1206" s="2">
        <v>58</v>
      </c>
      <c r="E1206">
        <f>IF(OR(D1206&lt;18, D1206&gt;100),AD1205,D1206)</f>
        <v>58</v>
      </c>
      <c r="F1206" t="s">
        <v>2992</v>
      </c>
      <c r="G1206" t="str">
        <f t="shared" si="127"/>
        <v>Female</v>
      </c>
      <c r="H1206" t="s">
        <v>3003</v>
      </c>
      <c r="I1206" t="s">
        <v>3020</v>
      </c>
      <c r="K1206" t="str">
        <f t="shared" si="128"/>
        <v>Self-Employed</v>
      </c>
      <c r="L1206">
        <v>11</v>
      </c>
      <c r="M1206">
        <v>1516921</v>
      </c>
      <c r="N1206">
        <f t="shared" si="129"/>
        <v>1516921</v>
      </c>
      <c r="O1206">
        <v>672416</v>
      </c>
      <c r="P1206">
        <v>13.23</v>
      </c>
      <c r="Q1206">
        <v>60</v>
      </c>
      <c r="S1206" t="str">
        <f t="shared" si="130"/>
        <v>Unknown</v>
      </c>
      <c r="T1206">
        <v>457</v>
      </c>
      <c r="U1206">
        <f t="shared" si="131"/>
        <v>457</v>
      </c>
      <c r="V1206">
        <v>4</v>
      </c>
      <c r="W1206" t="s">
        <v>3055</v>
      </c>
      <c r="X1206" s="3" t="s">
        <v>3743</v>
      </c>
      <c r="Y1206" s="3">
        <f t="shared" si="132"/>
        <v>44296</v>
      </c>
      <c r="Z1206">
        <v>0.44330000000000003</v>
      </c>
    </row>
    <row r="1207" spans="1:26" x14ac:dyDescent="0.35">
      <c r="A1207" t="s">
        <v>1212</v>
      </c>
      <c r="B1207" t="str">
        <f t="shared" si="126"/>
        <v>OK</v>
      </c>
      <c r="C1207" t="s">
        <v>2696</v>
      </c>
      <c r="D1207" s="2">
        <v>57</v>
      </c>
      <c r="E1207">
        <f>IF(OR(D1207&lt;18, D1207&gt;100),AD1206,D1207)</f>
        <v>57</v>
      </c>
      <c r="F1207" t="s">
        <v>2990</v>
      </c>
      <c r="G1207" t="str">
        <f t="shared" si="127"/>
        <v>Male</v>
      </c>
      <c r="H1207" t="s">
        <v>3007</v>
      </c>
      <c r="I1207" t="s">
        <v>3019</v>
      </c>
      <c r="K1207" t="str">
        <f t="shared" si="128"/>
        <v>Employed</v>
      </c>
      <c r="L1207">
        <v>22</v>
      </c>
      <c r="M1207">
        <v>1635465</v>
      </c>
      <c r="N1207">
        <f t="shared" si="129"/>
        <v>1635465</v>
      </c>
      <c r="O1207">
        <v>514700</v>
      </c>
      <c r="P1207">
        <v>16.55</v>
      </c>
      <c r="Q1207">
        <v>60</v>
      </c>
      <c r="S1207" t="str">
        <f t="shared" si="130"/>
        <v>Unknown</v>
      </c>
      <c r="T1207">
        <v>715</v>
      </c>
      <c r="U1207">
        <f t="shared" si="131"/>
        <v>715</v>
      </c>
      <c r="V1207">
        <v>0</v>
      </c>
      <c r="W1207" t="s">
        <v>3053</v>
      </c>
      <c r="X1207" s="3" t="s">
        <v>3938</v>
      </c>
      <c r="Y1207" s="3">
        <f t="shared" si="132"/>
        <v>44563</v>
      </c>
      <c r="Z1207">
        <v>0.31469999999999998</v>
      </c>
    </row>
    <row r="1208" spans="1:26" x14ac:dyDescent="0.35">
      <c r="A1208" t="s">
        <v>1213</v>
      </c>
      <c r="B1208" t="str">
        <f t="shared" si="126"/>
        <v>OK</v>
      </c>
      <c r="C1208" t="s">
        <v>2697</v>
      </c>
      <c r="D1208" s="2">
        <v>56</v>
      </c>
      <c r="E1208">
        <f>IF(OR(D1208&lt;18, D1208&gt;100),AD1207,D1208)</f>
        <v>56</v>
      </c>
      <c r="F1208" t="s">
        <v>2992</v>
      </c>
      <c r="G1208" t="str">
        <f t="shared" si="127"/>
        <v>Female</v>
      </c>
      <c r="H1208" t="s">
        <v>3002</v>
      </c>
      <c r="I1208" t="s">
        <v>3020</v>
      </c>
      <c r="K1208" t="str">
        <f t="shared" si="128"/>
        <v>Self-Employed</v>
      </c>
      <c r="L1208">
        <v>10</v>
      </c>
      <c r="M1208">
        <v>388944</v>
      </c>
      <c r="N1208">
        <f t="shared" si="129"/>
        <v>388944</v>
      </c>
      <c r="O1208">
        <v>198646</v>
      </c>
      <c r="P1208">
        <v>10.199999999999999</v>
      </c>
      <c r="Q1208">
        <v>24</v>
      </c>
      <c r="R1208" t="s">
        <v>3050</v>
      </c>
      <c r="S1208" t="str">
        <f t="shared" si="130"/>
        <v>Agriculture</v>
      </c>
      <c r="T1208">
        <v>412</v>
      </c>
      <c r="U1208">
        <f t="shared" si="131"/>
        <v>412</v>
      </c>
      <c r="V1208">
        <v>1</v>
      </c>
      <c r="W1208" t="s">
        <v>3055</v>
      </c>
      <c r="X1208" s="3" t="s">
        <v>3228</v>
      </c>
      <c r="Y1208" s="3">
        <f t="shared" si="132"/>
        <v>44566</v>
      </c>
      <c r="Z1208">
        <v>0.51070000000000004</v>
      </c>
    </row>
    <row r="1209" spans="1:26" x14ac:dyDescent="0.35">
      <c r="A1209" t="s">
        <v>1214</v>
      </c>
      <c r="B1209" t="str">
        <f t="shared" si="126"/>
        <v>OK</v>
      </c>
      <c r="C1209" t="s">
        <v>2698</v>
      </c>
      <c r="D1209" s="2">
        <v>37</v>
      </c>
      <c r="E1209">
        <f>IF(OR(D1209&lt;18, D1209&gt;100),AD1208,D1209)</f>
        <v>37</v>
      </c>
      <c r="F1209" t="s">
        <v>2992</v>
      </c>
      <c r="G1209" t="str">
        <f t="shared" si="127"/>
        <v>Female</v>
      </c>
      <c r="H1209" t="s">
        <v>3007</v>
      </c>
      <c r="I1209" t="s">
        <v>3019</v>
      </c>
      <c r="K1209" t="str">
        <f t="shared" si="128"/>
        <v>Employed</v>
      </c>
      <c r="L1209">
        <v>11</v>
      </c>
      <c r="M1209">
        <v>1758608</v>
      </c>
      <c r="N1209">
        <f t="shared" si="129"/>
        <v>1758608</v>
      </c>
      <c r="O1209">
        <v>371193</v>
      </c>
      <c r="P1209">
        <v>17.78</v>
      </c>
      <c r="Q1209">
        <v>24</v>
      </c>
      <c r="R1209" t="s">
        <v>3046</v>
      </c>
      <c r="S1209" t="str">
        <f t="shared" si="130"/>
        <v>Medical</v>
      </c>
      <c r="T1209">
        <v>789</v>
      </c>
      <c r="U1209">
        <f t="shared" si="131"/>
        <v>789</v>
      </c>
      <c r="V1209">
        <v>2</v>
      </c>
      <c r="W1209" t="s">
        <v>3053</v>
      </c>
      <c r="X1209" s="3" t="s">
        <v>3843</v>
      </c>
      <c r="Y1209" s="3">
        <f t="shared" si="132"/>
        <v>44389</v>
      </c>
      <c r="Z1209">
        <v>0.21110000000000001</v>
      </c>
    </row>
    <row r="1210" spans="1:26" x14ac:dyDescent="0.35">
      <c r="A1210" t="s">
        <v>1215</v>
      </c>
      <c r="B1210" t="str">
        <f t="shared" si="126"/>
        <v>OK</v>
      </c>
      <c r="C1210" t="s">
        <v>2699</v>
      </c>
      <c r="D1210" s="2">
        <v>58</v>
      </c>
      <c r="E1210">
        <f>IF(OR(D1210&lt;18, D1210&gt;100),AD1209,D1210)</f>
        <v>58</v>
      </c>
      <c r="F1210" t="s">
        <v>2990</v>
      </c>
      <c r="G1210" t="str">
        <f t="shared" si="127"/>
        <v>Male</v>
      </c>
      <c r="H1210" t="s">
        <v>3004</v>
      </c>
      <c r="I1210" t="s">
        <v>3021</v>
      </c>
      <c r="K1210" t="str">
        <f t="shared" si="128"/>
        <v>Unemployed</v>
      </c>
      <c r="L1210">
        <v>0</v>
      </c>
      <c r="M1210">
        <v>1117841</v>
      </c>
      <c r="N1210">
        <f t="shared" si="129"/>
        <v>1117841</v>
      </c>
      <c r="O1210">
        <v>175344</v>
      </c>
      <c r="P1210">
        <v>16.63</v>
      </c>
      <c r="Q1210">
        <v>60</v>
      </c>
      <c r="R1210" t="s">
        <v>3048</v>
      </c>
      <c r="S1210" t="str">
        <f t="shared" si="130"/>
        <v>Home Improvement</v>
      </c>
      <c r="T1210">
        <v>700</v>
      </c>
      <c r="U1210">
        <f t="shared" si="131"/>
        <v>700</v>
      </c>
      <c r="V1210">
        <v>4</v>
      </c>
      <c r="W1210" t="s">
        <v>3052</v>
      </c>
      <c r="X1210" s="3" t="s">
        <v>3939</v>
      </c>
      <c r="Y1210" s="3">
        <f t="shared" si="132"/>
        <v>44630</v>
      </c>
      <c r="Z1210">
        <v>0.15690000000000001</v>
      </c>
    </row>
    <row r="1211" spans="1:26" x14ac:dyDescent="0.35">
      <c r="A1211" t="s">
        <v>1216</v>
      </c>
      <c r="B1211" t="str">
        <f t="shared" ref="B1211:B1274" si="133">IF(A1211="", "MISSING", "OK")</f>
        <v>OK</v>
      </c>
      <c r="C1211" t="s">
        <v>2700</v>
      </c>
      <c r="D1211" s="2">
        <v>60</v>
      </c>
      <c r="E1211">
        <f>IF(OR(D1211&lt;18, D1211&gt;100),AD1210,D1211)</f>
        <v>60</v>
      </c>
      <c r="F1211" t="s">
        <v>2992</v>
      </c>
      <c r="G1211" t="str">
        <f t="shared" si="127"/>
        <v>Female</v>
      </c>
      <c r="H1211" t="s">
        <v>2998</v>
      </c>
      <c r="I1211" t="s">
        <v>3021</v>
      </c>
      <c r="K1211" t="str">
        <f t="shared" si="128"/>
        <v>Unemployed</v>
      </c>
      <c r="L1211">
        <v>27</v>
      </c>
      <c r="M1211">
        <v>248803</v>
      </c>
      <c r="N1211">
        <f t="shared" si="129"/>
        <v>248803</v>
      </c>
      <c r="O1211">
        <v>185159</v>
      </c>
      <c r="P1211">
        <v>11.91</v>
      </c>
      <c r="Q1211">
        <v>36</v>
      </c>
      <c r="R1211" t="s">
        <v>3046</v>
      </c>
      <c r="S1211" t="str">
        <f t="shared" si="130"/>
        <v>Medical</v>
      </c>
      <c r="T1211">
        <v>686</v>
      </c>
      <c r="U1211">
        <f t="shared" si="131"/>
        <v>686</v>
      </c>
      <c r="V1211">
        <v>6</v>
      </c>
      <c r="W1211" t="s">
        <v>3053</v>
      </c>
      <c r="X1211" s="3" t="s">
        <v>3163</v>
      </c>
      <c r="Y1211" s="3">
        <f t="shared" si="132"/>
        <v>44029</v>
      </c>
      <c r="Z1211">
        <v>0.74419999999999997</v>
      </c>
    </row>
    <row r="1212" spans="1:26" x14ac:dyDescent="0.35">
      <c r="A1212" t="s">
        <v>1217</v>
      </c>
      <c r="B1212" t="str">
        <f t="shared" si="133"/>
        <v>OK</v>
      </c>
      <c r="C1212" t="s">
        <v>2701</v>
      </c>
      <c r="D1212" s="2">
        <v>57</v>
      </c>
      <c r="E1212">
        <f>IF(OR(D1212&lt;18, D1212&gt;100),AD1211,D1212)</f>
        <v>57</v>
      </c>
      <c r="F1212" t="s">
        <v>2992</v>
      </c>
      <c r="G1212" t="str">
        <f t="shared" si="127"/>
        <v>Female</v>
      </c>
      <c r="H1212" t="s">
        <v>3003</v>
      </c>
      <c r="I1212" t="s">
        <v>3019</v>
      </c>
      <c r="K1212" t="str">
        <f t="shared" si="128"/>
        <v>Employed</v>
      </c>
      <c r="L1212">
        <v>20</v>
      </c>
      <c r="M1212">
        <v>1365493</v>
      </c>
      <c r="N1212">
        <f t="shared" si="129"/>
        <v>1365493</v>
      </c>
      <c r="O1212">
        <v>432736</v>
      </c>
      <c r="P1212">
        <v>22.55</v>
      </c>
      <c r="Q1212">
        <v>48</v>
      </c>
      <c r="R1212" t="s">
        <v>3046</v>
      </c>
      <c r="S1212" t="str">
        <f t="shared" si="130"/>
        <v>Medical</v>
      </c>
      <c r="T1212">
        <v>616</v>
      </c>
      <c r="U1212">
        <f t="shared" si="131"/>
        <v>616</v>
      </c>
      <c r="V1212">
        <v>3</v>
      </c>
      <c r="W1212" t="s">
        <v>3052</v>
      </c>
      <c r="X1212" s="3" t="s">
        <v>3717</v>
      </c>
      <c r="Y1212" s="3">
        <f t="shared" si="132"/>
        <v>44514</v>
      </c>
      <c r="Z1212">
        <v>0.31690000000000002</v>
      </c>
    </row>
    <row r="1213" spans="1:26" x14ac:dyDescent="0.35">
      <c r="A1213" t="s">
        <v>1218</v>
      </c>
      <c r="B1213" t="str">
        <f t="shared" si="133"/>
        <v>OK</v>
      </c>
      <c r="C1213" t="s">
        <v>2702</v>
      </c>
      <c r="D1213" s="2">
        <v>57</v>
      </c>
      <c r="E1213">
        <f>IF(OR(D1213&lt;18, D1213&gt;100),AD1212,D1213)</f>
        <v>57</v>
      </c>
      <c r="F1213" t="s">
        <v>2990</v>
      </c>
      <c r="G1213" t="str">
        <f t="shared" si="127"/>
        <v>Male</v>
      </c>
      <c r="H1213" t="s">
        <v>3004</v>
      </c>
      <c r="I1213" t="s">
        <v>3021</v>
      </c>
      <c r="K1213" t="str">
        <f t="shared" si="128"/>
        <v>Unemployed</v>
      </c>
      <c r="L1213">
        <v>3</v>
      </c>
      <c r="M1213">
        <v>2343859</v>
      </c>
      <c r="N1213">
        <f t="shared" si="129"/>
        <v>2343859</v>
      </c>
      <c r="O1213">
        <v>43199</v>
      </c>
      <c r="P1213">
        <v>20.309999999999999</v>
      </c>
      <c r="Q1213">
        <v>24</v>
      </c>
      <c r="R1213" t="s">
        <v>3047</v>
      </c>
      <c r="S1213" t="str">
        <f t="shared" si="130"/>
        <v>Personal</v>
      </c>
      <c r="T1213">
        <v>735</v>
      </c>
      <c r="U1213">
        <f t="shared" si="131"/>
        <v>735</v>
      </c>
      <c r="V1213">
        <v>4</v>
      </c>
      <c r="W1213" t="s">
        <v>3056</v>
      </c>
      <c r="X1213" s="3" t="s">
        <v>3476</v>
      </c>
      <c r="Y1213" s="3">
        <f t="shared" si="132"/>
        <v>44136</v>
      </c>
      <c r="Z1213">
        <v>1.84E-2</v>
      </c>
    </row>
    <row r="1214" spans="1:26" x14ac:dyDescent="0.35">
      <c r="A1214" t="s">
        <v>1219</v>
      </c>
      <c r="B1214" t="str">
        <f t="shared" si="133"/>
        <v>OK</v>
      </c>
      <c r="C1214" t="s">
        <v>2703</v>
      </c>
      <c r="D1214" s="2">
        <v>54</v>
      </c>
      <c r="E1214">
        <f>IF(OR(D1214&lt;18, D1214&gt;100),AD1213,D1214)</f>
        <v>54</v>
      </c>
      <c r="F1214" t="s">
        <v>2990</v>
      </c>
      <c r="G1214" t="str">
        <f t="shared" si="127"/>
        <v>Male</v>
      </c>
      <c r="H1214" t="s">
        <v>3004</v>
      </c>
      <c r="I1214" t="s">
        <v>3021</v>
      </c>
      <c r="K1214" t="str">
        <f t="shared" si="128"/>
        <v>Unemployed</v>
      </c>
      <c r="L1214">
        <v>29</v>
      </c>
      <c r="M1214">
        <v>1667331</v>
      </c>
      <c r="N1214">
        <f t="shared" si="129"/>
        <v>1667331</v>
      </c>
      <c r="O1214">
        <v>133550</v>
      </c>
      <c r="P1214">
        <v>19.02</v>
      </c>
      <c r="Q1214">
        <v>60</v>
      </c>
      <c r="R1214" t="s">
        <v>3049</v>
      </c>
      <c r="S1214" t="str">
        <f t="shared" si="130"/>
        <v>Business</v>
      </c>
      <c r="T1214">
        <v>463</v>
      </c>
      <c r="U1214">
        <f t="shared" si="131"/>
        <v>463</v>
      </c>
      <c r="V1214">
        <v>7</v>
      </c>
      <c r="W1214" t="s">
        <v>3052</v>
      </c>
      <c r="X1214" s="3" t="s">
        <v>3940</v>
      </c>
      <c r="Y1214" s="3">
        <f t="shared" si="132"/>
        <v>43994</v>
      </c>
      <c r="Z1214">
        <v>8.0100000000000005E-2</v>
      </c>
    </row>
    <row r="1215" spans="1:26" x14ac:dyDescent="0.35">
      <c r="A1215" t="s">
        <v>1220</v>
      </c>
      <c r="B1215" t="str">
        <f t="shared" si="133"/>
        <v>OK</v>
      </c>
      <c r="C1215" t="s">
        <v>2704</v>
      </c>
      <c r="D1215" s="2">
        <v>64</v>
      </c>
      <c r="E1215">
        <f>IF(OR(D1215&lt;18, D1215&gt;100),AD1214,D1215)</f>
        <v>64</v>
      </c>
      <c r="F1215" t="s">
        <v>2992</v>
      </c>
      <c r="G1215" t="str">
        <f t="shared" si="127"/>
        <v>Female</v>
      </c>
      <c r="H1215" t="s">
        <v>3001</v>
      </c>
      <c r="I1215" t="s">
        <v>3019</v>
      </c>
      <c r="K1215" t="str">
        <f t="shared" si="128"/>
        <v>Employed</v>
      </c>
      <c r="L1215">
        <v>17</v>
      </c>
      <c r="M1215">
        <v>308322</v>
      </c>
      <c r="N1215">
        <f t="shared" si="129"/>
        <v>308322</v>
      </c>
      <c r="O1215">
        <v>182993</v>
      </c>
      <c r="P1215">
        <v>19.14</v>
      </c>
      <c r="Q1215">
        <v>24</v>
      </c>
      <c r="R1215" t="s">
        <v>3046</v>
      </c>
      <c r="S1215" t="str">
        <f t="shared" si="130"/>
        <v>Medical</v>
      </c>
      <c r="T1215">
        <v>675</v>
      </c>
      <c r="U1215">
        <f t="shared" si="131"/>
        <v>675</v>
      </c>
      <c r="V1215">
        <v>4</v>
      </c>
      <c r="W1215" t="s">
        <v>3055</v>
      </c>
      <c r="X1215" s="3" t="s">
        <v>3941</v>
      </c>
      <c r="Y1215" s="3">
        <f t="shared" si="132"/>
        <v>45063</v>
      </c>
      <c r="Z1215">
        <v>0.59350000000000003</v>
      </c>
    </row>
    <row r="1216" spans="1:26" x14ac:dyDescent="0.35">
      <c r="A1216" t="s">
        <v>1221</v>
      </c>
      <c r="B1216" t="str">
        <f t="shared" si="133"/>
        <v>OK</v>
      </c>
      <c r="C1216" t="s">
        <v>2705</v>
      </c>
      <c r="D1216" s="2">
        <v>55</v>
      </c>
      <c r="E1216">
        <f>IF(OR(D1216&lt;18, D1216&gt;100),AD1215,D1216)</f>
        <v>55</v>
      </c>
      <c r="F1216" t="s">
        <v>2992</v>
      </c>
      <c r="G1216" t="str">
        <f t="shared" si="127"/>
        <v>Female</v>
      </c>
      <c r="H1216" t="s">
        <v>3005</v>
      </c>
      <c r="I1216" t="s">
        <v>3020</v>
      </c>
      <c r="K1216" t="str">
        <f t="shared" si="128"/>
        <v>Self-Employed</v>
      </c>
      <c r="L1216">
        <v>14</v>
      </c>
      <c r="M1216">
        <v>1235146</v>
      </c>
      <c r="N1216">
        <f t="shared" si="129"/>
        <v>1235146</v>
      </c>
      <c r="O1216">
        <v>378710</v>
      </c>
      <c r="P1216">
        <v>16</v>
      </c>
      <c r="Q1216">
        <v>48</v>
      </c>
      <c r="R1216" t="s">
        <v>3050</v>
      </c>
      <c r="S1216" t="str">
        <f t="shared" si="130"/>
        <v>Agriculture</v>
      </c>
      <c r="T1216">
        <v>643</v>
      </c>
      <c r="U1216">
        <f t="shared" si="131"/>
        <v>643</v>
      </c>
      <c r="V1216">
        <v>6</v>
      </c>
      <c r="W1216" t="s">
        <v>3057</v>
      </c>
      <c r="X1216" s="3" t="s">
        <v>3194</v>
      </c>
      <c r="Y1216" s="3">
        <f t="shared" si="132"/>
        <v>44807</v>
      </c>
      <c r="Z1216">
        <v>0.30659999999999998</v>
      </c>
    </row>
    <row r="1217" spans="1:26" x14ac:dyDescent="0.35">
      <c r="A1217" t="s">
        <v>1222</v>
      </c>
      <c r="B1217" t="str">
        <f t="shared" si="133"/>
        <v>OK</v>
      </c>
      <c r="C1217" t="s">
        <v>2706</v>
      </c>
      <c r="D1217" s="2">
        <v>36</v>
      </c>
      <c r="E1217">
        <f>IF(OR(D1217&lt;18, D1217&gt;100),AD1216,D1217)</f>
        <v>36</v>
      </c>
      <c r="F1217" t="s">
        <v>2990</v>
      </c>
      <c r="G1217" t="str">
        <f t="shared" si="127"/>
        <v>Male</v>
      </c>
      <c r="H1217" t="s">
        <v>3004</v>
      </c>
      <c r="I1217" t="s">
        <v>3019</v>
      </c>
      <c r="K1217" t="str">
        <f t="shared" si="128"/>
        <v>Employed</v>
      </c>
      <c r="L1217">
        <v>4</v>
      </c>
      <c r="M1217">
        <v>1719600</v>
      </c>
      <c r="N1217">
        <f t="shared" si="129"/>
        <v>1719600</v>
      </c>
      <c r="O1217">
        <v>381309</v>
      </c>
      <c r="P1217">
        <v>9.76</v>
      </c>
      <c r="Q1217">
        <v>48</v>
      </c>
      <c r="R1217" t="s">
        <v>3047</v>
      </c>
      <c r="S1217" t="str">
        <f t="shared" si="130"/>
        <v>Personal</v>
      </c>
      <c r="T1217">
        <v>337</v>
      </c>
      <c r="U1217">
        <f t="shared" si="131"/>
        <v>337</v>
      </c>
      <c r="V1217">
        <v>0</v>
      </c>
      <c r="W1217" t="s">
        <v>3053</v>
      </c>
      <c r="X1217" s="3" t="s">
        <v>3942</v>
      </c>
      <c r="Y1217" s="3">
        <f t="shared" si="132"/>
        <v>44033</v>
      </c>
      <c r="Z1217">
        <v>0.22170000000000001</v>
      </c>
    </row>
    <row r="1218" spans="1:26" x14ac:dyDescent="0.35">
      <c r="A1218" t="s">
        <v>1223</v>
      </c>
      <c r="B1218" t="str">
        <f t="shared" si="133"/>
        <v>OK</v>
      </c>
      <c r="C1218" t="s">
        <v>2707</v>
      </c>
      <c r="D1218" s="2">
        <v>34</v>
      </c>
      <c r="E1218">
        <f>IF(OR(D1218&lt;18, D1218&gt;100),AD1217,D1218)</f>
        <v>34</v>
      </c>
      <c r="F1218" t="s">
        <v>2990</v>
      </c>
      <c r="G1218" t="str">
        <f t="shared" si="127"/>
        <v>Male</v>
      </c>
      <c r="H1218" t="s">
        <v>3014</v>
      </c>
      <c r="I1218" t="s">
        <v>3021</v>
      </c>
      <c r="K1218" t="str">
        <f t="shared" si="128"/>
        <v>Unemployed</v>
      </c>
      <c r="L1218">
        <v>18</v>
      </c>
      <c r="M1218">
        <v>1356808</v>
      </c>
      <c r="N1218">
        <f t="shared" si="129"/>
        <v>1356808</v>
      </c>
      <c r="O1218">
        <v>100811</v>
      </c>
      <c r="P1218">
        <v>15.96</v>
      </c>
      <c r="Q1218">
        <v>24</v>
      </c>
      <c r="R1218" t="s">
        <v>3046</v>
      </c>
      <c r="S1218" t="str">
        <f t="shared" si="130"/>
        <v>Medical</v>
      </c>
      <c r="T1218">
        <v>575</v>
      </c>
      <c r="U1218">
        <f t="shared" si="131"/>
        <v>575</v>
      </c>
      <c r="V1218">
        <v>1</v>
      </c>
      <c r="W1218" t="s">
        <v>3054</v>
      </c>
      <c r="X1218" s="3" t="s">
        <v>3131</v>
      </c>
      <c r="Y1218" s="3">
        <f t="shared" si="132"/>
        <v>44961</v>
      </c>
      <c r="Z1218">
        <v>7.4300000000000005E-2</v>
      </c>
    </row>
    <row r="1219" spans="1:26" x14ac:dyDescent="0.35">
      <c r="A1219" t="s">
        <v>1224</v>
      </c>
      <c r="B1219" t="str">
        <f t="shared" si="133"/>
        <v>OK</v>
      </c>
      <c r="C1219" t="s">
        <v>2708</v>
      </c>
      <c r="D1219" s="2">
        <v>49</v>
      </c>
      <c r="E1219">
        <f>IF(OR(D1219&lt;18, D1219&gt;100),AD1218,D1219)</f>
        <v>49</v>
      </c>
      <c r="F1219" t="s">
        <v>2993</v>
      </c>
      <c r="G1219" t="str">
        <f t="shared" ref="G1219:G1282" si="134">IF(F1219="", "Unknown", IF(OR(F1219="F", F1219="FEMALE", F1219="Female"), "Female", IF(OR(F1219="M", F1219="MALE", F1219="Male"), "Male", "Other")))</f>
        <v>Male</v>
      </c>
      <c r="H1219" t="s">
        <v>3006</v>
      </c>
      <c r="I1219" t="s">
        <v>3021</v>
      </c>
      <c r="K1219" t="str">
        <f t="shared" ref="K1219:K1282" si="135">IF(I1219="", "Unknown", I1219)</f>
        <v>Unemployed</v>
      </c>
      <c r="L1219">
        <v>1</v>
      </c>
      <c r="M1219">
        <v>2375004</v>
      </c>
      <c r="N1219">
        <f t="shared" ref="N1219:N1282" si="136">IF(OR(M1219="",M1219&lt;0),$AD$3,M1219)</f>
        <v>2375004</v>
      </c>
      <c r="O1219">
        <v>119977</v>
      </c>
      <c r="P1219">
        <v>22.4</v>
      </c>
      <c r="Q1219">
        <v>48</v>
      </c>
      <c r="R1219" t="s">
        <v>3048</v>
      </c>
      <c r="S1219" t="str">
        <f t="shared" ref="S1219:S1282" si="137">IF(R1219="", "Unknown", R1219)</f>
        <v>Home Improvement</v>
      </c>
      <c r="T1219">
        <v>421</v>
      </c>
      <c r="U1219">
        <f t="shared" ref="U1219:U1282" si="138">IF(OR(T1219="",T1219&gt;999),$AD$2,T1219)</f>
        <v>421</v>
      </c>
      <c r="V1219">
        <v>1</v>
      </c>
      <c r="W1219" t="s">
        <v>3056</v>
      </c>
      <c r="X1219" s="3" t="s">
        <v>3153</v>
      </c>
      <c r="Y1219" s="3">
        <f t="shared" ref="Y1219:Y1282" si="139">IF(ISNUMBER(X1219), X1219, DATEVALUE(X1219))</f>
        <v>45079</v>
      </c>
      <c r="Z1219">
        <v>5.0500000000000003E-2</v>
      </c>
    </row>
    <row r="1220" spans="1:26" x14ac:dyDescent="0.35">
      <c r="A1220" t="s">
        <v>1225</v>
      </c>
      <c r="B1220" t="str">
        <f t="shared" si="133"/>
        <v>OK</v>
      </c>
      <c r="C1220" t="s">
        <v>2709</v>
      </c>
      <c r="D1220" s="2">
        <v>43</v>
      </c>
      <c r="E1220">
        <f>IF(OR(D1220&lt;18, D1220&gt;100),AD1219,D1220)</f>
        <v>43</v>
      </c>
      <c r="F1220" t="s">
        <v>2992</v>
      </c>
      <c r="G1220" t="str">
        <f t="shared" si="134"/>
        <v>Female</v>
      </c>
      <c r="H1220" t="s">
        <v>3010</v>
      </c>
      <c r="I1220" t="s">
        <v>3021</v>
      </c>
      <c r="K1220" t="str">
        <f t="shared" si="135"/>
        <v>Unemployed</v>
      </c>
      <c r="L1220">
        <v>7</v>
      </c>
      <c r="M1220">
        <v>1113396</v>
      </c>
      <c r="N1220">
        <f t="shared" si="136"/>
        <v>1113396</v>
      </c>
      <c r="O1220">
        <v>255595</v>
      </c>
      <c r="P1220">
        <v>19.440000000000001</v>
      </c>
      <c r="Q1220">
        <v>24</v>
      </c>
      <c r="R1220" t="s">
        <v>3049</v>
      </c>
      <c r="S1220" t="str">
        <f t="shared" si="137"/>
        <v>Business</v>
      </c>
      <c r="T1220">
        <v>430</v>
      </c>
      <c r="U1220">
        <f t="shared" si="138"/>
        <v>430</v>
      </c>
      <c r="V1220">
        <v>2</v>
      </c>
      <c r="W1220" t="s">
        <v>3053</v>
      </c>
      <c r="X1220" s="3" t="s">
        <v>3943</v>
      </c>
      <c r="Y1220" s="3">
        <f t="shared" si="139"/>
        <v>43964</v>
      </c>
      <c r="Z1220">
        <v>0.2296</v>
      </c>
    </row>
    <row r="1221" spans="1:26" x14ac:dyDescent="0.35">
      <c r="A1221" t="s">
        <v>1226</v>
      </c>
      <c r="B1221" t="str">
        <f t="shared" si="133"/>
        <v>OK</v>
      </c>
      <c r="C1221" t="s">
        <v>2710</v>
      </c>
      <c r="D1221" s="2">
        <v>29</v>
      </c>
      <c r="E1221">
        <f>IF(OR(D1221&lt;18, D1221&gt;100),AD1220,D1221)</f>
        <v>29</v>
      </c>
      <c r="F1221" t="s">
        <v>2992</v>
      </c>
      <c r="G1221" t="str">
        <f t="shared" si="134"/>
        <v>Female</v>
      </c>
      <c r="H1221" t="s">
        <v>3000</v>
      </c>
      <c r="I1221" t="s">
        <v>3021</v>
      </c>
      <c r="K1221" t="str">
        <f t="shared" si="135"/>
        <v>Unemployed</v>
      </c>
      <c r="L1221">
        <v>29</v>
      </c>
      <c r="M1221">
        <v>2163691</v>
      </c>
      <c r="N1221">
        <f t="shared" si="136"/>
        <v>2163691</v>
      </c>
      <c r="O1221">
        <v>516440</v>
      </c>
      <c r="P1221" t="s">
        <v>3040</v>
      </c>
      <c r="Q1221">
        <v>24</v>
      </c>
      <c r="R1221" t="s">
        <v>3050</v>
      </c>
      <c r="S1221" t="str">
        <f t="shared" si="137"/>
        <v>Agriculture</v>
      </c>
      <c r="T1221">
        <v>477</v>
      </c>
      <c r="U1221">
        <f t="shared" si="138"/>
        <v>477</v>
      </c>
      <c r="V1221">
        <v>2</v>
      </c>
      <c r="W1221" t="s">
        <v>3056</v>
      </c>
      <c r="X1221" s="3" t="s">
        <v>3944</v>
      </c>
      <c r="Y1221" s="3">
        <f t="shared" si="139"/>
        <v>44251</v>
      </c>
      <c r="Z1221">
        <v>0.2387</v>
      </c>
    </row>
    <row r="1222" spans="1:26" x14ac:dyDescent="0.35">
      <c r="A1222" t="s">
        <v>1227</v>
      </c>
      <c r="B1222" t="str">
        <f t="shared" si="133"/>
        <v>OK</v>
      </c>
      <c r="C1222" t="s">
        <v>2711</v>
      </c>
      <c r="D1222" s="2">
        <v>33</v>
      </c>
      <c r="E1222">
        <f>IF(OR(D1222&lt;18, D1222&gt;100),AD1221,D1222)</f>
        <v>33</v>
      </c>
      <c r="F1222" t="s">
        <v>2992</v>
      </c>
      <c r="G1222" t="str">
        <f t="shared" si="134"/>
        <v>Female</v>
      </c>
      <c r="H1222" t="s">
        <v>3004</v>
      </c>
      <c r="I1222" t="s">
        <v>3020</v>
      </c>
      <c r="K1222" t="str">
        <f t="shared" si="135"/>
        <v>Self-Employed</v>
      </c>
      <c r="L1222">
        <v>2</v>
      </c>
      <c r="M1222">
        <v>958513</v>
      </c>
      <c r="N1222">
        <f t="shared" si="136"/>
        <v>958513</v>
      </c>
      <c r="O1222">
        <v>605236</v>
      </c>
      <c r="P1222">
        <v>16.22</v>
      </c>
      <c r="Q1222">
        <v>36</v>
      </c>
      <c r="R1222" t="s">
        <v>3047</v>
      </c>
      <c r="S1222" t="str">
        <f t="shared" si="137"/>
        <v>Personal</v>
      </c>
      <c r="T1222">
        <v>675</v>
      </c>
      <c r="U1222">
        <f t="shared" si="138"/>
        <v>675</v>
      </c>
      <c r="V1222">
        <v>0</v>
      </c>
      <c r="W1222" t="s">
        <v>3055</v>
      </c>
      <c r="X1222" s="3" t="s">
        <v>3588</v>
      </c>
      <c r="Y1222" s="3">
        <f t="shared" si="139"/>
        <v>45224</v>
      </c>
      <c r="Z1222">
        <v>0.63139999999999996</v>
      </c>
    </row>
    <row r="1223" spans="1:26" x14ac:dyDescent="0.35">
      <c r="A1223" t="s">
        <v>1228</v>
      </c>
      <c r="B1223" t="str">
        <f t="shared" si="133"/>
        <v>OK</v>
      </c>
      <c r="C1223" t="s">
        <v>2712</v>
      </c>
      <c r="D1223" s="2">
        <v>32</v>
      </c>
      <c r="E1223">
        <f>IF(OR(D1223&lt;18, D1223&gt;100),AD1222,D1223)</f>
        <v>32</v>
      </c>
      <c r="F1223" t="s">
        <v>2990</v>
      </c>
      <c r="G1223" t="str">
        <f t="shared" si="134"/>
        <v>Male</v>
      </c>
      <c r="H1223" t="s">
        <v>2999</v>
      </c>
      <c r="I1223" t="s">
        <v>3019</v>
      </c>
      <c r="K1223" t="str">
        <f t="shared" si="135"/>
        <v>Employed</v>
      </c>
      <c r="L1223">
        <v>1</v>
      </c>
      <c r="N1223">
        <f t="shared" si="136"/>
        <v>1333224</v>
      </c>
      <c r="O1223">
        <v>72691</v>
      </c>
      <c r="P1223">
        <v>14</v>
      </c>
      <c r="Q1223">
        <v>12</v>
      </c>
      <c r="S1223" t="str">
        <f t="shared" si="137"/>
        <v>Unknown</v>
      </c>
      <c r="T1223">
        <v>547</v>
      </c>
      <c r="U1223">
        <f t="shared" si="138"/>
        <v>547</v>
      </c>
      <c r="V1223">
        <v>7</v>
      </c>
      <c r="W1223" t="s">
        <v>3054</v>
      </c>
      <c r="X1223" s="3" t="s">
        <v>3399</v>
      </c>
      <c r="Y1223" s="3">
        <f t="shared" si="139"/>
        <v>44343</v>
      </c>
      <c r="Z1223">
        <v>3.5000000000000003E-2</v>
      </c>
    </row>
    <row r="1224" spans="1:26" x14ac:dyDescent="0.35">
      <c r="A1224" t="s">
        <v>1229</v>
      </c>
      <c r="B1224" t="str">
        <f t="shared" si="133"/>
        <v>OK</v>
      </c>
      <c r="C1224" t="s">
        <v>2713</v>
      </c>
      <c r="D1224" s="2">
        <v>63</v>
      </c>
      <c r="E1224">
        <f>IF(OR(D1224&lt;18, D1224&gt;100),AD1223,D1224)</f>
        <v>63</v>
      </c>
      <c r="F1224" t="s">
        <v>2990</v>
      </c>
      <c r="G1224" t="str">
        <f t="shared" si="134"/>
        <v>Male</v>
      </c>
      <c r="H1224" t="s">
        <v>3007</v>
      </c>
      <c r="I1224" t="s">
        <v>3021</v>
      </c>
      <c r="K1224" t="str">
        <f t="shared" si="135"/>
        <v>Unemployed</v>
      </c>
      <c r="L1224">
        <v>15</v>
      </c>
      <c r="M1224">
        <v>1764973</v>
      </c>
      <c r="N1224">
        <f t="shared" si="136"/>
        <v>1764973</v>
      </c>
      <c r="O1224">
        <v>580219</v>
      </c>
      <c r="P1224">
        <v>16.71</v>
      </c>
      <c r="Q1224">
        <v>24</v>
      </c>
      <c r="R1224" t="s">
        <v>3047</v>
      </c>
      <c r="S1224" t="str">
        <f t="shared" si="137"/>
        <v>Personal</v>
      </c>
      <c r="T1224">
        <v>360</v>
      </c>
      <c r="U1224">
        <f t="shared" si="138"/>
        <v>360</v>
      </c>
      <c r="V1224">
        <v>3</v>
      </c>
      <c r="W1224" t="s">
        <v>3054</v>
      </c>
      <c r="X1224" s="3" t="s">
        <v>3945</v>
      </c>
      <c r="Y1224" s="3">
        <f t="shared" si="139"/>
        <v>44146</v>
      </c>
      <c r="Z1224">
        <v>0.32869999999999999</v>
      </c>
    </row>
    <row r="1225" spans="1:26" x14ac:dyDescent="0.35">
      <c r="A1225" t="s">
        <v>1230</v>
      </c>
      <c r="B1225" t="str">
        <f t="shared" si="133"/>
        <v>OK</v>
      </c>
      <c r="C1225" t="s">
        <v>2714</v>
      </c>
      <c r="D1225" s="2">
        <v>21</v>
      </c>
      <c r="E1225">
        <f>IF(OR(D1225&lt;18, D1225&gt;100),AD1224,D1225)</f>
        <v>21</v>
      </c>
      <c r="F1225" t="s">
        <v>2992</v>
      </c>
      <c r="G1225" t="str">
        <f t="shared" si="134"/>
        <v>Female</v>
      </c>
      <c r="H1225" t="s">
        <v>3002</v>
      </c>
      <c r="I1225" t="s">
        <v>3019</v>
      </c>
      <c r="K1225" t="str">
        <f t="shared" si="135"/>
        <v>Employed</v>
      </c>
      <c r="L1225">
        <v>12</v>
      </c>
      <c r="M1225">
        <v>1921373</v>
      </c>
      <c r="N1225">
        <f t="shared" si="136"/>
        <v>1921373</v>
      </c>
      <c r="O1225">
        <v>345329</v>
      </c>
      <c r="P1225">
        <v>11.6</v>
      </c>
      <c r="Q1225">
        <v>60</v>
      </c>
      <c r="R1225" t="s">
        <v>3048</v>
      </c>
      <c r="S1225" t="str">
        <f t="shared" si="137"/>
        <v>Home Improvement</v>
      </c>
      <c r="T1225">
        <v>396</v>
      </c>
      <c r="U1225">
        <f t="shared" si="138"/>
        <v>396</v>
      </c>
      <c r="V1225">
        <v>4</v>
      </c>
      <c r="W1225" t="s">
        <v>3052</v>
      </c>
      <c r="X1225" s="3" t="s">
        <v>3701</v>
      </c>
      <c r="Y1225" s="3">
        <f t="shared" si="139"/>
        <v>45002</v>
      </c>
      <c r="Z1225">
        <v>0.1797</v>
      </c>
    </row>
    <row r="1226" spans="1:26" x14ac:dyDescent="0.35">
      <c r="A1226" t="s">
        <v>1231</v>
      </c>
      <c r="B1226" t="str">
        <f t="shared" si="133"/>
        <v>OK</v>
      </c>
      <c r="C1226" t="s">
        <v>2715</v>
      </c>
      <c r="D1226" s="2">
        <v>40</v>
      </c>
      <c r="E1226">
        <f>IF(OR(D1226&lt;18, D1226&gt;100),AD1225,D1226)</f>
        <v>40</v>
      </c>
      <c r="F1226" t="s">
        <v>2990</v>
      </c>
      <c r="G1226" t="str">
        <f t="shared" si="134"/>
        <v>Male</v>
      </c>
      <c r="H1226" t="s">
        <v>3003</v>
      </c>
      <c r="I1226" t="s">
        <v>3018</v>
      </c>
      <c r="K1226" t="str">
        <f t="shared" si="135"/>
        <v>Business Owner</v>
      </c>
      <c r="L1226">
        <v>7</v>
      </c>
      <c r="M1226">
        <v>594994</v>
      </c>
      <c r="N1226">
        <f t="shared" si="136"/>
        <v>594994</v>
      </c>
      <c r="O1226">
        <v>363615</v>
      </c>
      <c r="P1226">
        <v>24.88</v>
      </c>
      <c r="Q1226">
        <v>36</v>
      </c>
      <c r="R1226" t="s">
        <v>3049</v>
      </c>
      <c r="S1226" t="str">
        <f t="shared" si="137"/>
        <v>Business</v>
      </c>
      <c r="T1226">
        <v>640</v>
      </c>
      <c r="U1226">
        <f t="shared" si="138"/>
        <v>640</v>
      </c>
      <c r="V1226">
        <v>1</v>
      </c>
      <c r="W1226" t="s">
        <v>3054</v>
      </c>
      <c r="X1226" s="3" t="s">
        <v>3645</v>
      </c>
      <c r="Y1226" s="3">
        <f t="shared" si="139"/>
        <v>44330</v>
      </c>
      <c r="Z1226">
        <v>0.61109999999999998</v>
      </c>
    </row>
    <row r="1227" spans="1:26" x14ac:dyDescent="0.35">
      <c r="A1227" t="s">
        <v>1232</v>
      </c>
      <c r="B1227" t="str">
        <f t="shared" si="133"/>
        <v>OK</v>
      </c>
      <c r="C1227" t="s">
        <v>2716</v>
      </c>
      <c r="D1227" s="2">
        <v>58</v>
      </c>
      <c r="E1227">
        <f>IF(OR(D1227&lt;18, D1227&gt;100),AD1226,D1227)</f>
        <v>58</v>
      </c>
      <c r="F1227" t="s">
        <v>2990</v>
      </c>
      <c r="G1227" t="str">
        <f t="shared" si="134"/>
        <v>Male</v>
      </c>
      <c r="H1227" t="s">
        <v>3004</v>
      </c>
      <c r="I1227" t="s">
        <v>3020</v>
      </c>
      <c r="K1227" t="str">
        <f t="shared" si="135"/>
        <v>Self-Employed</v>
      </c>
      <c r="L1227">
        <v>5</v>
      </c>
      <c r="M1227">
        <v>2233607</v>
      </c>
      <c r="N1227">
        <f t="shared" si="136"/>
        <v>2233607</v>
      </c>
      <c r="O1227">
        <v>541658</v>
      </c>
      <c r="P1227">
        <v>16.850000000000001</v>
      </c>
      <c r="Q1227">
        <v>24</v>
      </c>
      <c r="S1227" t="str">
        <f t="shared" si="137"/>
        <v>Unknown</v>
      </c>
      <c r="T1227">
        <v>545</v>
      </c>
      <c r="U1227">
        <f t="shared" si="138"/>
        <v>545</v>
      </c>
      <c r="V1227">
        <v>3</v>
      </c>
      <c r="W1227" t="s">
        <v>3055</v>
      </c>
      <c r="X1227" s="3" t="s">
        <v>3711</v>
      </c>
      <c r="Y1227" s="3">
        <f t="shared" si="139"/>
        <v>44239</v>
      </c>
      <c r="Z1227">
        <v>0.24249999999999999</v>
      </c>
    </row>
    <row r="1228" spans="1:26" x14ac:dyDescent="0.35">
      <c r="A1228" t="s">
        <v>1233</v>
      </c>
      <c r="B1228" t="str">
        <f t="shared" si="133"/>
        <v>OK</v>
      </c>
      <c r="C1228" t="s">
        <v>2717</v>
      </c>
      <c r="D1228" s="2">
        <v>54</v>
      </c>
      <c r="E1228">
        <f>IF(OR(D1228&lt;18, D1228&gt;100),AD1227,D1228)</f>
        <v>54</v>
      </c>
      <c r="F1228" t="s">
        <v>2992</v>
      </c>
      <c r="G1228" t="str">
        <f t="shared" si="134"/>
        <v>Female</v>
      </c>
      <c r="H1228" t="s">
        <v>3003</v>
      </c>
      <c r="I1228" t="s">
        <v>3018</v>
      </c>
      <c r="K1228" t="str">
        <f t="shared" si="135"/>
        <v>Business Owner</v>
      </c>
      <c r="L1228">
        <v>12</v>
      </c>
      <c r="M1228">
        <v>1238079</v>
      </c>
      <c r="N1228">
        <f t="shared" si="136"/>
        <v>1238079</v>
      </c>
      <c r="O1228">
        <v>60387</v>
      </c>
      <c r="P1228">
        <v>24</v>
      </c>
      <c r="Q1228">
        <v>48</v>
      </c>
      <c r="R1228" t="s">
        <v>3046</v>
      </c>
      <c r="S1228" t="str">
        <f t="shared" si="137"/>
        <v>Medical</v>
      </c>
      <c r="T1228">
        <v>332</v>
      </c>
      <c r="U1228">
        <f t="shared" si="138"/>
        <v>332</v>
      </c>
      <c r="V1228">
        <v>7</v>
      </c>
      <c r="W1228" t="s">
        <v>3053</v>
      </c>
      <c r="X1228" s="3" t="s">
        <v>3915</v>
      </c>
      <c r="Y1228" s="3">
        <f t="shared" si="139"/>
        <v>44800</v>
      </c>
      <c r="Z1228">
        <v>4.8800000000000003E-2</v>
      </c>
    </row>
    <row r="1229" spans="1:26" x14ac:dyDescent="0.35">
      <c r="A1229" t="s">
        <v>1234</v>
      </c>
      <c r="B1229" t="str">
        <f t="shared" si="133"/>
        <v>OK</v>
      </c>
      <c r="C1229" t="s">
        <v>2718</v>
      </c>
      <c r="D1229" s="2">
        <v>62</v>
      </c>
      <c r="E1229">
        <f>IF(OR(D1229&lt;18, D1229&gt;100),AD1228,D1229)</f>
        <v>62</v>
      </c>
      <c r="F1229" t="s">
        <v>2992</v>
      </c>
      <c r="G1229" t="str">
        <f t="shared" si="134"/>
        <v>Female</v>
      </c>
      <c r="H1229" t="s">
        <v>2998</v>
      </c>
      <c r="I1229" t="s">
        <v>3021</v>
      </c>
      <c r="K1229" t="str">
        <f t="shared" si="135"/>
        <v>Unemployed</v>
      </c>
      <c r="L1229">
        <v>8</v>
      </c>
      <c r="M1229">
        <v>2140208</v>
      </c>
      <c r="N1229">
        <f t="shared" si="136"/>
        <v>2140208</v>
      </c>
      <c r="O1229">
        <v>798799</v>
      </c>
      <c r="P1229">
        <v>16.28</v>
      </c>
      <c r="Q1229">
        <v>36</v>
      </c>
      <c r="R1229" t="s">
        <v>3046</v>
      </c>
      <c r="S1229" t="str">
        <f t="shared" si="137"/>
        <v>Medical</v>
      </c>
      <c r="U1229">
        <f t="shared" si="138"/>
        <v>556</v>
      </c>
      <c r="V1229">
        <v>7</v>
      </c>
      <c r="W1229" t="s">
        <v>3056</v>
      </c>
      <c r="X1229" s="3" t="s">
        <v>3469</v>
      </c>
      <c r="Y1229" s="3">
        <f t="shared" si="139"/>
        <v>45263</v>
      </c>
      <c r="Z1229">
        <v>0.37319999999999998</v>
      </c>
    </row>
    <row r="1230" spans="1:26" x14ac:dyDescent="0.35">
      <c r="A1230" t="s">
        <v>1235</v>
      </c>
      <c r="B1230" t="str">
        <f t="shared" si="133"/>
        <v>OK</v>
      </c>
      <c r="C1230" t="s">
        <v>2719</v>
      </c>
      <c r="D1230" s="2">
        <v>40</v>
      </c>
      <c r="E1230">
        <f>IF(OR(D1230&lt;18, D1230&gt;100),AD1229,D1230)</f>
        <v>40</v>
      </c>
      <c r="F1230" t="s">
        <v>2992</v>
      </c>
      <c r="G1230" t="str">
        <f t="shared" si="134"/>
        <v>Female</v>
      </c>
      <c r="H1230" t="s">
        <v>3005</v>
      </c>
      <c r="I1230" t="s">
        <v>3018</v>
      </c>
      <c r="K1230" t="str">
        <f t="shared" si="135"/>
        <v>Business Owner</v>
      </c>
      <c r="L1230">
        <v>25</v>
      </c>
      <c r="M1230">
        <v>712726</v>
      </c>
      <c r="N1230">
        <f t="shared" si="136"/>
        <v>712726</v>
      </c>
      <c r="O1230">
        <v>24994</v>
      </c>
      <c r="P1230">
        <v>22.84</v>
      </c>
      <c r="Q1230">
        <v>60</v>
      </c>
      <c r="R1230" t="s">
        <v>3050</v>
      </c>
      <c r="S1230" t="str">
        <f t="shared" si="137"/>
        <v>Agriculture</v>
      </c>
      <c r="T1230">
        <v>636</v>
      </c>
      <c r="U1230">
        <f t="shared" si="138"/>
        <v>636</v>
      </c>
      <c r="V1230">
        <v>0</v>
      </c>
      <c r="W1230" t="s">
        <v>3056</v>
      </c>
      <c r="X1230" s="3" t="s">
        <v>3378</v>
      </c>
      <c r="Y1230" s="3">
        <f t="shared" si="139"/>
        <v>44736</v>
      </c>
      <c r="Z1230">
        <v>3.5099999999999999E-2</v>
      </c>
    </row>
    <row r="1231" spans="1:26" x14ac:dyDescent="0.35">
      <c r="A1231" t="s">
        <v>1236</v>
      </c>
      <c r="B1231" t="str">
        <f t="shared" si="133"/>
        <v>OK</v>
      </c>
      <c r="C1231" t="s">
        <v>2720</v>
      </c>
      <c r="D1231" s="2">
        <v>50</v>
      </c>
      <c r="E1231">
        <f>IF(OR(D1231&lt;18, D1231&gt;100),AD1230,D1231)</f>
        <v>50</v>
      </c>
      <c r="F1231" t="s">
        <v>2992</v>
      </c>
      <c r="G1231" t="str">
        <f t="shared" si="134"/>
        <v>Female</v>
      </c>
      <c r="H1231" t="s">
        <v>3003</v>
      </c>
      <c r="I1231" t="s">
        <v>3019</v>
      </c>
      <c r="K1231" t="str">
        <f t="shared" si="135"/>
        <v>Employed</v>
      </c>
      <c r="L1231">
        <v>17</v>
      </c>
      <c r="M1231">
        <v>1068036</v>
      </c>
      <c r="N1231">
        <f t="shared" si="136"/>
        <v>1068036</v>
      </c>
      <c r="O1231">
        <v>132935</v>
      </c>
      <c r="P1231">
        <v>15.64</v>
      </c>
      <c r="Q1231">
        <v>12</v>
      </c>
      <c r="R1231" t="s">
        <v>3050</v>
      </c>
      <c r="S1231" t="str">
        <f t="shared" si="137"/>
        <v>Agriculture</v>
      </c>
      <c r="T1231">
        <v>836</v>
      </c>
      <c r="U1231">
        <f t="shared" si="138"/>
        <v>836</v>
      </c>
      <c r="V1231">
        <v>2</v>
      </c>
      <c r="W1231" t="s">
        <v>3056</v>
      </c>
      <c r="X1231" s="3" t="s">
        <v>3124</v>
      </c>
      <c r="Y1231" s="3">
        <f t="shared" si="139"/>
        <v>44933</v>
      </c>
      <c r="Z1231">
        <v>0.1245</v>
      </c>
    </row>
    <row r="1232" spans="1:26" x14ac:dyDescent="0.35">
      <c r="A1232" t="s">
        <v>1237</v>
      </c>
      <c r="B1232" t="str">
        <f t="shared" si="133"/>
        <v>OK</v>
      </c>
      <c r="C1232" t="s">
        <v>2721</v>
      </c>
      <c r="D1232" s="2">
        <v>29</v>
      </c>
      <c r="E1232">
        <f>IF(OR(D1232&lt;18, D1232&gt;100),AD1231,D1232)</f>
        <v>29</v>
      </c>
      <c r="F1232" t="s">
        <v>2992</v>
      </c>
      <c r="G1232" t="str">
        <f t="shared" si="134"/>
        <v>Female</v>
      </c>
      <c r="H1232" t="s">
        <v>3005</v>
      </c>
      <c r="I1232" t="s">
        <v>3020</v>
      </c>
      <c r="K1232" t="str">
        <f t="shared" si="135"/>
        <v>Self-Employed</v>
      </c>
      <c r="L1232">
        <v>20</v>
      </c>
      <c r="M1232">
        <v>1550073</v>
      </c>
      <c r="N1232">
        <f t="shared" si="136"/>
        <v>1550073</v>
      </c>
      <c r="O1232">
        <v>662927</v>
      </c>
      <c r="P1232">
        <v>15.09</v>
      </c>
      <c r="Q1232">
        <v>12</v>
      </c>
      <c r="R1232" t="s">
        <v>3046</v>
      </c>
      <c r="S1232" t="str">
        <f t="shared" si="137"/>
        <v>Medical</v>
      </c>
      <c r="T1232">
        <v>717</v>
      </c>
      <c r="U1232">
        <f t="shared" si="138"/>
        <v>717</v>
      </c>
      <c r="V1232">
        <v>6</v>
      </c>
      <c r="W1232" t="s">
        <v>3052</v>
      </c>
      <c r="X1232" s="3" t="s">
        <v>3773</v>
      </c>
      <c r="Y1232" s="3">
        <f t="shared" si="139"/>
        <v>44143</v>
      </c>
      <c r="Z1232">
        <v>0.42770000000000002</v>
      </c>
    </row>
    <row r="1233" spans="1:26" x14ac:dyDescent="0.35">
      <c r="A1233" t="s">
        <v>1238</v>
      </c>
      <c r="B1233" t="str">
        <f t="shared" si="133"/>
        <v>OK</v>
      </c>
      <c r="C1233" t="s">
        <v>2722</v>
      </c>
      <c r="D1233" s="2">
        <v>53</v>
      </c>
      <c r="E1233">
        <f>IF(OR(D1233&lt;18, D1233&gt;100),AD1232,D1233)</f>
        <v>53</v>
      </c>
      <c r="F1233" t="s">
        <v>2990</v>
      </c>
      <c r="G1233" t="str">
        <f t="shared" si="134"/>
        <v>Male</v>
      </c>
      <c r="H1233" t="s">
        <v>2998</v>
      </c>
      <c r="I1233" t="s">
        <v>3021</v>
      </c>
      <c r="K1233" t="str">
        <f t="shared" si="135"/>
        <v>Unemployed</v>
      </c>
      <c r="L1233">
        <v>12</v>
      </c>
      <c r="M1233">
        <v>1389337</v>
      </c>
      <c r="N1233">
        <f t="shared" si="136"/>
        <v>1389337</v>
      </c>
      <c r="O1233">
        <v>307623</v>
      </c>
      <c r="P1233">
        <v>25.39</v>
      </c>
      <c r="Q1233">
        <v>48</v>
      </c>
      <c r="R1233" t="s">
        <v>3047</v>
      </c>
      <c r="S1233" t="str">
        <f t="shared" si="137"/>
        <v>Personal</v>
      </c>
      <c r="T1233">
        <v>794</v>
      </c>
      <c r="U1233">
        <f t="shared" si="138"/>
        <v>794</v>
      </c>
      <c r="V1233">
        <v>2</v>
      </c>
      <c r="W1233" t="s">
        <v>3053</v>
      </c>
      <c r="X1233" s="3" t="s">
        <v>3946</v>
      </c>
      <c r="Y1233" s="3">
        <f t="shared" si="139"/>
        <v>45172</v>
      </c>
      <c r="Z1233">
        <v>0.22140000000000001</v>
      </c>
    </row>
    <row r="1234" spans="1:26" x14ac:dyDescent="0.35">
      <c r="A1234" t="s">
        <v>1239</v>
      </c>
      <c r="B1234" t="str">
        <f t="shared" si="133"/>
        <v>OK</v>
      </c>
      <c r="C1234" t="s">
        <v>2723</v>
      </c>
      <c r="D1234" s="2">
        <v>27</v>
      </c>
      <c r="E1234">
        <f>IF(OR(D1234&lt;18, D1234&gt;100),AD1233,D1234)</f>
        <v>27</v>
      </c>
      <c r="F1234" t="s">
        <v>2990</v>
      </c>
      <c r="G1234" t="str">
        <f t="shared" si="134"/>
        <v>Male</v>
      </c>
      <c r="H1234" t="s">
        <v>3003</v>
      </c>
      <c r="I1234" t="s">
        <v>3020</v>
      </c>
      <c r="K1234" t="str">
        <f t="shared" si="135"/>
        <v>Self-Employed</v>
      </c>
      <c r="L1234">
        <v>15</v>
      </c>
      <c r="M1234">
        <v>655595</v>
      </c>
      <c r="N1234">
        <f t="shared" si="136"/>
        <v>655595</v>
      </c>
      <c r="O1234">
        <v>360686</v>
      </c>
      <c r="P1234">
        <v>19.91</v>
      </c>
      <c r="Q1234">
        <v>24</v>
      </c>
      <c r="R1234" t="s">
        <v>3048</v>
      </c>
      <c r="S1234" t="str">
        <f t="shared" si="137"/>
        <v>Home Improvement</v>
      </c>
      <c r="T1234">
        <v>438</v>
      </c>
      <c r="U1234">
        <f t="shared" si="138"/>
        <v>438</v>
      </c>
      <c r="V1234">
        <v>4</v>
      </c>
      <c r="W1234" t="s">
        <v>3053</v>
      </c>
      <c r="X1234" s="3" t="s">
        <v>3947</v>
      </c>
      <c r="Y1234" s="3">
        <f t="shared" si="139"/>
        <v>45077</v>
      </c>
      <c r="Z1234">
        <v>0.55020000000000002</v>
      </c>
    </row>
    <row r="1235" spans="1:26" x14ac:dyDescent="0.35">
      <c r="A1235" t="s">
        <v>1240</v>
      </c>
      <c r="B1235" t="str">
        <f t="shared" si="133"/>
        <v>OK</v>
      </c>
      <c r="C1235" t="s">
        <v>2724</v>
      </c>
      <c r="D1235" s="2">
        <v>21</v>
      </c>
      <c r="E1235">
        <f>IF(OR(D1235&lt;18, D1235&gt;100),AD1234,D1235)</f>
        <v>21</v>
      </c>
      <c r="F1235" t="s">
        <v>2990</v>
      </c>
      <c r="G1235" t="str">
        <f t="shared" si="134"/>
        <v>Male</v>
      </c>
      <c r="H1235" t="s">
        <v>3000</v>
      </c>
      <c r="I1235" t="s">
        <v>3020</v>
      </c>
      <c r="K1235" t="str">
        <f t="shared" si="135"/>
        <v>Self-Employed</v>
      </c>
      <c r="L1235">
        <v>3</v>
      </c>
      <c r="N1235">
        <f t="shared" si="136"/>
        <v>1333224</v>
      </c>
      <c r="O1235">
        <v>446009</v>
      </c>
      <c r="P1235">
        <v>20.260000000000002</v>
      </c>
      <c r="Q1235">
        <v>12</v>
      </c>
      <c r="R1235" t="s">
        <v>3050</v>
      </c>
      <c r="S1235" t="str">
        <f t="shared" si="137"/>
        <v>Agriculture</v>
      </c>
      <c r="T1235">
        <v>740</v>
      </c>
      <c r="U1235">
        <f t="shared" si="138"/>
        <v>740</v>
      </c>
      <c r="V1235">
        <v>6</v>
      </c>
      <c r="W1235" t="s">
        <v>3052</v>
      </c>
      <c r="X1235" s="3" t="s">
        <v>3948</v>
      </c>
      <c r="Y1235" s="3">
        <f t="shared" si="139"/>
        <v>44024</v>
      </c>
      <c r="Z1235">
        <v>1.0385</v>
      </c>
    </row>
    <row r="1236" spans="1:26" x14ac:dyDescent="0.35">
      <c r="A1236" t="s">
        <v>1241</v>
      </c>
      <c r="B1236" t="str">
        <f t="shared" si="133"/>
        <v>OK</v>
      </c>
      <c r="C1236" t="s">
        <v>2725</v>
      </c>
      <c r="D1236" s="2">
        <v>22</v>
      </c>
      <c r="E1236">
        <f>IF(OR(D1236&lt;18, D1236&gt;100),AD1235,D1236)</f>
        <v>22</v>
      </c>
      <c r="G1236" t="str">
        <f t="shared" si="134"/>
        <v>Unknown</v>
      </c>
      <c r="H1236" t="s">
        <v>3003</v>
      </c>
      <c r="I1236" t="s">
        <v>3019</v>
      </c>
      <c r="K1236" t="str">
        <f t="shared" si="135"/>
        <v>Employed</v>
      </c>
      <c r="L1236">
        <v>7</v>
      </c>
      <c r="M1236">
        <v>2272101</v>
      </c>
      <c r="N1236">
        <f t="shared" si="136"/>
        <v>2272101</v>
      </c>
      <c r="O1236">
        <v>298466</v>
      </c>
      <c r="P1236">
        <v>11.97</v>
      </c>
      <c r="Q1236">
        <v>24</v>
      </c>
      <c r="R1236" t="s">
        <v>3050</v>
      </c>
      <c r="S1236" t="str">
        <f t="shared" si="137"/>
        <v>Agriculture</v>
      </c>
      <c r="T1236">
        <v>779</v>
      </c>
      <c r="U1236">
        <f t="shared" si="138"/>
        <v>779</v>
      </c>
      <c r="V1236">
        <v>3</v>
      </c>
      <c r="W1236" t="s">
        <v>3057</v>
      </c>
      <c r="X1236" s="3" t="s">
        <v>3828</v>
      </c>
      <c r="Y1236" s="3">
        <f t="shared" si="139"/>
        <v>43982</v>
      </c>
      <c r="Z1236">
        <v>0.13139999999999999</v>
      </c>
    </row>
    <row r="1237" spans="1:26" x14ac:dyDescent="0.35">
      <c r="A1237" t="s">
        <v>1242</v>
      </c>
      <c r="B1237" t="str">
        <f t="shared" si="133"/>
        <v>OK</v>
      </c>
      <c r="C1237" t="s">
        <v>2726</v>
      </c>
      <c r="D1237" s="2">
        <v>46</v>
      </c>
      <c r="E1237">
        <f>IF(OR(D1237&lt;18, D1237&gt;100),AD1236,D1237)</f>
        <v>46</v>
      </c>
      <c r="F1237" t="s">
        <v>2990</v>
      </c>
      <c r="G1237" t="str">
        <f t="shared" si="134"/>
        <v>Male</v>
      </c>
      <c r="H1237" t="s">
        <v>2999</v>
      </c>
      <c r="I1237" t="s">
        <v>3018</v>
      </c>
      <c r="K1237" t="str">
        <f t="shared" si="135"/>
        <v>Business Owner</v>
      </c>
      <c r="L1237">
        <v>26</v>
      </c>
      <c r="M1237">
        <v>841616</v>
      </c>
      <c r="N1237">
        <f t="shared" si="136"/>
        <v>841616</v>
      </c>
      <c r="O1237">
        <v>716454</v>
      </c>
      <c r="P1237">
        <v>10.66</v>
      </c>
      <c r="Q1237">
        <v>24</v>
      </c>
      <c r="R1237" t="s">
        <v>3050</v>
      </c>
      <c r="S1237" t="str">
        <f t="shared" si="137"/>
        <v>Agriculture</v>
      </c>
      <c r="T1237">
        <v>679</v>
      </c>
      <c r="U1237">
        <f t="shared" si="138"/>
        <v>679</v>
      </c>
      <c r="V1237">
        <v>6</v>
      </c>
      <c r="W1237" t="s">
        <v>3054</v>
      </c>
      <c r="X1237" s="3" t="s">
        <v>3915</v>
      </c>
      <c r="Y1237" s="3">
        <f t="shared" si="139"/>
        <v>44800</v>
      </c>
      <c r="Z1237">
        <v>0.85129999999999995</v>
      </c>
    </row>
    <row r="1238" spans="1:26" x14ac:dyDescent="0.35">
      <c r="A1238" t="s">
        <v>1243</v>
      </c>
      <c r="B1238" t="str">
        <f t="shared" si="133"/>
        <v>OK</v>
      </c>
      <c r="C1238" t="s">
        <v>2727</v>
      </c>
      <c r="D1238" s="2">
        <v>55</v>
      </c>
      <c r="E1238">
        <f>IF(OR(D1238&lt;18, D1238&gt;100),AD1237,D1238)</f>
        <v>55</v>
      </c>
      <c r="F1238" t="s">
        <v>2992</v>
      </c>
      <c r="G1238" t="str">
        <f t="shared" si="134"/>
        <v>Female</v>
      </c>
      <c r="H1238" t="s">
        <v>3000</v>
      </c>
      <c r="I1238" t="s">
        <v>3020</v>
      </c>
      <c r="K1238" t="str">
        <f t="shared" si="135"/>
        <v>Self-Employed</v>
      </c>
      <c r="L1238">
        <v>5</v>
      </c>
      <c r="M1238">
        <v>1652178</v>
      </c>
      <c r="N1238">
        <f t="shared" si="136"/>
        <v>1652178</v>
      </c>
      <c r="O1238">
        <v>294597</v>
      </c>
      <c r="P1238">
        <v>19.190000000000001</v>
      </c>
      <c r="Q1238">
        <v>48</v>
      </c>
      <c r="R1238" t="s">
        <v>3049</v>
      </c>
      <c r="S1238" t="str">
        <f t="shared" si="137"/>
        <v>Business</v>
      </c>
      <c r="T1238">
        <v>332</v>
      </c>
      <c r="U1238">
        <f t="shared" si="138"/>
        <v>332</v>
      </c>
      <c r="V1238">
        <v>5</v>
      </c>
      <c r="W1238" t="s">
        <v>3057</v>
      </c>
      <c r="X1238" s="3" t="s">
        <v>3949</v>
      </c>
      <c r="Y1238" s="3">
        <f t="shared" si="139"/>
        <v>44034</v>
      </c>
      <c r="Z1238">
        <v>0.17829999999999999</v>
      </c>
    </row>
    <row r="1239" spans="1:26" x14ac:dyDescent="0.35">
      <c r="A1239" t="s">
        <v>1244</v>
      </c>
      <c r="B1239" t="str">
        <f t="shared" si="133"/>
        <v>OK</v>
      </c>
      <c r="C1239" t="s">
        <v>2728</v>
      </c>
      <c r="D1239" s="2">
        <v>26</v>
      </c>
      <c r="E1239">
        <f>IF(OR(D1239&lt;18, D1239&gt;100),AD1238,D1239)</f>
        <v>26</v>
      </c>
      <c r="F1239" t="s">
        <v>2990</v>
      </c>
      <c r="G1239" t="str">
        <f t="shared" si="134"/>
        <v>Male</v>
      </c>
      <c r="H1239" t="s">
        <v>3004</v>
      </c>
      <c r="I1239" t="s">
        <v>3021</v>
      </c>
      <c r="K1239" t="str">
        <f t="shared" si="135"/>
        <v>Unemployed</v>
      </c>
      <c r="L1239">
        <v>7</v>
      </c>
      <c r="M1239">
        <v>2330224</v>
      </c>
      <c r="N1239">
        <f t="shared" si="136"/>
        <v>2330224</v>
      </c>
      <c r="O1239">
        <v>444390</v>
      </c>
      <c r="P1239">
        <v>19.28</v>
      </c>
      <c r="Q1239">
        <v>48</v>
      </c>
      <c r="R1239" t="s">
        <v>3050</v>
      </c>
      <c r="S1239" t="str">
        <f t="shared" si="137"/>
        <v>Agriculture</v>
      </c>
      <c r="U1239">
        <f t="shared" si="138"/>
        <v>556</v>
      </c>
      <c r="V1239">
        <v>3</v>
      </c>
      <c r="W1239" t="s">
        <v>3054</v>
      </c>
      <c r="X1239" s="3" t="s">
        <v>3446</v>
      </c>
      <c r="Y1239" s="3">
        <f t="shared" si="139"/>
        <v>44822</v>
      </c>
      <c r="Z1239">
        <v>0.19070000000000001</v>
      </c>
    </row>
    <row r="1240" spans="1:26" x14ac:dyDescent="0.35">
      <c r="A1240" t="s">
        <v>1245</v>
      </c>
      <c r="B1240" t="str">
        <f t="shared" si="133"/>
        <v>OK</v>
      </c>
      <c r="C1240" t="s">
        <v>2729</v>
      </c>
      <c r="D1240" s="2">
        <v>53</v>
      </c>
      <c r="E1240">
        <f>IF(OR(D1240&lt;18, D1240&gt;100),AD1239,D1240)</f>
        <v>53</v>
      </c>
      <c r="F1240" t="s">
        <v>2990</v>
      </c>
      <c r="G1240" t="str">
        <f t="shared" si="134"/>
        <v>Male</v>
      </c>
      <c r="H1240" t="s">
        <v>2999</v>
      </c>
      <c r="I1240" t="s">
        <v>3018</v>
      </c>
      <c r="K1240" t="str">
        <f t="shared" si="135"/>
        <v>Business Owner</v>
      </c>
      <c r="L1240">
        <v>18</v>
      </c>
      <c r="M1240">
        <v>361360</v>
      </c>
      <c r="N1240">
        <f t="shared" si="136"/>
        <v>361360</v>
      </c>
      <c r="O1240">
        <v>486755</v>
      </c>
      <c r="P1240">
        <v>26.14</v>
      </c>
      <c r="Q1240">
        <v>24</v>
      </c>
      <c r="R1240" t="s">
        <v>3046</v>
      </c>
      <c r="S1240" t="str">
        <f t="shared" si="137"/>
        <v>Medical</v>
      </c>
      <c r="T1240">
        <v>314</v>
      </c>
      <c r="U1240">
        <f t="shared" si="138"/>
        <v>314</v>
      </c>
      <c r="V1240">
        <v>2</v>
      </c>
      <c r="W1240" t="s">
        <v>3055</v>
      </c>
      <c r="X1240" s="3" t="s">
        <v>3950</v>
      </c>
      <c r="Y1240" s="3">
        <f t="shared" si="139"/>
        <v>44702</v>
      </c>
      <c r="Z1240">
        <v>1.347</v>
      </c>
    </row>
    <row r="1241" spans="1:26" x14ac:dyDescent="0.35">
      <c r="A1241" t="s">
        <v>1246</v>
      </c>
      <c r="B1241" t="str">
        <f t="shared" si="133"/>
        <v>OK</v>
      </c>
      <c r="C1241" t="s">
        <v>2730</v>
      </c>
      <c r="D1241" s="2">
        <v>33</v>
      </c>
      <c r="E1241">
        <f>IF(OR(D1241&lt;18, D1241&gt;100),AD1240,D1241)</f>
        <v>33</v>
      </c>
      <c r="F1241" t="s">
        <v>2992</v>
      </c>
      <c r="G1241" t="str">
        <f t="shared" si="134"/>
        <v>Female</v>
      </c>
      <c r="H1241" t="s">
        <v>2999</v>
      </c>
      <c r="K1241" t="str">
        <f t="shared" si="135"/>
        <v>Unknown</v>
      </c>
      <c r="L1241">
        <v>29</v>
      </c>
      <c r="M1241">
        <v>651082</v>
      </c>
      <c r="N1241">
        <f t="shared" si="136"/>
        <v>651082</v>
      </c>
      <c r="O1241">
        <v>413605</v>
      </c>
      <c r="P1241" t="s">
        <v>3041</v>
      </c>
      <c r="Q1241">
        <v>12</v>
      </c>
      <c r="R1241" t="s">
        <v>3046</v>
      </c>
      <c r="S1241" t="str">
        <f t="shared" si="137"/>
        <v>Medical</v>
      </c>
      <c r="T1241">
        <v>574</v>
      </c>
      <c r="U1241">
        <f t="shared" si="138"/>
        <v>574</v>
      </c>
      <c r="V1241">
        <v>2</v>
      </c>
      <c r="W1241" t="s">
        <v>3056</v>
      </c>
      <c r="X1241" s="3" t="s">
        <v>3951</v>
      </c>
      <c r="Y1241" s="3">
        <f t="shared" si="139"/>
        <v>44191</v>
      </c>
      <c r="Z1241">
        <v>0.63529999999999998</v>
      </c>
    </row>
    <row r="1242" spans="1:26" x14ac:dyDescent="0.35">
      <c r="A1242" t="s">
        <v>1247</v>
      </c>
      <c r="B1242" t="str">
        <f t="shared" si="133"/>
        <v>OK</v>
      </c>
      <c r="C1242" t="s">
        <v>2731</v>
      </c>
      <c r="D1242" s="2">
        <v>55</v>
      </c>
      <c r="E1242">
        <f>IF(OR(D1242&lt;18, D1242&gt;100),AD1241,D1242)</f>
        <v>55</v>
      </c>
      <c r="F1242" t="s">
        <v>2992</v>
      </c>
      <c r="G1242" t="str">
        <f t="shared" si="134"/>
        <v>Female</v>
      </c>
      <c r="H1242" t="s">
        <v>3002</v>
      </c>
      <c r="I1242" t="s">
        <v>3019</v>
      </c>
      <c r="K1242" t="str">
        <f t="shared" si="135"/>
        <v>Employed</v>
      </c>
      <c r="L1242">
        <v>1</v>
      </c>
      <c r="M1242">
        <v>807220</v>
      </c>
      <c r="N1242">
        <f t="shared" si="136"/>
        <v>807220</v>
      </c>
      <c r="O1242">
        <v>460880</v>
      </c>
      <c r="P1242">
        <v>18.16</v>
      </c>
      <c r="Q1242">
        <v>24</v>
      </c>
      <c r="R1242" t="s">
        <v>3051</v>
      </c>
      <c r="S1242" t="str">
        <f t="shared" si="137"/>
        <v>Education</v>
      </c>
      <c r="T1242">
        <v>477</v>
      </c>
      <c r="U1242">
        <f t="shared" si="138"/>
        <v>477</v>
      </c>
      <c r="V1242">
        <v>0</v>
      </c>
      <c r="W1242" t="s">
        <v>3052</v>
      </c>
      <c r="X1242" s="3" t="s">
        <v>3366</v>
      </c>
      <c r="Y1242" s="3">
        <f t="shared" si="139"/>
        <v>44728</v>
      </c>
      <c r="Z1242">
        <v>0.57089999999999996</v>
      </c>
    </row>
    <row r="1243" spans="1:26" x14ac:dyDescent="0.35">
      <c r="A1243" t="s">
        <v>1248</v>
      </c>
      <c r="B1243" t="str">
        <f t="shared" si="133"/>
        <v>OK</v>
      </c>
      <c r="C1243" t="s">
        <v>2732</v>
      </c>
      <c r="D1243" s="2">
        <v>57</v>
      </c>
      <c r="E1243">
        <f>IF(OR(D1243&lt;18, D1243&gt;100),AD1242,D1243)</f>
        <v>57</v>
      </c>
      <c r="G1243" t="str">
        <f t="shared" si="134"/>
        <v>Unknown</v>
      </c>
      <c r="H1243" t="s">
        <v>3001</v>
      </c>
      <c r="I1243" t="s">
        <v>3018</v>
      </c>
      <c r="K1243" t="str">
        <f t="shared" si="135"/>
        <v>Business Owner</v>
      </c>
      <c r="L1243">
        <v>24</v>
      </c>
      <c r="M1243">
        <v>1775476</v>
      </c>
      <c r="N1243">
        <f t="shared" si="136"/>
        <v>1775476</v>
      </c>
      <c r="O1243">
        <v>553459</v>
      </c>
      <c r="P1243">
        <v>26.61</v>
      </c>
      <c r="Q1243">
        <v>36</v>
      </c>
      <c r="R1243" t="s">
        <v>3046</v>
      </c>
      <c r="S1243" t="str">
        <f t="shared" si="137"/>
        <v>Medical</v>
      </c>
      <c r="T1243">
        <v>586</v>
      </c>
      <c r="U1243">
        <f t="shared" si="138"/>
        <v>586</v>
      </c>
      <c r="V1243">
        <v>6</v>
      </c>
      <c r="W1243" t="s">
        <v>3056</v>
      </c>
      <c r="X1243" s="3" t="s">
        <v>3952</v>
      </c>
      <c r="Y1243" s="3">
        <f t="shared" si="139"/>
        <v>45170</v>
      </c>
      <c r="Z1243">
        <v>0.31169999999999998</v>
      </c>
    </row>
    <row r="1244" spans="1:26" x14ac:dyDescent="0.35">
      <c r="A1244" t="s">
        <v>1249</v>
      </c>
      <c r="B1244" t="str">
        <f t="shared" si="133"/>
        <v>OK</v>
      </c>
      <c r="C1244" t="s">
        <v>2733</v>
      </c>
      <c r="D1244" s="2">
        <v>60</v>
      </c>
      <c r="E1244">
        <f>IF(OR(D1244&lt;18, D1244&gt;100),AD1243,D1244)</f>
        <v>60</v>
      </c>
      <c r="F1244" t="s">
        <v>2992</v>
      </c>
      <c r="G1244" t="str">
        <f t="shared" si="134"/>
        <v>Female</v>
      </c>
      <c r="H1244" t="s">
        <v>3003</v>
      </c>
      <c r="I1244" t="s">
        <v>3019</v>
      </c>
      <c r="K1244" t="str">
        <f t="shared" si="135"/>
        <v>Employed</v>
      </c>
      <c r="L1244">
        <v>0</v>
      </c>
      <c r="M1244">
        <v>2139310</v>
      </c>
      <c r="N1244">
        <f t="shared" si="136"/>
        <v>2139310</v>
      </c>
      <c r="O1244">
        <v>309662</v>
      </c>
      <c r="P1244">
        <v>14.13</v>
      </c>
      <c r="Q1244">
        <v>48</v>
      </c>
      <c r="R1244" t="s">
        <v>3046</v>
      </c>
      <c r="S1244" t="str">
        <f t="shared" si="137"/>
        <v>Medical</v>
      </c>
      <c r="T1244">
        <v>395</v>
      </c>
      <c r="U1244">
        <f t="shared" si="138"/>
        <v>395</v>
      </c>
      <c r="V1244">
        <v>2</v>
      </c>
      <c r="W1244" t="s">
        <v>3053</v>
      </c>
      <c r="X1244" s="3" t="s">
        <v>3373</v>
      </c>
      <c r="Y1244" s="3">
        <f t="shared" si="139"/>
        <v>45120</v>
      </c>
      <c r="Z1244">
        <v>0.1447</v>
      </c>
    </row>
    <row r="1245" spans="1:26" x14ac:dyDescent="0.35">
      <c r="A1245" t="s">
        <v>1250</v>
      </c>
      <c r="B1245" t="str">
        <f t="shared" si="133"/>
        <v>OK</v>
      </c>
      <c r="C1245" t="s">
        <v>2734</v>
      </c>
      <c r="D1245" s="2">
        <v>37</v>
      </c>
      <c r="E1245">
        <f>IF(OR(D1245&lt;18, D1245&gt;100),AD1244,D1245)</f>
        <v>37</v>
      </c>
      <c r="F1245" t="s">
        <v>2992</v>
      </c>
      <c r="G1245" t="str">
        <f t="shared" si="134"/>
        <v>Female</v>
      </c>
      <c r="H1245" t="s">
        <v>3000</v>
      </c>
      <c r="I1245" t="s">
        <v>3018</v>
      </c>
      <c r="K1245" t="str">
        <f t="shared" si="135"/>
        <v>Business Owner</v>
      </c>
      <c r="L1245">
        <v>13</v>
      </c>
      <c r="M1245">
        <v>2093722</v>
      </c>
      <c r="N1245">
        <f t="shared" si="136"/>
        <v>2093722</v>
      </c>
      <c r="O1245">
        <v>607520</v>
      </c>
      <c r="P1245">
        <v>11.08</v>
      </c>
      <c r="Q1245">
        <v>48</v>
      </c>
      <c r="R1245" t="s">
        <v>3051</v>
      </c>
      <c r="S1245" t="str">
        <f t="shared" si="137"/>
        <v>Education</v>
      </c>
      <c r="T1245">
        <v>432</v>
      </c>
      <c r="U1245">
        <f t="shared" si="138"/>
        <v>432</v>
      </c>
      <c r="V1245">
        <v>3</v>
      </c>
      <c r="W1245" t="s">
        <v>3055</v>
      </c>
      <c r="X1245" s="3" t="s">
        <v>3953</v>
      </c>
      <c r="Y1245" s="3">
        <f t="shared" si="139"/>
        <v>44533</v>
      </c>
      <c r="Z1245">
        <v>0.29020000000000001</v>
      </c>
    </row>
    <row r="1246" spans="1:26" x14ac:dyDescent="0.35">
      <c r="A1246" t="s">
        <v>1251</v>
      </c>
      <c r="B1246" t="str">
        <f t="shared" si="133"/>
        <v>OK</v>
      </c>
      <c r="C1246" t="s">
        <v>2735</v>
      </c>
      <c r="D1246" s="2">
        <v>48</v>
      </c>
      <c r="E1246">
        <f>IF(OR(D1246&lt;18, D1246&gt;100),AD1245,D1246)</f>
        <v>48</v>
      </c>
      <c r="F1246" t="s">
        <v>2993</v>
      </c>
      <c r="G1246" t="str">
        <f t="shared" si="134"/>
        <v>Male</v>
      </c>
      <c r="H1246" t="s">
        <v>2998</v>
      </c>
      <c r="I1246" t="s">
        <v>3018</v>
      </c>
      <c r="K1246" t="str">
        <f t="shared" si="135"/>
        <v>Business Owner</v>
      </c>
      <c r="L1246">
        <v>26</v>
      </c>
      <c r="M1246">
        <v>1408337</v>
      </c>
      <c r="N1246">
        <f t="shared" si="136"/>
        <v>1408337</v>
      </c>
      <c r="O1246">
        <v>64816</v>
      </c>
      <c r="P1246">
        <v>18.829999999999998</v>
      </c>
      <c r="Q1246">
        <v>36</v>
      </c>
      <c r="R1246" t="s">
        <v>3051</v>
      </c>
      <c r="S1246" t="str">
        <f t="shared" si="137"/>
        <v>Education</v>
      </c>
      <c r="T1246">
        <v>849</v>
      </c>
      <c r="U1246">
        <f t="shared" si="138"/>
        <v>849</v>
      </c>
      <c r="V1246">
        <v>6</v>
      </c>
      <c r="W1246" t="s">
        <v>3055</v>
      </c>
      <c r="X1246" s="3" t="s">
        <v>3954</v>
      </c>
      <c r="Y1246" s="3">
        <f t="shared" si="139"/>
        <v>44529</v>
      </c>
      <c r="Z1246">
        <v>4.5999999999999999E-2</v>
      </c>
    </row>
    <row r="1247" spans="1:26" x14ac:dyDescent="0.35">
      <c r="A1247" t="s">
        <v>1252</v>
      </c>
      <c r="B1247" t="str">
        <f t="shared" si="133"/>
        <v>OK</v>
      </c>
      <c r="C1247" t="s">
        <v>2736</v>
      </c>
      <c r="D1247" s="2">
        <v>21</v>
      </c>
      <c r="E1247">
        <f>IF(OR(D1247&lt;18, D1247&gt;100),AD1246,D1247)</f>
        <v>21</v>
      </c>
      <c r="F1247" t="s">
        <v>2992</v>
      </c>
      <c r="G1247" t="str">
        <f t="shared" si="134"/>
        <v>Female</v>
      </c>
      <c r="H1247" t="s">
        <v>2998</v>
      </c>
      <c r="I1247" t="s">
        <v>3021</v>
      </c>
      <c r="K1247" t="str">
        <f t="shared" si="135"/>
        <v>Unemployed</v>
      </c>
      <c r="L1247">
        <v>3</v>
      </c>
      <c r="M1247">
        <v>583082</v>
      </c>
      <c r="N1247">
        <f t="shared" si="136"/>
        <v>583082</v>
      </c>
      <c r="O1247">
        <v>370373</v>
      </c>
      <c r="P1247">
        <v>10.49</v>
      </c>
      <c r="Q1247">
        <v>12</v>
      </c>
      <c r="R1247" t="s">
        <v>3046</v>
      </c>
      <c r="S1247" t="str">
        <f t="shared" si="137"/>
        <v>Medical</v>
      </c>
      <c r="T1247">
        <v>457</v>
      </c>
      <c r="U1247">
        <f t="shared" si="138"/>
        <v>457</v>
      </c>
      <c r="V1247">
        <v>0</v>
      </c>
      <c r="W1247" t="s">
        <v>3052</v>
      </c>
      <c r="X1247" s="3" t="s">
        <v>3167</v>
      </c>
      <c r="Y1247" s="3">
        <f t="shared" si="139"/>
        <v>44108</v>
      </c>
      <c r="Z1247">
        <v>0.63519999999999999</v>
      </c>
    </row>
    <row r="1248" spans="1:26" x14ac:dyDescent="0.35">
      <c r="A1248" t="s">
        <v>1253</v>
      </c>
      <c r="B1248" t="str">
        <f t="shared" si="133"/>
        <v>OK</v>
      </c>
      <c r="C1248" t="s">
        <v>2737</v>
      </c>
      <c r="D1248" s="2">
        <v>27</v>
      </c>
      <c r="E1248">
        <f>IF(OR(D1248&lt;18, D1248&gt;100),AD1247,D1248)</f>
        <v>27</v>
      </c>
      <c r="F1248" t="s">
        <v>2990</v>
      </c>
      <c r="G1248" t="str">
        <f t="shared" si="134"/>
        <v>Male</v>
      </c>
      <c r="H1248" t="s">
        <v>3003</v>
      </c>
      <c r="I1248" t="s">
        <v>3020</v>
      </c>
      <c r="K1248" t="str">
        <f t="shared" si="135"/>
        <v>Self-Employed</v>
      </c>
      <c r="L1248">
        <v>1</v>
      </c>
      <c r="M1248">
        <v>1256941</v>
      </c>
      <c r="N1248">
        <f t="shared" si="136"/>
        <v>1256941</v>
      </c>
      <c r="O1248">
        <v>308213</v>
      </c>
      <c r="P1248">
        <v>9.35</v>
      </c>
      <c r="Q1248">
        <v>12</v>
      </c>
      <c r="R1248" t="s">
        <v>3051</v>
      </c>
      <c r="S1248" t="str">
        <f t="shared" si="137"/>
        <v>Education</v>
      </c>
      <c r="T1248">
        <v>411</v>
      </c>
      <c r="U1248">
        <f t="shared" si="138"/>
        <v>411</v>
      </c>
      <c r="V1248">
        <v>7</v>
      </c>
      <c r="W1248" t="s">
        <v>3055</v>
      </c>
      <c r="X1248" s="3" t="s">
        <v>3955</v>
      </c>
      <c r="Y1248" s="3">
        <f t="shared" si="139"/>
        <v>44616</v>
      </c>
      <c r="Z1248">
        <v>0.2452</v>
      </c>
    </row>
    <row r="1249" spans="1:26" x14ac:dyDescent="0.35">
      <c r="A1249" t="s">
        <v>1254</v>
      </c>
      <c r="B1249" t="str">
        <f t="shared" si="133"/>
        <v>OK</v>
      </c>
      <c r="C1249" t="s">
        <v>2738</v>
      </c>
      <c r="D1249" s="2">
        <v>30</v>
      </c>
      <c r="E1249">
        <f>IF(OR(D1249&lt;18, D1249&gt;100),AD1248,D1249)</f>
        <v>30</v>
      </c>
      <c r="F1249" t="s">
        <v>2992</v>
      </c>
      <c r="G1249" t="str">
        <f t="shared" si="134"/>
        <v>Female</v>
      </c>
      <c r="H1249" t="s">
        <v>3005</v>
      </c>
      <c r="I1249" t="s">
        <v>3021</v>
      </c>
      <c r="K1249" t="str">
        <f t="shared" si="135"/>
        <v>Unemployed</v>
      </c>
      <c r="L1249">
        <v>11</v>
      </c>
      <c r="M1249">
        <v>1706534</v>
      </c>
      <c r="N1249">
        <f t="shared" si="136"/>
        <v>1706534</v>
      </c>
      <c r="O1249">
        <v>707490</v>
      </c>
      <c r="P1249">
        <v>25.14</v>
      </c>
      <c r="Q1249">
        <v>24</v>
      </c>
      <c r="R1249" t="s">
        <v>3049</v>
      </c>
      <c r="S1249" t="str">
        <f t="shared" si="137"/>
        <v>Business</v>
      </c>
      <c r="T1249">
        <v>573</v>
      </c>
      <c r="U1249">
        <f t="shared" si="138"/>
        <v>573</v>
      </c>
      <c r="V1249">
        <v>0</v>
      </c>
      <c r="W1249" t="s">
        <v>3057</v>
      </c>
      <c r="X1249" s="3" t="s">
        <v>3956</v>
      </c>
      <c r="Y1249" s="3">
        <f t="shared" si="139"/>
        <v>44936</v>
      </c>
      <c r="Z1249">
        <v>0.41460000000000002</v>
      </c>
    </row>
    <row r="1250" spans="1:26" x14ac:dyDescent="0.35">
      <c r="A1250" t="s">
        <v>1255</v>
      </c>
      <c r="B1250" t="str">
        <f t="shared" si="133"/>
        <v>OK</v>
      </c>
      <c r="C1250" t="s">
        <v>2739</v>
      </c>
      <c r="D1250" s="2">
        <v>43</v>
      </c>
      <c r="E1250">
        <f>IF(OR(D1250&lt;18, D1250&gt;100),AD1249,D1250)</f>
        <v>43</v>
      </c>
      <c r="F1250" t="s">
        <v>2990</v>
      </c>
      <c r="G1250" t="str">
        <f t="shared" si="134"/>
        <v>Male</v>
      </c>
      <c r="H1250" t="s">
        <v>3005</v>
      </c>
      <c r="I1250" t="s">
        <v>3018</v>
      </c>
      <c r="K1250" t="str">
        <f t="shared" si="135"/>
        <v>Business Owner</v>
      </c>
      <c r="L1250">
        <v>24</v>
      </c>
      <c r="M1250">
        <v>699165</v>
      </c>
      <c r="N1250">
        <f t="shared" si="136"/>
        <v>699165</v>
      </c>
      <c r="O1250">
        <v>718802</v>
      </c>
      <c r="P1250">
        <v>17.510000000000002</v>
      </c>
      <c r="Q1250">
        <v>24</v>
      </c>
      <c r="R1250" t="s">
        <v>3047</v>
      </c>
      <c r="S1250" t="str">
        <f t="shared" si="137"/>
        <v>Personal</v>
      </c>
      <c r="T1250">
        <v>369</v>
      </c>
      <c r="U1250">
        <f t="shared" si="138"/>
        <v>369</v>
      </c>
      <c r="V1250">
        <v>6</v>
      </c>
      <c r="W1250" t="s">
        <v>3055</v>
      </c>
      <c r="X1250" s="3" t="s">
        <v>3628</v>
      </c>
      <c r="Y1250" s="3">
        <f t="shared" si="139"/>
        <v>44017</v>
      </c>
      <c r="Z1250">
        <v>1.0281</v>
      </c>
    </row>
    <row r="1251" spans="1:26" x14ac:dyDescent="0.35">
      <c r="A1251" t="s">
        <v>1256</v>
      </c>
      <c r="B1251" t="str">
        <f t="shared" si="133"/>
        <v>OK</v>
      </c>
      <c r="C1251" t="s">
        <v>2740</v>
      </c>
      <c r="D1251" s="2">
        <v>37</v>
      </c>
      <c r="E1251">
        <f>IF(OR(D1251&lt;18, D1251&gt;100),AD1250,D1251)</f>
        <v>37</v>
      </c>
      <c r="F1251" t="s">
        <v>2990</v>
      </c>
      <c r="G1251" t="str">
        <f t="shared" si="134"/>
        <v>Male</v>
      </c>
      <c r="H1251" t="s">
        <v>2999</v>
      </c>
      <c r="I1251" t="s">
        <v>3021</v>
      </c>
      <c r="K1251" t="str">
        <f t="shared" si="135"/>
        <v>Unemployed</v>
      </c>
      <c r="L1251">
        <v>28</v>
      </c>
      <c r="M1251">
        <v>1701466</v>
      </c>
      <c r="N1251">
        <f t="shared" si="136"/>
        <v>1701466</v>
      </c>
      <c r="O1251">
        <v>435466</v>
      </c>
      <c r="P1251">
        <v>15.27</v>
      </c>
      <c r="Q1251">
        <v>24</v>
      </c>
      <c r="R1251" t="s">
        <v>3048</v>
      </c>
      <c r="S1251" t="str">
        <f t="shared" si="137"/>
        <v>Home Improvement</v>
      </c>
      <c r="U1251">
        <f t="shared" si="138"/>
        <v>556</v>
      </c>
      <c r="V1251">
        <v>5</v>
      </c>
      <c r="W1251" t="s">
        <v>3055</v>
      </c>
      <c r="X1251" s="3" t="s">
        <v>3957</v>
      </c>
      <c r="Y1251" s="3">
        <f t="shared" si="139"/>
        <v>44119</v>
      </c>
      <c r="Z1251">
        <v>0.25590000000000002</v>
      </c>
    </row>
    <row r="1252" spans="1:26" x14ac:dyDescent="0.35">
      <c r="A1252" t="s">
        <v>1257</v>
      </c>
      <c r="B1252" t="str">
        <f t="shared" si="133"/>
        <v>OK</v>
      </c>
      <c r="C1252" t="s">
        <v>2741</v>
      </c>
      <c r="D1252" s="2">
        <v>43</v>
      </c>
      <c r="E1252">
        <f>IF(OR(D1252&lt;18, D1252&gt;100),AD1251,D1252)</f>
        <v>43</v>
      </c>
      <c r="F1252" t="s">
        <v>2992</v>
      </c>
      <c r="G1252" t="str">
        <f t="shared" si="134"/>
        <v>Female</v>
      </c>
      <c r="H1252" t="s">
        <v>3004</v>
      </c>
      <c r="I1252" t="s">
        <v>3021</v>
      </c>
      <c r="K1252" t="str">
        <f t="shared" si="135"/>
        <v>Unemployed</v>
      </c>
      <c r="L1252">
        <v>4</v>
      </c>
      <c r="M1252">
        <v>776387</v>
      </c>
      <c r="N1252">
        <f t="shared" si="136"/>
        <v>776387</v>
      </c>
      <c r="O1252">
        <v>731195</v>
      </c>
      <c r="P1252">
        <v>16.149999999999999</v>
      </c>
      <c r="Q1252">
        <v>48</v>
      </c>
      <c r="R1252" t="s">
        <v>3051</v>
      </c>
      <c r="S1252" t="str">
        <f t="shared" si="137"/>
        <v>Education</v>
      </c>
      <c r="T1252">
        <v>626</v>
      </c>
      <c r="U1252">
        <f t="shared" si="138"/>
        <v>626</v>
      </c>
      <c r="V1252">
        <v>0</v>
      </c>
      <c r="W1252" t="s">
        <v>3057</v>
      </c>
      <c r="X1252" s="3" t="s">
        <v>3146</v>
      </c>
      <c r="Y1252" s="3">
        <f t="shared" si="139"/>
        <v>44935</v>
      </c>
      <c r="Z1252">
        <v>0.94179999999999997</v>
      </c>
    </row>
    <row r="1253" spans="1:26" x14ac:dyDescent="0.35">
      <c r="A1253" t="s">
        <v>1258</v>
      </c>
      <c r="B1253" t="str">
        <f t="shared" si="133"/>
        <v>OK</v>
      </c>
      <c r="C1253" t="s">
        <v>2742</v>
      </c>
      <c r="D1253" s="2">
        <v>59</v>
      </c>
      <c r="E1253">
        <f>IF(OR(D1253&lt;18, D1253&gt;100),AD1252,D1253)</f>
        <v>59</v>
      </c>
      <c r="F1253" t="s">
        <v>2992</v>
      </c>
      <c r="G1253" t="str">
        <f t="shared" si="134"/>
        <v>Female</v>
      </c>
      <c r="H1253" t="s">
        <v>2999</v>
      </c>
      <c r="I1253" t="s">
        <v>3021</v>
      </c>
      <c r="K1253" t="str">
        <f t="shared" si="135"/>
        <v>Unemployed</v>
      </c>
      <c r="L1253">
        <v>15</v>
      </c>
      <c r="M1253">
        <v>834037</v>
      </c>
      <c r="N1253">
        <f t="shared" si="136"/>
        <v>834037</v>
      </c>
      <c r="O1253">
        <v>299067</v>
      </c>
      <c r="P1253">
        <v>23.14</v>
      </c>
      <c r="Q1253">
        <v>12</v>
      </c>
      <c r="R1253" t="s">
        <v>3046</v>
      </c>
      <c r="S1253" t="str">
        <f t="shared" si="137"/>
        <v>Medical</v>
      </c>
      <c r="T1253">
        <v>319</v>
      </c>
      <c r="U1253">
        <f t="shared" si="138"/>
        <v>319</v>
      </c>
      <c r="V1253">
        <v>2</v>
      </c>
      <c r="W1253" t="s">
        <v>3056</v>
      </c>
      <c r="X1253" s="3" t="s">
        <v>3958</v>
      </c>
      <c r="Y1253" s="3">
        <f t="shared" si="139"/>
        <v>44789</v>
      </c>
      <c r="Z1253">
        <v>0.35859999999999997</v>
      </c>
    </row>
    <row r="1254" spans="1:26" x14ac:dyDescent="0.35">
      <c r="A1254" t="s">
        <v>1259</v>
      </c>
      <c r="B1254" t="str">
        <f t="shared" si="133"/>
        <v>OK</v>
      </c>
      <c r="C1254" t="s">
        <v>2743</v>
      </c>
      <c r="D1254" s="2">
        <v>21</v>
      </c>
      <c r="E1254">
        <f>IF(OR(D1254&lt;18, D1254&gt;100),AD1253,D1254)</f>
        <v>21</v>
      </c>
      <c r="F1254" t="s">
        <v>2990</v>
      </c>
      <c r="G1254" t="str">
        <f t="shared" si="134"/>
        <v>Male</v>
      </c>
      <c r="H1254" t="s">
        <v>3005</v>
      </c>
      <c r="I1254" t="s">
        <v>3018</v>
      </c>
      <c r="K1254" t="str">
        <f t="shared" si="135"/>
        <v>Business Owner</v>
      </c>
      <c r="L1254">
        <v>3</v>
      </c>
      <c r="M1254">
        <v>1793374</v>
      </c>
      <c r="N1254">
        <f t="shared" si="136"/>
        <v>1793374</v>
      </c>
      <c r="O1254">
        <v>611271</v>
      </c>
      <c r="P1254">
        <v>18.649999999999999</v>
      </c>
      <c r="Q1254">
        <v>12</v>
      </c>
      <c r="R1254" t="s">
        <v>3047</v>
      </c>
      <c r="S1254" t="str">
        <f t="shared" si="137"/>
        <v>Personal</v>
      </c>
      <c r="T1254">
        <v>366</v>
      </c>
      <c r="U1254">
        <f t="shared" si="138"/>
        <v>366</v>
      </c>
      <c r="V1254">
        <v>4</v>
      </c>
      <c r="W1254" t="s">
        <v>3055</v>
      </c>
      <c r="X1254" s="3" t="s">
        <v>3894</v>
      </c>
      <c r="Y1254" s="3">
        <f t="shared" si="139"/>
        <v>45188</v>
      </c>
      <c r="Z1254">
        <v>0.34079999999999999</v>
      </c>
    </row>
    <row r="1255" spans="1:26" x14ac:dyDescent="0.35">
      <c r="A1255" t="s">
        <v>1260</v>
      </c>
      <c r="B1255" t="str">
        <f t="shared" si="133"/>
        <v>OK</v>
      </c>
      <c r="C1255" t="s">
        <v>2744</v>
      </c>
      <c r="D1255" s="2">
        <v>22</v>
      </c>
      <c r="E1255">
        <f>IF(OR(D1255&lt;18, D1255&gt;100),AD1254,D1255)</f>
        <v>22</v>
      </c>
      <c r="F1255" t="s">
        <v>2992</v>
      </c>
      <c r="G1255" t="str">
        <f t="shared" si="134"/>
        <v>Female</v>
      </c>
      <c r="H1255" t="s">
        <v>3007</v>
      </c>
      <c r="I1255" t="s">
        <v>3019</v>
      </c>
      <c r="K1255" t="str">
        <f t="shared" si="135"/>
        <v>Employed</v>
      </c>
      <c r="L1255">
        <v>17</v>
      </c>
      <c r="M1255">
        <v>933704</v>
      </c>
      <c r="N1255">
        <f t="shared" si="136"/>
        <v>933704</v>
      </c>
      <c r="O1255">
        <v>309360</v>
      </c>
      <c r="P1255">
        <v>24.05</v>
      </c>
      <c r="Q1255">
        <v>48</v>
      </c>
      <c r="R1255" t="s">
        <v>3051</v>
      </c>
      <c r="S1255" t="str">
        <f t="shared" si="137"/>
        <v>Education</v>
      </c>
      <c r="T1255">
        <v>362</v>
      </c>
      <c r="U1255">
        <f t="shared" si="138"/>
        <v>362</v>
      </c>
      <c r="V1255">
        <v>6</v>
      </c>
      <c r="W1255" t="s">
        <v>3056</v>
      </c>
      <c r="X1255" s="3" t="s">
        <v>3959</v>
      </c>
      <c r="Y1255" s="3">
        <f t="shared" si="139"/>
        <v>44135</v>
      </c>
      <c r="Z1255">
        <v>0.33129999999999998</v>
      </c>
    </row>
    <row r="1256" spans="1:26" x14ac:dyDescent="0.35">
      <c r="A1256" t="s">
        <v>1261</v>
      </c>
      <c r="B1256" t="str">
        <f t="shared" si="133"/>
        <v>OK</v>
      </c>
      <c r="C1256" t="s">
        <v>2745</v>
      </c>
      <c r="D1256" s="2">
        <v>22</v>
      </c>
      <c r="E1256">
        <f>IF(OR(D1256&lt;18, D1256&gt;100),AD1255,D1256)</f>
        <v>22</v>
      </c>
      <c r="F1256" t="s">
        <v>2992</v>
      </c>
      <c r="G1256" t="str">
        <f t="shared" si="134"/>
        <v>Female</v>
      </c>
      <c r="H1256" t="s">
        <v>3011</v>
      </c>
      <c r="I1256" t="s">
        <v>3021</v>
      </c>
      <c r="K1256" t="str">
        <f t="shared" si="135"/>
        <v>Unemployed</v>
      </c>
      <c r="L1256">
        <v>0</v>
      </c>
      <c r="M1256">
        <v>1323647</v>
      </c>
      <c r="N1256">
        <f t="shared" si="136"/>
        <v>1323647</v>
      </c>
      <c r="O1256">
        <v>515654</v>
      </c>
      <c r="P1256">
        <v>11.64</v>
      </c>
      <c r="Q1256">
        <v>48</v>
      </c>
      <c r="R1256" t="s">
        <v>3049</v>
      </c>
      <c r="S1256" t="str">
        <f t="shared" si="137"/>
        <v>Business</v>
      </c>
      <c r="T1256">
        <v>667</v>
      </c>
      <c r="U1256">
        <f t="shared" si="138"/>
        <v>667</v>
      </c>
      <c r="V1256">
        <v>3</v>
      </c>
      <c r="W1256" t="s">
        <v>3057</v>
      </c>
      <c r="X1256" s="3" t="s">
        <v>3673</v>
      </c>
      <c r="Y1256" s="3">
        <f t="shared" si="139"/>
        <v>44666</v>
      </c>
      <c r="Z1256">
        <v>0.3896</v>
      </c>
    </row>
    <row r="1257" spans="1:26" x14ac:dyDescent="0.35">
      <c r="A1257" t="s">
        <v>1262</v>
      </c>
      <c r="B1257" t="str">
        <f t="shared" si="133"/>
        <v>OK</v>
      </c>
      <c r="C1257" t="s">
        <v>2746</v>
      </c>
      <c r="D1257" s="2">
        <v>36</v>
      </c>
      <c r="E1257">
        <f>IF(OR(D1257&lt;18, D1257&gt;100),AD1256,D1257)</f>
        <v>36</v>
      </c>
      <c r="F1257" t="s">
        <v>2992</v>
      </c>
      <c r="G1257" t="str">
        <f t="shared" si="134"/>
        <v>Female</v>
      </c>
      <c r="H1257" t="s">
        <v>3002</v>
      </c>
      <c r="I1257" t="s">
        <v>3018</v>
      </c>
      <c r="K1257" t="str">
        <f t="shared" si="135"/>
        <v>Business Owner</v>
      </c>
      <c r="L1257">
        <v>4</v>
      </c>
      <c r="M1257">
        <v>2241774</v>
      </c>
      <c r="N1257">
        <f t="shared" si="136"/>
        <v>2241774</v>
      </c>
      <c r="O1257">
        <v>283625</v>
      </c>
      <c r="P1257">
        <v>13.05</v>
      </c>
      <c r="Q1257">
        <v>60</v>
      </c>
      <c r="R1257" t="s">
        <v>3048</v>
      </c>
      <c r="S1257" t="str">
        <f t="shared" si="137"/>
        <v>Home Improvement</v>
      </c>
      <c r="T1257">
        <v>644</v>
      </c>
      <c r="U1257">
        <f t="shared" si="138"/>
        <v>644</v>
      </c>
      <c r="V1257">
        <v>1</v>
      </c>
      <c r="W1257" t="s">
        <v>3055</v>
      </c>
      <c r="X1257" s="3" t="s">
        <v>3960</v>
      </c>
      <c r="Y1257" s="3">
        <f t="shared" si="139"/>
        <v>44104</v>
      </c>
      <c r="Z1257">
        <v>0.1265</v>
      </c>
    </row>
    <row r="1258" spans="1:26" x14ac:dyDescent="0.35">
      <c r="A1258" t="s">
        <v>395</v>
      </c>
      <c r="B1258" t="str">
        <f t="shared" si="133"/>
        <v>OK</v>
      </c>
      <c r="C1258" t="s">
        <v>1885</v>
      </c>
      <c r="D1258" s="2">
        <v>59</v>
      </c>
      <c r="E1258">
        <f>IF(OR(D1258&lt;18, D1258&gt;100),AD1257,D1258)</f>
        <v>59</v>
      </c>
      <c r="F1258" t="s">
        <v>2992</v>
      </c>
      <c r="G1258" t="str">
        <f t="shared" si="134"/>
        <v>Female</v>
      </c>
      <c r="H1258" t="s">
        <v>3001</v>
      </c>
      <c r="I1258" t="s">
        <v>3021</v>
      </c>
      <c r="K1258" t="str">
        <f t="shared" si="135"/>
        <v>Unemployed</v>
      </c>
      <c r="L1258">
        <v>8</v>
      </c>
      <c r="M1258">
        <v>516585</v>
      </c>
      <c r="N1258">
        <f t="shared" si="136"/>
        <v>516585</v>
      </c>
      <c r="O1258">
        <v>452995</v>
      </c>
      <c r="P1258">
        <v>17.86</v>
      </c>
      <c r="Q1258">
        <v>24</v>
      </c>
      <c r="R1258" t="s">
        <v>3046</v>
      </c>
      <c r="S1258" t="str">
        <f t="shared" si="137"/>
        <v>Medical</v>
      </c>
      <c r="T1258">
        <v>462</v>
      </c>
      <c r="U1258">
        <f t="shared" si="138"/>
        <v>462</v>
      </c>
      <c r="V1258">
        <v>4</v>
      </c>
      <c r="W1258" t="s">
        <v>3056</v>
      </c>
      <c r="X1258" s="3" t="s">
        <v>3961</v>
      </c>
      <c r="Y1258" s="3">
        <f t="shared" si="139"/>
        <v>45040</v>
      </c>
      <c r="Z1258">
        <v>0.87690000000000001</v>
      </c>
    </row>
    <row r="1259" spans="1:26" x14ac:dyDescent="0.35">
      <c r="A1259" t="s">
        <v>1263</v>
      </c>
      <c r="B1259" t="str">
        <f t="shared" si="133"/>
        <v>OK</v>
      </c>
      <c r="C1259" t="s">
        <v>2747</v>
      </c>
      <c r="D1259" s="2">
        <v>24</v>
      </c>
      <c r="E1259">
        <f>IF(OR(D1259&lt;18, D1259&gt;100),AD1258,D1259)</f>
        <v>24</v>
      </c>
      <c r="F1259" t="s">
        <v>2990</v>
      </c>
      <c r="G1259" t="str">
        <f t="shared" si="134"/>
        <v>Male</v>
      </c>
      <c r="H1259" t="s">
        <v>2999</v>
      </c>
      <c r="I1259" t="s">
        <v>3020</v>
      </c>
      <c r="K1259" t="str">
        <f t="shared" si="135"/>
        <v>Self-Employed</v>
      </c>
      <c r="L1259">
        <v>12</v>
      </c>
      <c r="M1259">
        <v>1863505</v>
      </c>
      <c r="N1259">
        <f t="shared" si="136"/>
        <v>1863505</v>
      </c>
      <c r="O1259">
        <v>706915</v>
      </c>
      <c r="P1259">
        <v>8.8000000000000007</v>
      </c>
      <c r="Q1259">
        <v>36</v>
      </c>
      <c r="R1259" t="s">
        <v>3046</v>
      </c>
      <c r="S1259" t="str">
        <f t="shared" si="137"/>
        <v>Medical</v>
      </c>
      <c r="T1259">
        <v>833</v>
      </c>
      <c r="U1259">
        <f t="shared" si="138"/>
        <v>833</v>
      </c>
      <c r="V1259">
        <v>0</v>
      </c>
      <c r="W1259" t="s">
        <v>3054</v>
      </c>
      <c r="X1259" s="3" t="s">
        <v>3962</v>
      </c>
      <c r="Y1259" s="3">
        <f t="shared" si="139"/>
        <v>44163</v>
      </c>
      <c r="Z1259">
        <v>0.37930000000000003</v>
      </c>
    </row>
    <row r="1260" spans="1:26" x14ac:dyDescent="0.35">
      <c r="A1260" t="s">
        <v>1264</v>
      </c>
      <c r="B1260" t="str">
        <f t="shared" si="133"/>
        <v>OK</v>
      </c>
      <c r="C1260" t="s">
        <v>2748</v>
      </c>
      <c r="D1260" s="2">
        <v>32</v>
      </c>
      <c r="E1260">
        <f>IF(OR(D1260&lt;18, D1260&gt;100),AD1259,D1260)</f>
        <v>32</v>
      </c>
      <c r="F1260" t="s">
        <v>2990</v>
      </c>
      <c r="G1260" t="str">
        <f t="shared" si="134"/>
        <v>Male</v>
      </c>
      <c r="H1260" t="s">
        <v>3003</v>
      </c>
      <c r="K1260" t="str">
        <f t="shared" si="135"/>
        <v>Unknown</v>
      </c>
      <c r="L1260">
        <v>9</v>
      </c>
      <c r="M1260">
        <v>1615177</v>
      </c>
      <c r="N1260">
        <f t="shared" si="136"/>
        <v>1615177</v>
      </c>
      <c r="O1260">
        <v>732509</v>
      </c>
      <c r="P1260">
        <v>22.94</v>
      </c>
      <c r="Q1260">
        <v>24</v>
      </c>
      <c r="R1260" t="s">
        <v>3051</v>
      </c>
      <c r="S1260" t="str">
        <f t="shared" si="137"/>
        <v>Education</v>
      </c>
      <c r="T1260">
        <v>680</v>
      </c>
      <c r="U1260">
        <f t="shared" si="138"/>
        <v>680</v>
      </c>
      <c r="V1260">
        <v>7</v>
      </c>
      <c r="W1260" t="s">
        <v>3054</v>
      </c>
      <c r="X1260" s="3" t="s">
        <v>3963</v>
      </c>
      <c r="Y1260" s="3">
        <f t="shared" si="139"/>
        <v>44647</v>
      </c>
      <c r="Z1260">
        <v>0.45350000000000001</v>
      </c>
    </row>
    <row r="1261" spans="1:26" x14ac:dyDescent="0.35">
      <c r="A1261" t="s">
        <v>1265</v>
      </c>
      <c r="B1261" t="str">
        <f t="shared" si="133"/>
        <v>OK</v>
      </c>
      <c r="C1261" t="s">
        <v>2749</v>
      </c>
      <c r="D1261" s="2">
        <v>27</v>
      </c>
      <c r="E1261">
        <f>IF(OR(D1261&lt;18, D1261&gt;100),AD1260,D1261)</f>
        <v>27</v>
      </c>
      <c r="F1261" t="s">
        <v>2992</v>
      </c>
      <c r="G1261" t="str">
        <f t="shared" si="134"/>
        <v>Female</v>
      </c>
      <c r="H1261" t="s">
        <v>3000</v>
      </c>
      <c r="I1261" t="s">
        <v>3020</v>
      </c>
      <c r="K1261" t="str">
        <f t="shared" si="135"/>
        <v>Self-Employed</v>
      </c>
      <c r="L1261">
        <v>5</v>
      </c>
      <c r="M1261">
        <v>582980</v>
      </c>
      <c r="N1261">
        <f t="shared" si="136"/>
        <v>582980</v>
      </c>
      <c r="O1261">
        <v>136841</v>
      </c>
      <c r="P1261">
        <v>13.54</v>
      </c>
      <c r="Q1261">
        <v>60</v>
      </c>
      <c r="R1261" t="s">
        <v>3049</v>
      </c>
      <c r="S1261" t="str">
        <f t="shared" si="137"/>
        <v>Business</v>
      </c>
      <c r="U1261">
        <f t="shared" si="138"/>
        <v>556</v>
      </c>
      <c r="V1261">
        <v>4</v>
      </c>
      <c r="W1261" t="s">
        <v>3057</v>
      </c>
      <c r="X1261" s="3" t="s">
        <v>3388</v>
      </c>
      <c r="Y1261" s="3">
        <f t="shared" si="139"/>
        <v>44344</v>
      </c>
      <c r="Z1261">
        <v>0.23469999999999999</v>
      </c>
    </row>
    <row r="1262" spans="1:26" x14ac:dyDescent="0.35">
      <c r="A1262" t="s">
        <v>1266</v>
      </c>
      <c r="B1262" t="str">
        <f t="shared" si="133"/>
        <v>OK</v>
      </c>
      <c r="C1262" t="s">
        <v>2750</v>
      </c>
      <c r="D1262" s="2">
        <v>44</v>
      </c>
      <c r="E1262">
        <f>IF(OR(D1262&lt;18, D1262&gt;100),AD1261,D1262)</f>
        <v>44</v>
      </c>
      <c r="F1262" t="s">
        <v>2990</v>
      </c>
      <c r="G1262" t="str">
        <f t="shared" si="134"/>
        <v>Male</v>
      </c>
      <c r="H1262" t="s">
        <v>3002</v>
      </c>
      <c r="I1262" t="s">
        <v>3020</v>
      </c>
      <c r="K1262" t="str">
        <f t="shared" si="135"/>
        <v>Self-Employed</v>
      </c>
      <c r="L1262">
        <v>4</v>
      </c>
      <c r="M1262">
        <v>407286</v>
      </c>
      <c r="N1262">
        <f t="shared" si="136"/>
        <v>407286</v>
      </c>
      <c r="O1262">
        <v>402736</v>
      </c>
      <c r="P1262">
        <v>15.75</v>
      </c>
      <c r="Q1262">
        <v>60</v>
      </c>
      <c r="R1262" t="s">
        <v>3047</v>
      </c>
      <c r="S1262" t="str">
        <f t="shared" si="137"/>
        <v>Personal</v>
      </c>
      <c r="U1262">
        <f t="shared" si="138"/>
        <v>556</v>
      </c>
      <c r="V1262">
        <v>5</v>
      </c>
      <c r="W1262" t="s">
        <v>3056</v>
      </c>
      <c r="X1262" s="3" t="s">
        <v>3964</v>
      </c>
      <c r="Y1262" s="3">
        <f t="shared" si="139"/>
        <v>44165</v>
      </c>
      <c r="Z1262">
        <v>0.98880000000000001</v>
      </c>
    </row>
    <row r="1263" spans="1:26" x14ac:dyDescent="0.35">
      <c r="A1263" t="s">
        <v>1267</v>
      </c>
      <c r="B1263" t="str">
        <f t="shared" si="133"/>
        <v>OK</v>
      </c>
      <c r="C1263" t="s">
        <v>2751</v>
      </c>
      <c r="D1263" s="2">
        <v>64</v>
      </c>
      <c r="E1263">
        <f>IF(OR(D1263&lt;18, D1263&gt;100),AD1262,D1263)</f>
        <v>64</v>
      </c>
      <c r="F1263" t="s">
        <v>2990</v>
      </c>
      <c r="G1263" t="str">
        <f t="shared" si="134"/>
        <v>Male</v>
      </c>
      <c r="H1263" t="s">
        <v>3000</v>
      </c>
      <c r="I1263" t="s">
        <v>3021</v>
      </c>
      <c r="K1263" t="str">
        <f t="shared" si="135"/>
        <v>Unemployed</v>
      </c>
      <c r="L1263">
        <v>24</v>
      </c>
      <c r="M1263">
        <v>947524</v>
      </c>
      <c r="N1263">
        <f t="shared" si="136"/>
        <v>947524</v>
      </c>
      <c r="O1263">
        <v>268724</v>
      </c>
      <c r="P1263">
        <v>21.82</v>
      </c>
      <c r="Q1263">
        <v>12</v>
      </c>
      <c r="R1263" t="s">
        <v>3048</v>
      </c>
      <c r="S1263" t="str">
        <f t="shared" si="137"/>
        <v>Home Improvement</v>
      </c>
      <c r="T1263">
        <v>399</v>
      </c>
      <c r="U1263">
        <f t="shared" si="138"/>
        <v>399</v>
      </c>
      <c r="V1263">
        <v>0</v>
      </c>
      <c r="W1263" t="s">
        <v>3053</v>
      </c>
      <c r="X1263" s="3" t="s">
        <v>3854</v>
      </c>
      <c r="Y1263" s="3">
        <f t="shared" si="139"/>
        <v>44444</v>
      </c>
      <c r="Z1263">
        <v>0.28360000000000002</v>
      </c>
    </row>
    <row r="1264" spans="1:26" x14ac:dyDescent="0.35">
      <c r="A1264" t="s">
        <v>1268</v>
      </c>
      <c r="B1264" t="str">
        <f t="shared" si="133"/>
        <v>OK</v>
      </c>
      <c r="C1264" t="s">
        <v>2752</v>
      </c>
      <c r="D1264" s="2">
        <v>46</v>
      </c>
      <c r="E1264">
        <f>IF(OR(D1264&lt;18, D1264&gt;100),AD1263,D1264)</f>
        <v>46</v>
      </c>
      <c r="F1264" t="s">
        <v>2992</v>
      </c>
      <c r="G1264" t="str">
        <f t="shared" si="134"/>
        <v>Female</v>
      </c>
      <c r="H1264" t="s">
        <v>3002</v>
      </c>
      <c r="I1264" t="s">
        <v>3020</v>
      </c>
      <c r="K1264" t="str">
        <f t="shared" si="135"/>
        <v>Self-Employed</v>
      </c>
      <c r="L1264">
        <v>11</v>
      </c>
      <c r="M1264">
        <v>1338423</v>
      </c>
      <c r="N1264">
        <f t="shared" si="136"/>
        <v>1338423</v>
      </c>
      <c r="O1264">
        <v>231509</v>
      </c>
      <c r="P1264">
        <v>8.9</v>
      </c>
      <c r="Q1264">
        <v>36</v>
      </c>
      <c r="R1264" t="s">
        <v>3047</v>
      </c>
      <c r="S1264" t="str">
        <f t="shared" si="137"/>
        <v>Personal</v>
      </c>
      <c r="T1264">
        <v>501</v>
      </c>
      <c r="U1264">
        <f t="shared" si="138"/>
        <v>501</v>
      </c>
      <c r="V1264">
        <v>6</v>
      </c>
      <c r="W1264" t="s">
        <v>3055</v>
      </c>
      <c r="X1264" s="3" t="s">
        <v>3965</v>
      </c>
      <c r="Y1264" s="3">
        <f t="shared" si="139"/>
        <v>45144</v>
      </c>
      <c r="Z1264">
        <v>0.17299999999999999</v>
      </c>
    </row>
    <row r="1265" spans="1:26" x14ac:dyDescent="0.35">
      <c r="A1265" t="s">
        <v>1269</v>
      </c>
      <c r="B1265" t="str">
        <f t="shared" si="133"/>
        <v>OK</v>
      </c>
      <c r="C1265" t="s">
        <v>2753</v>
      </c>
      <c r="D1265" s="2">
        <v>47</v>
      </c>
      <c r="E1265">
        <f>IF(OR(D1265&lt;18, D1265&gt;100),AD1264,D1265)</f>
        <v>47</v>
      </c>
      <c r="F1265" t="s">
        <v>2990</v>
      </c>
      <c r="G1265" t="str">
        <f t="shared" si="134"/>
        <v>Male</v>
      </c>
      <c r="H1265" t="s">
        <v>3005</v>
      </c>
      <c r="I1265" t="s">
        <v>3018</v>
      </c>
      <c r="K1265" t="str">
        <f t="shared" si="135"/>
        <v>Business Owner</v>
      </c>
      <c r="L1265">
        <v>20</v>
      </c>
      <c r="M1265">
        <v>1423131</v>
      </c>
      <c r="N1265">
        <f t="shared" si="136"/>
        <v>1423131</v>
      </c>
      <c r="O1265">
        <v>757954</v>
      </c>
      <c r="P1265">
        <v>16.68</v>
      </c>
      <c r="Q1265">
        <v>36</v>
      </c>
      <c r="R1265" t="s">
        <v>3051</v>
      </c>
      <c r="S1265" t="str">
        <f t="shared" si="137"/>
        <v>Education</v>
      </c>
      <c r="T1265">
        <v>481</v>
      </c>
      <c r="U1265">
        <f t="shared" si="138"/>
        <v>481</v>
      </c>
      <c r="V1265">
        <v>6</v>
      </c>
      <c r="W1265" t="s">
        <v>3055</v>
      </c>
      <c r="X1265" s="3" t="s">
        <v>3222</v>
      </c>
      <c r="Y1265" s="3">
        <f t="shared" si="139"/>
        <v>45139</v>
      </c>
      <c r="Z1265">
        <v>0.53259999999999996</v>
      </c>
    </row>
    <row r="1266" spans="1:26" x14ac:dyDescent="0.35">
      <c r="A1266" t="s">
        <v>1270</v>
      </c>
      <c r="B1266" t="str">
        <f t="shared" si="133"/>
        <v>OK</v>
      </c>
      <c r="C1266" t="s">
        <v>2754</v>
      </c>
      <c r="D1266" s="2">
        <v>56</v>
      </c>
      <c r="E1266">
        <f>IF(OR(D1266&lt;18, D1266&gt;100),AD1265,D1266)</f>
        <v>56</v>
      </c>
      <c r="F1266" t="s">
        <v>2992</v>
      </c>
      <c r="G1266" t="str">
        <f t="shared" si="134"/>
        <v>Female</v>
      </c>
      <c r="H1266" t="s">
        <v>3002</v>
      </c>
      <c r="I1266" t="s">
        <v>3018</v>
      </c>
      <c r="K1266" t="str">
        <f t="shared" si="135"/>
        <v>Business Owner</v>
      </c>
      <c r="L1266">
        <v>22</v>
      </c>
      <c r="M1266">
        <v>1110491</v>
      </c>
      <c r="N1266">
        <f t="shared" si="136"/>
        <v>1110491</v>
      </c>
      <c r="O1266">
        <v>484028</v>
      </c>
      <c r="P1266">
        <v>11.41</v>
      </c>
      <c r="Q1266">
        <v>60</v>
      </c>
      <c r="R1266" t="s">
        <v>3048</v>
      </c>
      <c r="S1266" t="str">
        <f t="shared" si="137"/>
        <v>Home Improvement</v>
      </c>
      <c r="T1266">
        <v>601</v>
      </c>
      <c r="U1266">
        <f t="shared" si="138"/>
        <v>601</v>
      </c>
      <c r="V1266">
        <v>4</v>
      </c>
      <c r="W1266" t="s">
        <v>3055</v>
      </c>
      <c r="X1266" s="3" t="s">
        <v>3966</v>
      </c>
      <c r="Y1266" s="3">
        <f t="shared" si="139"/>
        <v>45118</v>
      </c>
      <c r="Z1266">
        <v>0.43590000000000001</v>
      </c>
    </row>
    <row r="1267" spans="1:26" x14ac:dyDescent="0.35">
      <c r="A1267" t="s">
        <v>1271</v>
      </c>
      <c r="B1267" t="str">
        <f t="shared" si="133"/>
        <v>OK</v>
      </c>
      <c r="C1267" t="s">
        <v>2755</v>
      </c>
      <c r="D1267" s="2">
        <v>50</v>
      </c>
      <c r="E1267">
        <f>IF(OR(D1267&lt;18, D1267&gt;100),AD1266,D1267)</f>
        <v>50</v>
      </c>
      <c r="F1267" t="s">
        <v>2990</v>
      </c>
      <c r="G1267" t="str">
        <f t="shared" si="134"/>
        <v>Male</v>
      </c>
      <c r="H1267" t="s">
        <v>3006</v>
      </c>
      <c r="I1267" t="s">
        <v>3020</v>
      </c>
      <c r="K1267" t="str">
        <f t="shared" si="135"/>
        <v>Self-Employed</v>
      </c>
      <c r="L1267">
        <v>11</v>
      </c>
      <c r="M1267">
        <v>2266213</v>
      </c>
      <c r="N1267">
        <f t="shared" si="136"/>
        <v>2266213</v>
      </c>
      <c r="O1267">
        <v>465376</v>
      </c>
      <c r="P1267">
        <v>24.11</v>
      </c>
      <c r="Q1267">
        <v>48</v>
      </c>
      <c r="R1267" t="s">
        <v>3048</v>
      </c>
      <c r="S1267" t="str">
        <f t="shared" si="137"/>
        <v>Home Improvement</v>
      </c>
      <c r="T1267">
        <v>383</v>
      </c>
      <c r="U1267">
        <f t="shared" si="138"/>
        <v>383</v>
      </c>
      <c r="V1267">
        <v>6</v>
      </c>
      <c r="W1267" t="s">
        <v>3052</v>
      </c>
      <c r="X1267" s="3" t="s">
        <v>3967</v>
      </c>
      <c r="Y1267" s="3">
        <f t="shared" si="139"/>
        <v>45069</v>
      </c>
      <c r="Z1267">
        <v>0.2054</v>
      </c>
    </row>
    <row r="1268" spans="1:26" x14ac:dyDescent="0.35">
      <c r="A1268" t="s">
        <v>1272</v>
      </c>
      <c r="B1268" t="str">
        <f t="shared" si="133"/>
        <v>OK</v>
      </c>
      <c r="C1268" t="s">
        <v>2756</v>
      </c>
      <c r="D1268" s="2">
        <v>58</v>
      </c>
      <c r="E1268">
        <f>IF(OR(D1268&lt;18, D1268&gt;100),AD1267,D1268)</f>
        <v>58</v>
      </c>
      <c r="F1268" t="s">
        <v>2990</v>
      </c>
      <c r="G1268" t="str">
        <f t="shared" si="134"/>
        <v>Male</v>
      </c>
      <c r="H1268" t="s">
        <v>3002</v>
      </c>
      <c r="I1268" t="s">
        <v>3021</v>
      </c>
      <c r="K1268" t="str">
        <f t="shared" si="135"/>
        <v>Unemployed</v>
      </c>
      <c r="L1268">
        <v>0</v>
      </c>
      <c r="M1268">
        <v>1656402</v>
      </c>
      <c r="N1268">
        <f t="shared" si="136"/>
        <v>1656402</v>
      </c>
      <c r="O1268">
        <v>759538</v>
      </c>
      <c r="P1268">
        <v>9.3800000000000008</v>
      </c>
      <c r="Q1268">
        <v>36</v>
      </c>
      <c r="R1268" t="s">
        <v>3049</v>
      </c>
      <c r="S1268" t="str">
        <f t="shared" si="137"/>
        <v>Business</v>
      </c>
      <c r="T1268">
        <v>716</v>
      </c>
      <c r="U1268">
        <f t="shared" si="138"/>
        <v>716</v>
      </c>
      <c r="V1268">
        <v>0</v>
      </c>
      <c r="W1268" t="s">
        <v>3053</v>
      </c>
      <c r="X1268" s="3" t="s">
        <v>3639</v>
      </c>
      <c r="Y1268" s="3">
        <f t="shared" si="139"/>
        <v>44420</v>
      </c>
      <c r="Z1268">
        <v>0.45850000000000002</v>
      </c>
    </row>
    <row r="1269" spans="1:26" x14ac:dyDescent="0.35">
      <c r="A1269" t="s">
        <v>1273</v>
      </c>
      <c r="B1269" t="str">
        <f t="shared" si="133"/>
        <v>OK</v>
      </c>
      <c r="C1269" t="s">
        <v>2757</v>
      </c>
      <c r="D1269" s="2">
        <v>30</v>
      </c>
      <c r="E1269">
        <f>IF(OR(D1269&lt;18, D1269&gt;100),AD1268,D1269)</f>
        <v>30</v>
      </c>
      <c r="F1269" t="s">
        <v>2992</v>
      </c>
      <c r="G1269" t="str">
        <f t="shared" si="134"/>
        <v>Female</v>
      </c>
      <c r="H1269" t="s">
        <v>3000</v>
      </c>
      <c r="I1269" t="s">
        <v>3020</v>
      </c>
      <c r="K1269" t="str">
        <f t="shared" si="135"/>
        <v>Self-Employed</v>
      </c>
      <c r="L1269">
        <v>26</v>
      </c>
      <c r="M1269">
        <v>1900856</v>
      </c>
      <c r="N1269">
        <f t="shared" si="136"/>
        <v>1900856</v>
      </c>
      <c r="O1269">
        <v>90305</v>
      </c>
      <c r="P1269">
        <v>8.51</v>
      </c>
      <c r="Q1269">
        <v>36</v>
      </c>
      <c r="R1269" t="s">
        <v>3048</v>
      </c>
      <c r="S1269" t="str">
        <f t="shared" si="137"/>
        <v>Home Improvement</v>
      </c>
      <c r="T1269">
        <v>438</v>
      </c>
      <c r="U1269">
        <f t="shared" si="138"/>
        <v>438</v>
      </c>
      <c r="V1269">
        <v>6</v>
      </c>
      <c r="W1269" t="s">
        <v>3056</v>
      </c>
      <c r="X1269" s="3" t="s">
        <v>3687</v>
      </c>
      <c r="Y1269" s="3">
        <f t="shared" si="139"/>
        <v>45009</v>
      </c>
      <c r="Z1269">
        <v>4.7500000000000001E-2</v>
      </c>
    </row>
    <row r="1270" spans="1:26" x14ac:dyDescent="0.35">
      <c r="A1270" t="s">
        <v>1274</v>
      </c>
      <c r="B1270" t="str">
        <f t="shared" si="133"/>
        <v>OK</v>
      </c>
      <c r="C1270" t="s">
        <v>2758</v>
      </c>
      <c r="D1270" s="2">
        <v>58</v>
      </c>
      <c r="E1270">
        <f>IF(OR(D1270&lt;18, D1270&gt;100),AD1269,D1270)</f>
        <v>58</v>
      </c>
      <c r="F1270" t="s">
        <v>2992</v>
      </c>
      <c r="G1270" t="str">
        <f t="shared" si="134"/>
        <v>Female</v>
      </c>
      <c r="H1270" t="s">
        <v>3006</v>
      </c>
      <c r="I1270" t="s">
        <v>3020</v>
      </c>
      <c r="K1270" t="str">
        <f t="shared" si="135"/>
        <v>Self-Employed</v>
      </c>
      <c r="L1270">
        <v>12</v>
      </c>
      <c r="M1270">
        <v>594600</v>
      </c>
      <c r="N1270">
        <f t="shared" si="136"/>
        <v>594600</v>
      </c>
      <c r="O1270">
        <v>373076</v>
      </c>
      <c r="P1270">
        <v>17.72</v>
      </c>
      <c r="Q1270">
        <v>60</v>
      </c>
      <c r="S1270" t="str">
        <f t="shared" si="137"/>
        <v>Unknown</v>
      </c>
      <c r="T1270">
        <v>312</v>
      </c>
      <c r="U1270">
        <f t="shared" si="138"/>
        <v>312</v>
      </c>
      <c r="V1270">
        <v>7</v>
      </c>
      <c r="W1270" t="s">
        <v>3053</v>
      </c>
      <c r="X1270" s="3" t="s">
        <v>3968</v>
      </c>
      <c r="Y1270" s="3">
        <f t="shared" si="139"/>
        <v>44085</v>
      </c>
      <c r="Z1270">
        <v>0.62739999999999996</v>
      </c>
    </row>
    <row r="1271" spans="1:26" x14ac:dyDescent="0.35">
      <c r="A1271" t="s">
        <v>1275</v>
      </c>
      <c r="B1271" t="str">
        <f t="shared" si="133"/>
        <v>OK</v>
      </c>
      <c r="C1271" t="s">
        <v>2759</v>
      </c>
      <c r="D1271" s="2">
        <v>28</v>
      </c>
      <c r="E1271">
        <f>IF(OR(D1271&lt;18, D1271&gt;100),AD1270,D1271)</f>
        <v>28</v>
      </c>
      <c r="F1271" t="s">
        <v>2992</v>
      </c>
      <c r="G1271" t="str">
        <f t="shared" si="134"/>
        <v>Female</v>
      </c>
      <c r="H1271" t="s">
        <v>3003</v>
      </c>
      <c r="I1271" t="s">
        <v>3019</v>
      </c>
      <c r="K1271" t="str">
        <f t="shared" si="135"/>
        <v>Employed</v>
      </c>
      <c r="L1271">
        <v>28</v>
      </c>
      <c r="M1271">
        <v>624191</v>
      </c>
      <c r="N1271">
        <f t="shared" si="136"/>
        <v>624191</v>
      </c>
      <c r="O1271">
        <v>387570</v>
      </c>
      <c r="P1271">
        <v>14.9</v>
      </c>
      <c r="Q1271">
        <v>60</v>
      </c>
      <c r="R1271" t="s">
        <v>3047</v>
      </c>
      <c r="S1271" t="str">
        <f t="shared" si="137"/>
        <v>Personal</v>
      </c>
      <c r="T1271">
        <v>591</v>
      </c>
      <c r="U1271">
        <f t="shared" si="138"/>
        <v>591</v>
      </c>
      <c r="V1271">
        <v>7</v>
      </c>
      <c r="W1271" t="s">
        <v>3053</v>
      </c>
      <c r="X1271" s="3" t="s">
        <v>3319</v>
      </c>
      <c r="Y1271" s="3">
        <f t="shared" si="139"/>
        <v>44280</v>
      </c>
      <c r="Z1271">
        <v>0.62090000000000001</v>
      </c>
    </row>
    <row r="1272" spans="1:26" x14ac:dyDescent="0.35">
      <c r="A1272" t="s">
        <v>1276</v>
      </c>
      <c r="B1272" t="str">
        <f t="shared" si="133"/>
        <v>OK</v>
      </c>
      <c r="C1272" t="s">
        <v>2760</v>
      </c>
      <c r="D1272" s="2">
        <v>44</v>
      </c>
      <c r="E1272">
        <f>IF(OR(D1272&lt;18, D1272&gt;100),AD1271,D1272)</f>
        <v>44</v>
      </c>
      <c r="F1272" t="s">
        <v>2990</v>
      </c>
      <c r="G1272" t="str">
        <f t="shared" si="134"/>
        <v>Male</v>
      </c>
      <c r="H1272" t="s">
        <v>3007</v>
      </c>
      <c r="I1272" t="s">
        <v>3021</v>
      </c>
      <c r="K1272" t="str">
        <f t="shared" si="135"/>
        <v>Unemployed</v>
      </c>
      <c r="L1272">
        <v>14</v>
      </c>
      <c r="M1272">
        <v>1247609</v>
      </c>
      <c r="N1272">
        <f t="shared" si="136"/>
        <v>1247609</v>
      </c>
      <c r="O1272">
        <v>420826</v>
      </c>
      <c r="P1272">
        <v>22.57</v>
      </c>
      <c r="Q1272">
        <v>24</v>
      </c>
      <c r="R1272" t="s">
        <v>3050</v>
      </c>
      <c r="S1272" t="str">
        <f t="shared" si="137"/>
        <v>Agriculture</v>
      </c>
      <c r="T1272">
        <v>742</v>
      </c>
      <c r="U1272">
        <f t="shared" si="138"/>
        <v>742</v>
      </c>
      <c r="V1272">
        <v>7</v>
      </c>
      <c r="W1272" t="s">
        <v>3057</v>
      </c>
      <c r="X1272" s="3" t="s">
        <v>3969</v>
      </c>
      <c r="Y1272" s="3">
        <v>45199</v>
      </c>
      <c r="Z1272">
        <v>0.33729999999999999</v>
      </c>
    </row>
    <row r="1273" spans="1:26" x14ac:dyDescent="0.35">
      <c r="A1273" t="s">
        <v>1277</v>
      </c>
      <c r="B1273" t="str">
        <f t="shared" si="133"/>
        <v>OK</v>
      </c>
      <c r="C1273" t="s">
        <v>2761</v>
      </c>
      <c r="D1273" s="2">
        <v>39</v>
      </c>
      <c r="E1273">
        <f>IF(OR(D1273&lt;18, D1273&gt;100),AD1272,D1273)</f>
        <v>39</v>
      </c>
      <c r="F1273" t="s">
        <v>2990</v>
      </c>
      <c r="G1273" t="str">
        <f t="shared" si="134"/>
        <v>Male</v>
      </c>
      <c r="H1273" t="s">
        <v>2999</v>
      </c>
      <c r="I1273" t="s">
        <v>3019</v>
      </c>
      <c r="K1273" t="str">
        <f t="shared" si="135"/>
        <v>Employed</v>
      </c>
      <c r="L1273">
        <v>25</v>
      </c>
      <c r="M1273">
        <v>1344795</v>
      </c>
      <c r="N1273">
        <f t="shared" si="136"/>
        <v>1344795</v>
      </c>
      <c r="O1273">
        <v>474151</v>
      </c>
      <c r="P1273">
        <v>14.98</v>
      </c>
      <c r="Q1273">
        <v>48</v>
      </c>
      <c r="R1273" t="s">
        <v>3051</v>
      </c>
      <c r="S1273" t="str">
        <f t="shared" si="137"/>
        <v>Education</v>
      </c>
      <c r="T1273">
        <v>785</v>
      </c>
      <c r="U1273">
        <f t="shared" si="138"/>
        <v>785</v>
      </c>
      <c r="V1273">
        <v>7</v>
      </c>
      <c r="W1273" t="s">
        <v>3053</v>
      </c>
      <c r="X1273" s="3" t="s">
        <v>3839</v>
      </c>
      <c r="Y1273" s="3">
        <f t="shared" si="139"/>
        <v>44396</v>
      </c>
      <c r="Z1273">
        <v>0.35260000000000002</v>
      </c>
    </row>
    <row r="1274" spans="1:26" x14ac:dyDescent="0.35">
      <c r="A1274" t="s">
        <v>1278</v>
      </c>
      <c r="B1274" t="str">
        <f t="shared" si="133"/>
        <v>OK</v>
      </c>
      <c r="C1274" t="s">
        <v>2762</v>
      </c>
      <c r="D1274" s="2">
        <v>54</v>
      </c>
      <c r="E1274">
        <f>IF(OR(D1274&lt;18, D1274&gt;100),AD1273,D1274)</f>
        <v>54</v>
      </c>
      <c r="F1274" t="s">
        <v>2992</v>
      </c>
      <c r="G1274" t="str">
        <f t="shared" si="134"/>
        <v>Female</v>
      </c>
      <c r="H1274" t="s">
        <v>3003</v>
      </c>
      <c r="I1274" t="s">
        <v>3019</v>
      </c>
      <c r="K1274" t="str">
        <f t="shared" si="135"/>
        <v>Employed</v>
      </c>
      <c r="L1274">
        <v>23</v>
      </c>
      <c r="M1274">
        <v>2080341</v>
      </c>
      <c r="N1274">
        <f t="shared" si="136"/>
        <v>2080341</v>
      </c>
      <c r="O1274">
        <v>342959</v>
      </c>
      <c r="P1274">
        <v>15.54</v>
      </c>
      <c r="Q1274">
        <v>12</v>
      </c>
      <c r="R1274" t="s">
        <v>3047</v>
      </c>
      <c r="S1274" t="str">
        <f t="shared" si="137"/>
        <v>Personal</v>
      </c>
      <c r="T1274">
        <v>366</v>
      </c>
      <c r="U1274">
        <f t="shared" si="138"/>
        <v>366</v>
      </c>
      <c r="V1274">
        <v>5</v>
      </c>
      <c r="W1274" t="s">
        <v>3054</v>
      </c>
      <c r="X1274" s="3" t="s">
        <v>3970</v>
      </c>
      <c r="Y1274" s="3">
        <f t="shared" si="139"/>
        <v>44036</v>
      </c>
      <c r="Z1274">
        <v>0.16489999999999999</v>
      </c>
    </row>
    <row r="1275" spans="1:26" x14ac:dyDescent="0.35">
      <c r="A1275" t="s">
        <v>1279</v>
      </c>
      <c r="B1275" t="str">
        <f t="shared" ref="B1275:B1337" si="140">IF(A1275="", "MISSING", "OK")</f>
        <v>OK</v>
      </c>
      <c r="C1275" t="s">
        <v>2763</v>
      </c>
      <c r="D1275" s="2">
        <v>53</v>
      </c>
      <c r="E1275">
        <f>IF(OR(D1275&lt;18, D1275&gt;100),AD1274,D1275)</f>
        <v>53</v>
      </c>
      <c r="F1275" t="s">
        <v>2992</v>
      </c>
      <c r="G1275" t="str">
        <f t="shared" si="134"/>
        <v>Female</v>
      </c>
      <c r="H1275" t="s">
        <v>2999</v>
      </c>
      <c r="I1275" t="s">
        <v>3021</v>
      </c>
      <c r="K1275" t="str">
        <f t="shared" si="135"/>
        <v>Unemployed</v>
      </c>
      <c r="L1275">
        <v>9</v>
      </c>
      <c r="M1275">
        <v>951148</v>
      </c>
      <c r="N1275">
        <f t="shared" si="136"/>
        <v>951148</v>
      </c>
      <c r="O1275">
        <v>702416</v>
      </c>
      <c r="P1275">
        <v>16.579999999999998</v>
      </c>
      <c r="Q1275">
        <v>36</v>
      </c>
      <c r="R1275" t="s">
        <v>3049</v>
      </c>
      <c r="S1275" t="str">
        <f t="shared" si="137"/>
        <v>Business</v>
      </c>
      <c r="T1275">
        <v>510</v>
      </c>
      <c r="U1275">
        <f t="shared" si="138"/>
        <v>510</v>
      </c>
      <c r="V1275">
        <v>3</v>
      </c>
      <c r="W1275" t="s">
        <v>3055</v>
      </c>
      <c r="X1275" s="3" t="s">
        <v>3916</v>
      </c>
      <c r="Y1275" s="3">
        <f t="shared" si="139"/>
        <v>44547</v>
      </c>
      <c r="Z1275">
        <v>0.73850000000000005</v>
      </c>
    </row>
    <row r="1276" spans="1:26" x14ac:dyDescent="0.35">
      <c r="A1276" t="s">
        <v>1280</v>
      </c>
      <c r="B1276" t="str">
        <f t="shared" si="140"/>
        <v>OK</v>
      </c>
      <c r="C1276" t="s">
        <v>2764</v>
      </c>
      <c r="D1276" s="2">
        <v>26</v>
      </c>
      <c r="E1276">
        <f>IF(OR(D1276&lt;18, D1276&gt;100),AD1275,D1276)</f>
        <v>26</v>
      </c>
      <c r="F1276" t="s">
        <v>2990</v>
      </c>
      <c r="G1276" t="str">
        <f t="shared" si="134"/>
        <v>Male</v>
      </c>
      <c r="H1276" t="s">
        <v>3000</v>
      </c>
      <c r="I1276" t="s">
        <v>3018</v>
      </c>
      <c r="K1276" t="str">
        <f t="shared" si="135"/>
        <v>Business Owner</v>
      </c>
      <c r="L1276">
        <v>8</v>
      </c>
      <c r="M1276">
        <v>1547223</v>
      </c>
      <c r="N1276">
        <f t="shared" si="136"/>
        <v>1547223</v>
      </c>
      <c r="O1276">
        <v>321014</v>
      </c>
      <c r="P1276">
        <v>26.94</v>
      </c>
      <c r="Q1276">
        <v>24</v>
      </c>
      <c r="R1276" t="s">
        <v>3049</v>
      </c>
      <c r="S1276" t="str">
        <f t="shared" si="137"/>
        <v>Business</v>
      </c>
      <c r="T1276">
        <v>819</v>
      </c>
      <c r="U1276">
        <f t="shared" si="138"/>
        <v>819</v>
      </c>
      <c r="V1276">
        <v>6</v>
      </c>
      <c r="W1276" t="s">
        <v>3055</v>
      </c>
      <c r="X1276" s="3" t="s">
        <v>3241</v>
      </c>
      <c r="Y1276" s="3">
        <f t="shared" si="139"/>
        <v>45027</v>
      </c>
      <c r="Z1276">
        <v>0.20749999999999999</v>
      </c>
    </row>
    <row r="1277" spans="1:26" x14ac:dyDescent="0.35">
      <c r="A1277" t="s">
        <v>1281</v>
      </c>
      <c r="B1277" t="str">
        <f t="shared" si="140"/>
        <v>OK</v>
      </c>
      <c r="C1277" t="s">
        <v>2765</v>
      </c>
      <c r="D1277" s="2">
        <v>43</v>
      </c>
      <c r="E1277">
        <f>IF(OR(D1277&lt;18, D1277&gt;100),AD1276,D1277)</f>
        <v>43</v>
      </c>
      <c r="F1277" t="s">
        <v>2992</v>
      </c>
      <c r="G1277" t="str">
        <f t="shared" si="134"/>
        <v>Female</v>
      </c>
      <c r="H1277" t="s">
        <v>2998</v>
      </c>
      <c r="I1277" t="s">
        <v>3021</v>
      </c>
      <c r="K1277" t="str">
        <f t="shared" si="135"/>
        <v>Unemployed</v>
      </c>
      <c r="L1277">
        <v>18</v>
      </c>
      <c r="M1277">
        <v>1049807</v>
      </c>
      <c r="N1277">
        <f t="shared" si="136"/>
        <v>1049807</v>
      </c>
      <c r="O1277">
        <v>124927</v>
      </c>
      <c r="P1277">
        <v>23.39</v>
      </c>
      <c r="Q1277">
        <v>60</v>
      </c>
      <c r="R1277" t="s">
        <v>3047</v>
      </c>
      <c r="S1277" t="str">
        <f t="shared" si="137"/>
        <v>Personal</v>
      </c>
      <c r="T1277">
        <v>322</v>
      </c>
      <c r="U1277">
        <f t="shared" si="138"/>
        <v>322</v>
      </c>
      <c r="V1277">
        <v>1</v>
      </c>
      <c r="W1277" t="s">
        <v>3056</v>
      </c>
      <c r="X1277" s="3" t="s">
        <v>3458</v>
      </c>
      <c r="Y1277" s="3">
        <f t="shared" si="139"/>
        <v>45232</v>
      </c>
      <c r="Z1277">
        <v>0.11899999999999999</v>
      </c>
    </row>
    <row r="1278" spans="1:26" x14ac:dyDescent="0.35">
      <c r="A1278" t="s">
        <v>1282</v>
      </c>
      <c r="B1278" t="str">
        <f t="shared" si="140"/>
        <v>OK</v>
      </c>
      <c r="C1278" t="s">
        <v>2766</v>
      </c>
      <c r="D1278" s="2">
        <v>29</v>
      </c>
      <c r="E1278">
        <f>IF(OR(D1278&lt;18, D1278&gt;100),AD1277,D1278)</f>
        <v>29</v>
      </c>
      <c r="F1278" t="s">
        <v>2992</v>
      </c>
      <c r="G1278" t="str">
        <f t="shared" si="134"/>
        <v>Female</v>
      </c>
      <c r="H1278" t="s">
        <v>3001</v>
      </c>
      <c r="I1278" t="s">
        <v>3019</v>
      </c>
      <c r="K1278" t="str">
        <f t="shared" si="135"/>
        <v>Employed</v>
      </c>
      <c r="L1278">
        <v>20</v>
      </c>
      <c r="M1278">
        <v>573574</v>
      </c>
      <c r="N1278">
        <f t="shared" si="136"/>
        <v>573574</v>
      </c>
      <c r="O1278">
        <v>544006</v>
      </c>
      <c r="P1278">
        <v>17.5</v>
      </c>
      <c r="Q1278">
        <v>12</v>
      </c>
      <c r="R1278" t="s">
        <v>3047</v>
      </c>
      <c r="S1278" t="str">
        <f t="shared" si="137"/>
        <v>Personal</v>
      </c>
      <c r="T1278">
        <v>619</v>
      </c>
      <c r="U1278">
        <f t="shared" si="138"/>
        <v>619</v>
      </c>
      <c r="V1278">
        <v>2</v>
      </c>
      <c r="W1278" t="s">
        <v>3055</v>
      </c>
      <c r="X1278" s="3" t="s">
        <v>3523</v>
      </c>
      <c r="Y1278" s="3">
        <f t="shared" si="139"/>
        <v>45099</v>
      </c>
      <c r="Z1278">
        <v>0.94840000000000002</v>
      </c>
    </row>
    <row r="1279" spans="1:26" x14ac:dyDescent="0.35">
      <c r="A1279" t="s">
        <v>1283</v>
      </c>
      <c r="B1279" t="str">
        <f t="shared" si="140"/>
        <v>OK</v>
      </c>
      <c r="C1279" t="s">
        <v>2767</v>
      </c>
      <c r="D1279" s="2">
        <v>55</v>
      </c>
      <c r="E1279">
        <f>IF(OR(D1279&lt;18, D1279&gt;100),AD1278,D1279)</f>
        <v>55</v>
      </c>
      <c r="F1279" t="s">
        <v>2992</v>
      </c>
      <c r="G1279" t="str">
        <f t="shared" si="134"/>
        <v>Female</v>
      </c>
      <c r="H1279" t="s">
        <v>3007</v>
      </c>
      <c r="I1279" t="s">
        <v>3020</v>
      </c>
      <c r="K1279" t="str">
        <f t="shared" si="135"/>
        <v>Self-Employed</v>
      </c>
      <c r="L1279">
        <v>7</v>
      </c>
      <c r="M1279">
        <v>1682337</v>
      </c>
      <c r="N1279">
        <f t="shared" si="136"/>
        <v>1682337</v>
      </c>
      <c r="O1279">
        <v>287986</v>
      </c>
      <c r="P1279">
        <v>8.6</v>
      </c>
      <c r="Q1279">
        <v>24</v>
      </c>
      <c r="R1279" t="s">
        <v>3049</v>
      </c>
      <c r="S1279" t="str">
        <f t="shared" si="137"/>
        <v>Business</v>
      </c>
      <c r="T1279">
        <v>644</v>
      </c>
      <c r="U1279">
        <f t="shared" si="138"/>
        <v>644</v>
      </c>
      <c r="V1279">
        <v>5</v>
      </c>
      <c r="W1279" t="s">
        <v>3053</v>
      </c>
      <c r="X1279" s="3" t="s">
        <v>3971</v>
      </c>
      <c r="Y1279" s="3">
        <f t="shared" si="139"/>
        <v>45233</v>
      </c>
      <c r="Z1279">
        <v>0.17119999999999999</v>
      </c>
    </row>
    <row r="1280" spans="1:26" x14ac:dyDescent="0.35">
      <c r="A1280" t="s">
        <v>1069</v>
      </c>
      <c r="B1280" t="str">
        <f t="shared" si="140"/>
        <v>OK</v>
      </c>
      <c r="C1280" t="s">
        <v>1849</v>
      </c>
      <c r="D1280" s="2">
        <v>46</v>
      </c>
      <c r="E1280">
        <f>IF(OR(D1280&lt;18, D1280&gt;100),AD1279,D1280)</f>
        <v>46</v>
      </c>
      <c r="F1280" t="s">
        <v>2990</v>
      </c>
      <c r="G1280" t="str">
        <f t="shared" si="134"/>
        <v>Male</v>
      </c>
      <c r="H1280" t="s">
        <v>3005</v>
      </c>
      <c r="I1280" t="s">
        <v>3018</v>
      </c>
      <c r="K1280" t="str">
        <f t="shared" si="135"/>
        <v>Business Owner</v>
      </c>
      <c r="L1280">
        <v>7</v>
      </c>
      <c r="N1280">
        <f t="shared" si="136"/>
        <v>1333224</v>
      </c>
      <c r="O1280">
        <v>596201</v>
      </c>
      <c r="P1280" t="s">
        <v>3037</v>
      </c>
      <c r="Q1280">
        <v>48</v>
      </c>
      <c r="R1280" t="s">
        <v>3047</v>
      </c>
      <c r="S1280" t="str">
        <f t="shared" si="137"/>
        <v>Personal</v>
      </c>
      <c r="T1280">
        <v>352</v>
      </c>
      <c r="U1280">
        <f t="shared" si="138"/>
        <v>352</v>
      </c>
      <c r="V1280">
        <v>2</v>
      </c>
      <c r="W1280" t="s">
        <v>3057</v>
      </c>
      <c r="X1280" s="3" t="s">
        <v>3872</v>
      </c>
      <c r="Y1280" s="3">
        <f t="shared" si="139"/>
        <v>44442</v>
      </c>
      <c r="Z1280">
        <v>0.66290000000000004</v>
      </c>
    </row>
    <row r="1281" spans="1:26" x14ac:dyDescent="0.35">
      <c r="A1281" t="s">
        <v>1284</v>
      </c>
      <c r="B1281" t="str">
        <f t="shared" si="140"/>
        <v>OK</v>
      </c>
      <c r="C1281" t="s">
        <v>2768</v>
      </c>
      <c r="D1281" s="2">
        <v>25</v>
      </c>
      <c r="E1281">
        <f>IF(OR(D1281&lt;18, D1281&gt;100),AD1280,D1281)</f>
        <v>25</v>
      </c>
      <c r="F1281" t="s">
        <v>2991</v>
      </c>
      <c r="G1281" t="str">
        <f t="shared" si="134"/>
        <v>Female</v>
      </c>
      <c r="H1281" t="s">
        <v>2998</v>
      </c>
      <c r="I1281" t="s">
        <v>3020</v>
      </c>
      <c r="K1281" t="str">
        <f t="shared" si="135"/>
        <v>Self-Employed</v>
      </c>
      <c r="L1281">
        <v>20</v>
      </c>
      <c r="M1281">
        <v>1598897</v>
      </c>
      <c r="N1281">
        <f t="shared" si="136"/>
        <v>1598897</v>
      </c>
      <c r="O1281">
        <v>360676</v>
      </c>
      <c r="P1281">
        <v>12.81</v>
      </c>
      <c r="Q1281">
        <v>48</v>
      </c>
      <c r="R1281" t="s">
        <v>3051</v>
      </c>
      <c r="S1281" t="str">
        <f t="shared" si="137"/>
        <v>Education</v>
      </c>
      <c r="T1281">
        <v>591</v>
      </c>
      <c r="U1281">
        <f t="shared" si="138"/>
        <v>591</v>
      </c>
      <c r="V1281">
        <v>6</v>
      </c>
      <c r="W1281" t="s">
        <v>3052</v>
      </c>
      <c r="X1281" s="3" t="s">
        <v>3401</v>
      </c>
      <c r="Y1281" s="3">
        <f t="shared" si="139"/>
        <v>44367</v>
      </c>
      <c r="Z1281">
        <v>0.22559999999999999</v>
      </c>
    </row>
    <row r="1282" spans="1:26" x14ac:dyDescent="0.35">
      <c r="A1282" t="s">
        <v>1285</v>
      </c>
      <c r="B1282" t="str">
        <f t="shared" si="140"/>
        <v>OK</v>
      </c>
      <c r="C1282" t="s">
        <v>2769</v>
      </c>
      <c r="D1282" s="2">
        <v>23</v>
      </c>
      <c r="E1282">
        <f>IF(OR(D1282&lt;18, D1282&gt;100),AD1281,D1282)</f>
        <v>23</v>
      </c>
      <c r="F1282" t="s">
        <v>2992</v>
      </c>
      <c r="G1282" t="str">
        <f t="shared" si="134"/>
        <v>Female</v>
      </c>
      <c r="H1282" t="s">
        <v>3000</v>
      </c>
      <c r="I1282" t="s">
        <v>3018</v>
      </c>
      <c r="K1282" t="str">
        <f t="shared" si="135"/>
        <v>Business Owner</v>
      </c>
      <c r="L1282">
        <v>26</v>
      </c>
      <c r="M1282">
        <v>1985808</v>
      </c>
      <c r="N1282">
        <f t="shared" si="136"/>
        <v>1985808</v>
      </c>
      <c r="O1282">
        <v>587597</v>
      </c>
      <c r="P1282">
        <v>16.57</v>
      </c>
      <c r="Q1282">
        <v>36</v>
      </c>
      <c r="R1282" t="s">
        <v>3051</v>
      </c>
      <c r="S1282" t="str">
        <f t="shared" si="137"/>
        <v>Education</v>
      </c>
      <c r="U1282">
        <f t="shared" si="138"/>
        <v>556</v>
      </c>
      <c r="V1282">
        <v>0</v>
      </c>
      <c r="W1282" t="s">
        <v>3057</v>
      </c>
      <c r="X1282" s="3" t="s">
        <v>3972</v>
      </c>
      <c r="Y1282" s="3">
        <f t="shared" si="139"/>
        <v>44816</v>
      </c>
      <c r="Z1282">
        <v>0.2959</v>
      </c>
    </row>
    <row r="1283" spans="1:26" x14ac:dyDescent="0.35">
      <c r="A1283" t="s">
        <v>1286</v>
      </c>
      <c r="B1283" t="str">
        <f t="shared" si="140"/>
        <v>OK</v>
      </c>
      <c r="C1283" t="s">
        <v>2770</v>
      </c>
      <c r="D1283" s="2">
        <v>130</v>
      </c>
      <c r="E1283">
        <f>IF(OR(D1283&lt;18, D1283&gt;100),AD1282,D1283)</f>
        <v>0</v>
      </c>
      <c r="F1283" t="s">
        <v>2992</v>
      </c>
      <c r="G1283" t="str">
        <f t="shared" ref="G1283:G1346" si="141">IF(F1283="", "Unknown", IF(OR(F1283="F", F1283="FEMALE", F1283="Female"), "Female", IF(OR(F1283="M", F1283="MALE", F1283="Male"), "Male", "Other")))</f>
        <v>Female</v>
      </c>
      <c r="H1283" t="s">
        <v>3000</v>
      </c>
      <c r="I1283" t="s">
        <v>3019</v>
      </c>
      <c r="K1283" t="str">
        <f t="shared" ref="K1283:K1346" si="142">IF(I1283="", "Unknown", I1283)</f>
        <v>Employed</v>
      </c>
      <c r="L1283">
        <v>0</v>
      </c>
      <c r="M1283">
        <v>1437008</v>
      </c>
      <c r="N1283">
        <f t="shared" ref="N1283:N1346" si="143">IF(OR(M1283="",M1283&lt;0),$AD$3,M1283)</f>
        <v>1437008</v>
      </c>
      <c r="O1283">
        <v>32360</v>
      </c>
      <c r="P1283">
        <v>15.62</v>
      </c>
      <c r="Q1283">
        <v>60</v>
      </c>
      <c r="S1283" t="str">
        <f t="shared" ref="S1283:S1346" si="144">IF(R1283="", "Unknown", R1283)</f>
        <v>Unknown</v>
      </c>
      <c r="T1283">
        <v>762</v>
      </c>
      <c r="U1283">
        <f t="shared" ref="U1283:U1346" si="145">IF(OR(T1283="",T1283&gt;999),$AD$2,T1283)</f>
        <v>762</v>
      </c>
      <c r="V1283">
        <v>5</v>
      </c>
      <c r="W1283" t="s">
        <v>3053</v>
      </c>
      <c r="X1283" s="3" t="s">
        <v>3973</v>
      </c>
      <c r="Y1283" s="3">
        <f t="shared" ref="Y1283:Y1346" si="146">IF(ISNUMBER(X1283), X1283, DATEVALUE(X1283))</f>
        <v>45162</v>
      </c>
      <c r="Z1283">
        <v>2.2499999999999999E-2</v>
      </c>
    </row>
    <row r="1284" spans="1:26" x14ac:dyDescent="0.35">
      <c r="A1284" t="s">
        <v>1287</v>
      </c>
      <c r="B1284" t="str">
        <f t="shared" si="140"/>
        <v>OK</v>
      </c>
      <c r="C1284" t="s">
        <v>2771</v>
      </c>
      <c r="D1284" s="2">
        <v>49</v>
      </c>
      <c r="E1284">
        <f>IF(OR(D1284&lt;18, D1284&gt;100),AD1283,D1284)</f>
        <v>49</v>
      </c>
      <c r="F1284" t="s">
        <v>2992</v>
      </c>
      <c r="G1284" t="str">
        <f t="shared" si="141"/>
        <v>Female</v>
      </c>
      <c r="H1284" t="s">
        <v>3007</v>
      </c>
      <c r="I1284" t="s">
        <v>3018</v>
      </c>
      <c r="K1284" t="str">
        <f t="shared" si="142"/>
        <v>Business Owner</v>
      </c>
      <c r="L1284">
        <v>10</v>
      </c>
      <c r="M1284">
        <v>2082912</v>
      </c>
      <c r="N1284">
        <f t="shared" si="143"/>
        <v>2082912</v>
      </c>
      <c r="O1284">
        <v>408227</v>
      </c>
      <c r="P1284">
        <v>16.760000000000002</v>
      </c>
      <c r="Q1284">
        <v>36</v>
      </c>
      <c r="R1284" t="s">
        <v>3048</v>
      </c>
      <c r="S1284" t="str">
        <f t="shared" si="144"/>
        <v>Home Improvement</v>
      </c>
      <c r="T1284">
        <v>748</v>
      </c>
      <c r="U1284">
        <f t="shared" si="145"/>
        <v>748</v>
      </c>
      <c r="V1284">
        <v>6</v>
      </c>
      <c r="W1284" t="s">
        <v>3053</v>
      </c>
      <c r="X1284" s="3" t="s">
        <v>3509</v>
      </c>
      <c r="Y1284" s="3">
        <f t="shared" si="146"/>
        <v>44811</v>
      </c>
      <c r="Z1284">
        <v>0.19600000000000001</v>
      </c>
    </row>
    <row r="1285" spans="1:26" x14ac:dyDescent="0.35">
      <c r="A1285" t="s">
        <v>1288</v>
      </c>
      <c r="B1285" t="str">
        <f t="shared" si="140"/>
        <v>OK</v>
      </c>
      <c r="C1285" t="s">
        <v>2772</v>
      </c>
      <c r="D1285" s="2">
        <v>22</v>
      </c>
      <c r="E1285">
        <f>IF(OR(D1285&lt;18, D1285&gt;100),AD1284,D1285)</f>
        <v>22</v>
      </c>
      <c r="F1285" t="s">
        <v>2990</v>
      </c>
      <c r="G1285" t="str">
        <f t="shared" si="141"/>
        <v>Male</v>
      </c>
      <c r="H1285" t="s">
        <v>3007</v>
      </c>
      <c r="I1285" t="s">
        <v>3020</v>
      </c>
      <c r="K1285" t="str">
        <f t="shared" si="142"/>
        <v>Self-Employed</v>
      </c>
      <c r="L1285">
        <v>15</v>
      </c>
      <c r="M1285">
        <v>340381</v>
      </c>
      <c r="N1285">
        <f t="shared" si="143"/>
        <v>340381</v>
      </c>
      <c r="O1285">
        <v>22187</v>
      </c>
      <c r="P1285">
        <v>16.38</v>
      </c>
      <c r="Q1285">
        <v>60</v>
      </c>
      <c r="R1285" t="s">
        <v>3051</v>
      </c>
      <c r="S1285" t="str">
        <f t="shared" si="144"/>
        <v>Education</v>
      </c>
      <c r="T1285">
        <v>848</v>
      </c>
      <c r="U1285">
        <f t="shared" si="145"/>
        <v>848</v>
      </c>
      <c r="V1285">
        <v>1</v>
      </c>
      <c r="W1285" t="s">
        <v>3055</v>
      </c>
      <c r="X1285" s="3" t="s">
        <v>3974</v>
      </c>
      <c r="Y1285" s="3">
        <f t="shared" si="146"/>
        <v>44570</v>
      </c>
      <c r="Z1285">
        <v>6.5199999999999994E-2</v>
      </c>
    </row>
    <row r="1286" spans="1:26" x14ac:dyDescent="0.35">
      <c r="A1286" t="s">
        <v>1289</v>
      </c>
      <c r="B1286" t="str">
        <f t="shared" si="140"/>
        <v>OK</v>
      </c>
      <c r="C1286" t="s">
        <v>2773</v>
      </c>
      <c r="D1286" s="2">
        <v>39</v>
      </c>
      <c r="E1286">
        <f>IF(OR(D1286&lt;18, D1286&gt;100),AD1285,D1286)</f>
        <v>39</v>
      </c>
      <c r="F1286" t="s">
        <v>2990</v>
      </c>
      <c r="G1286" t="str">
        <f t="shared" si="141"/>
        <v>Male</v>
      </c>
      <c r="H1286" t="s">
        <v>3006</v>
      </c>
      <c r="I1286" t="s">
        <v>3019</v>
      </c>
      <c r="K1286" t="str">
        <f t="shared" si="142"/>
        <v>Employed</v>
      </c>
      <c r="L1286">
        <v>9</v>
      </c>
      <c r="M1286">
        <v>1144163</v>
      </c>
      <c r="N1286">
        <f t="shared" si="143"/>
        <v>1144163</v>
      </c>
      <c r="O1286">
        <v>459030</v>
      </c>
      <c r="P1286">
        <v>16.86</v>
      </c>
      <c r="Q1286">
        <v>12</v>
      </c>
      <c r="R1286" t="s">
        <v>3049</v>
      </c>
      <c r="S1286" t="str">
        <f t="shared" si="144"/>
        <v>Business</v>
      </c>
      <c r="T1286">
        <v>575</v>
      </c>
      <c r="U1286">
        <f t="shared" si="145"/>
        <v>575</v>
      </c>
      <c r="V1286">
        <v>5</v>
      </c>
      <c r="W1286" t="s">
        <v>3056</v>
      </c>
      <c r="X1286" s="3" t="s">
        <v>3092</v>
      </c>
      <c r="Y1286" s="3">
        <f t="shared" si="146"/>
        <v>45257</v>
      </c>
      <c r="Z1286">
        <v>0.4012</v>
      </c>
    </row>
    <row r="1287" spans="1:26" x14ac:dyDescent="0.35">
      <c r="A1287" t="s">
        <v>1290</v>
      </c>
      <c r="B1287" t="str">
        <f t="shared" si="140"/>
        <v>OK</v>
      </c>
      <c r="C1287" t="s">
        <v>2774</v>
      </c>
      <c r="D1287" s="2">
        <v>60</v>
      </c>
      <c r="E1287">
        <f>IF(OR(D1287&lt;18, D1287&gt;100),AD1286,D1287)</f>
        <v>60</v>
      </c>
      <c r="F1287" t="s">
        <v>2992</v>
      </c>
      <c r="G1287" t="str">
        <f t="shared" si="141"/>
        <v>Female</v>
      </c>
      <c r="H1287" t="s">
        <v>3004</v>
      </c>
      <c r="I1287" t="s">
        <v>3021</v>
      </c>
      <c r="K1287" t="str">
        <f t="shared" si="142"/>
        <v>Unemployed</v>
      </c>
      <c r="L1287">
        <v>14</v>
      </c>
      <c r="M1287">
        <v>1906199</v>
      </c>
      <c r="N1287">
        <f t="shared" si="143"/>
        <v>1906199</v>
      </c>
      <c r="O1287">
        <v>424015</v>
      </c>
      <c r="P1287">
        <v>22.9</v>
      </c>
      <c r="Q1287">
        <v>48</v>
      </c>
      <c r="R1287" t="s">
        <v>3050</v>
      </c>
      <c r="S1287" t="str">
        <f t="shared" si="144"/>
        <v>Agriculture</v>
      </c>
      <c r="T1287">
        <v>560</v>
      </c>
      <c r="U1287">
        <f t="shared" si="145"/>
        <v>560</v>
      </c>
      <c r="V1287">
        <v>6</v>
      </c>
      <c r="W1287" t="s">
        <v>3057</v>
      </c>
      <c r="X1287" s="3" t="s">
        <v>3761</v>
      </c>
      <c r="Y1287" s="3">
        <f t="shared" si="146"/>
        <v>44701</v>
      </c>
      <c r="Z1287">
        <v>0.22239999999999999</v>
      </c>
    </row>
    <row r="1288" spans="1:26" x14ac:dyDescent="0.35">
      <c r="A1288" t="s">
        <v>1291</v>
      </c>
      <c r="B1288" t="str">
        <f t="shared" si="140"/>
        <v>OK</v>
      </c>
      <c r="C1288" t="s">
        <v>2775</v>
      </c>
      <c r="D1288" s="2">
        <v>44</v>
      </c>
      <c r="E1288">
        <f>IF(OR(D1288&lt;18, D1288&gt;100),AD1287,D1288)</f>
        <v>44</v>
      </c>
      <c r="F1288" t="s">
        <v>2992</v>
      </c>
      <c r="G1288" t="str">
        <f t="shared" si="141"/>
        <v>Female</v>
      </c>
      <c r="H1288" t="s">
        <v>3001</v>
      </c>
      <c r="I1288" t="s">
        <v>3018</v>
      </c>
      <c r="K1288" t="str">
        <f t="shared" si="142"/>
        <v>Business Owner</v>
      </c>
      <c r="L1288">
        <v>14</v>
      </c>
      <c r="M1288">
        <v>1680134</v>
      </c>
      <c r="N1288">
        <f t="shared" si="143"/>
        <v>1680134</v>
      </c>
      <c r="O1288">
        <v>438554</v>
      </c>
      <c r="P1288">
        <v>11.06</v>
      </c>
      <c r="Q1288">
        <v>48</v>
      </c>
      <c r="R1288" t="s">
        <v>3048</v>
      </c>
      <c r="S1288" t="str">
        <f t="shared" si="144"/>
        <v>Home Improvement</v>
      </c>
      <c r="T1288">
        <v>332</v>
      </c>
      <c r="U1288">
        <f t="shared" si="145"/>
        <v>332</v>
      </c>
      <c r="V1288">
        <v>5</v>
      </c>
      <c r="W1288" t="s">
        <v>3052</v>
      </c>
      <c r="X1288" s="3" t="s">
        <v>3975</v>
      </c>
      <c r="Y1288" s="3">
        <f t="shared" si="146"/>
        <v>43923</v>
      </c>
      <c r="Z1288">
        <v>0.26100000000000001</v>
      </c>
    </row>
    <row r="1289" spans="1:26" x14ac:dyDescent="0.35">
      <c r="A1289" t="s">
        <v>1292</v>
      </c>
      <c r="B1289" t="str">
        <f t="shared" si="140"/>
        <v>OK</v>
      </c>
      <c r="C1289" t="s">
        <v>2776</v>
      </c>
      <c r="D1289" s="2">
        <v>24</v>
      </c>
      <c r="E1289">
        <f>IF(OR(D1289&lt;18, D1289&gt;100),AD1288,D1289)</f>
        <v>24</v>
      </c>
      <c r="F1289" t="s">
        <v>2990</v>
      </c>
      <c r="G1289" t="str">
        <f t="shared" si="141"/>
        <v>Male</v>
      </c>
      <c r="H1289" t="s">
        <v>3001</v>
      </c>
      <c r="I1289" t="s">
        <v>3019</v>
      </c>
      <c r="K1289" t="str">
        <f t="shared" si="142"/>
        <v>Employed</v>
      </c>
      <c r="L1289">
        <v>0</v>
      </c>
      <c r="M1289">
        <v>2016185</v>
      </c>
      <c r="N1289">
        <f t="shared" si="143"/>
        <v>2016185</v>
      </c>
      <c r="O1289">
        <v>695673</v>
      </c>
      <c r="P1289">
        <v>23.05</v>
      </c>
      <c r="Q1289">
        <v>60</v>
      </c>
      <c r="R1289" t="s">
        <v>3049</v>
      </c>
      <c r="S1289" t="str">
        <f t="shared" si="144"/>
        <v>Business</v>
      </c>
      <c r="T1289">
        <v>622</v>
      </c>
      <c r="U1289">
        <f t="shared" si="145"/>
        <v>622</v>
      </c>
      <c r="V1289">
        <v>1</v>
      </c>
      <c r="W1289" t="s">
        <v>3055</v>
      </c>
      <c r="X1289" s="3" t="s">
        <v>3976</v>
      </c>
      <c r="Y1289" s="3">
        <f t="shared" si="146"/>
        <v>44043</v>
      </c>
      <c r="Z1289">
        <v>0.34499999999999997</v>
      </c>
    </row>
    <row r="1290" spans="1:26" x14ac:dyDescent="0.35">
      <c r="A1290" t="s">
        <v>1293</v>
      </c>
      <c r="B1290" t="str">
        <f t="shared" si="140"/>
        <v>OK</v>
      </c>
      <c r="C1290" t="s">
        <v>2777</v>
      </c>
      <c r="D1290" s="2">
        <v>49</v>
      </c>
      <c r="E1290">
        <f>IF(OR(D1290&lt;18, D1290&gt;100),AD1289,D1290)</f>
        <v>49</v>
      </c>
      <c r="F1290" t="s">
        <v>2990</v>
      </c>
      <c r="G1290" t="str">
        <f t="shared" si="141"/>
        <v>Male</v>
      </c>
      <c r="H1290" t="s">
        <v>3001</v>
      </c>
      <c r="I1290" t="s">
        <v>3018</v>
      </c>
      <c r="K1290" t="str">
        <f t="shared" si="142"/>
        <v>Business Owner</v>
      </c>
      <c r="L1290">
        <v>18</v>
      </c>
      <c r="M1290">
        <v>880336</v>
      </c>
      <c r="N1290">
        <f t="shared" si="143"/>
        <v>880336</v>
      </c>
      <c r="O1290">
        <v>409770</v>
      </c>
      <c r="P1290">
        <v>24.52</v>
      </c>
      <c r="Q1290">
        <v>36</v>
      </c>
      <c r="R1290" t="s">
        <v>3049</v>
      </c>
      <c r="S1290" t="str">
        <f t="shared" si="144"/>
        <v>Business</v>
      </c>
      <c r="T1290">
        <v>323</v>
      </c>
      <c r="U1290">
        <f t="shared" si="145"/>
        <v>323</v>
      </c>
      <c r="V1290">
        <v>4</v>
      </c>
      <c r="W1290" t="s">
        <v>3057</v>
      </c>
      <c r="X1290" s="3" t="s">
        <v>3117</v>
      </c>
      <c r="Y1290" s="3">
        <f t="shared" si="146"/>
        <v>44735</v>
      </c>
      <c r="Z1290">
        <v>0.46550000000000002</v>
      </c>
    </row>
    <row r="1291" spans="1:26" x14ac:dyDescent="0.35">
      <c r="A1291" t="s">
        <v>1294</v>
      </c>
      <c r="B1291" t="str">
        <f t="shared" si="140"/>
        <v>OK</v>
      </c>
      <c r="C1291" t="s">
        <v>2778</v>
      </c>
      <c r="D1291" s="2">
        <v>40</v>
      </c>
      <c r="E1291">
        <f>IF(OR(D1291&lt;18, D1291&gt;100),AD1290,D1291)</f>
        <v>40</v>
      </c>
      <c r="F1291" t="s">
        <v>2990</v>
      </c>
      <c r="G1291" t="str">
        <f t="shared" si="141"/>
        <v>Male</v>
      </c>
      <c r="H1291" t="s">
        <v>3007</v>
      </c>
      <c r="I1291" t="s">
        <v>3021</v>
      </c>
      <c r="K1291" t="str">
        <f t="shared" si="142"/>
        <v>Unemployed</v>
      </c>
      <c r="L1291">
        <v>14</v>
      </c>
      <c r="M1291">
        <v>2379391</v>
      </c>
      <c r="N1291">
        <f t="shared" si="143"/>
        <v>2379391</v>
      </c>
      <c r="O1291">
        <v>589829</v>
      </c>
      <c r="P1291">
        <v>10.43</v>
      </c>
      <c r="Q1291">
        <v>60</v>
      </c>
      <c r="R1291" t="s">
        <v>3047</v>
      </c>
      <c r="S1291" t="str">
        <f t="shared" si="144"/>
        <v>Personal</v>
      </c>
      <c r="T1291">
        <v>355</v>
      </c>
      <c r="U1291">
        <f t="shared" si="145"/>
        <v>355</v>
      </c>
      <c r="V1291">
        <v>6</v>
      </c>
      <c r="W1291" t="s">
        <v>3054</v>
      </c>
      <c r="X1291" s="3" t="s">
        <v>3297</v>
      </c>
      <c r="Y1291" s="3">
        <f t="shared" si="146"/>
        <v>44762</v>
      </c>
      <c r="Z1291">
        <v>0.24790000000000001</v>
      </c>
    </row>
    <row r="1292" spans="1:26" x14ac:dyDescent="0.35">
      <c r="A1292" t="s">
        <v>1295</v>
      </c>
      <c r="B1292" t="str">
        <f t="shared" si="140"/>
        <v>OK</v>
      </c>
      <c r="C1292" t="s">
        <v>2779</v>
      </c>
      <c r="D1292" s="2">
        <v>32</v>
      </c>
      <c r="E1292">
        <f>IF(OR(D1292&lt;18, D1292&gt;100),AD1291,D1292)</f>
        <v>32</v>
      </c>
      <c r="F1292" t="s">
        <v>2990</v>
      </c>
      <c r="G1292" t="str">
        <f t="shared" si="141"/>
        <v>Male</v>
      </c>
      <c r="H1292" t="s">
        <v>3004</v>
      </c>
      <c r="K1292" t="str">
        <f t="shared" si="142"/>
        <v>Unknown</v>
      </c>
      <c r="L1292">
        <v>27</v>
      </c>
      <c r="M1292">
        <v>2209450</v>
      </c>
      <c r="N1292">
        <f t="shared" si="143"/>
        <v>2209450</v>
      </c>
      <c r="O1292">
        <v>309192</v>
      </c>
      <c r="P1292">
        <v>27.05</v>
      </c>
      <c r="Q1292">
        <v>60</v>
      </c>
      <c r="R1292" t="s">
        <v>3048</v>
      </c>
      <c r="S1292" t="str">
        <f t="shared" si="144"/>
        <v>Home Improvement</v>
      </c>
      <c r="T1292">
        <v>466</v>
      </c>
      <c r="U1292">
        <f t="shared" si="145"/>
        <v>466</v>
      </c>
      <c r="V1292">
        <v>1</v>
      </c>
      <c r="W1292" t="s">
        <v>3056</v>
      </c>
      <c r="X1292" s="3" t="s">
        <v>3277</v>
      </c>
      <c r="Y1292" s="3">
        <f t="shared" si="146"/>
        <v>45033</v>
      </c>
      <c r="Z1292">
        <v>0.1399</v>
      </c>
    </row>
    <row r="1293" spans="1:26" x14ac:dyDescent="0.35">
      <c r="A1293" t="s">
        <v>1296</v>
      </c>
      <c r="B1293" t="str">
        <f t="shared" si="140"/>
        <v>OK</v>
      </c>
      <c r="C1293" t="s">
        <v>2780</v>
      </c>
      <c r="D1293" s="2">
        <v>36</v>
      </c>
      <c r="E1293">
        <f>IF(OR(D1293&lt;18, D1293&gt;100),AD1292,D1293)</f>
        <v>36</v>
      </c>
      <c r="F1293" t="s">
        <v>2990</v>
      </c>
      <c r="G1293" t="str">
        <f t="shared" si="141"/>
        <v>Male</v>
      </c>
      <c r="H1293" t="s">
        <v>3007</v>
      </c>
      <c r="I1293" t="s">
        <v>3018</v>
      </c>
      <c r="K1293" t="str">
        <f t="shared" si="142"/>
        <v>Business Owner</v>
      </c>
      <c r="L1293">
        <v>8</v>
      </c>
      <c r="M1293">
        <v>1516737</v>
      </c>
      <c r="N1293">
        <f t="shared" si="143"/>
        <v>1516737</v>
      </c>
      <c r="O1293">
        <v>473830</v>
      </c>
      <c r="P1293">
        <v>9.3699999999999992</v>
      </c>
      <c r="Q1293">
        <v>12</v>
      </c>
      <c r="R1293" t="s">
        <v>3049</v>
      </c>
      <c r="S1293" t="str">
        <f t="shared" si="144"/>
        <v>Business</v>
      </c>
      <c r="T1293">
        <v>746</v>
      </c>
      <c r="U1293">
        <f t="shared" si="145"/>
        <v>746</v>
      </c>
      <c r="V1293">
        <v>3</v>
      </c>
      <c r="W1293" t="s">
        <v>3055</v>
      </c>
      <c r="X1293" s="3" t="s">
        <v>3148</v>
      </c>
      <c r="Y1293" s="3">
        <f t="shared" si="146"/>
        <v>44799</v>
      </c>
      <c r="Z1293">
        <v>0.31240000000000001</v>
      </c>
    </row>
    <row r="1294" spans="1:26" x14ac:dyDescent="0.35">
      <c r="A1294" t="s">
        <v>1297</v>
      </c>
      <c r="B1294" t="str">
        <f t="shared" si="140"/>
        <v>OK</v>
      </c>
      <c r="C1294" t="s">
        <v>1777</v>
      </c>
      <c r="D1294" s="2">
        <v>60</v>
      </c>
      <c r="E1294">
        <f>IF(OR(D1294&lt;18, D1294&gt;100),AD1293,D1294)</f>
        <v>60</v>
      </c>
      <c r="F1294" t="s">
        <v>2990</v>
      </c>
      <c r="G1294" t="str">
        <f t="shared" si="141"/>
        <v>Male</v>
      </c>
      <c r="H1294" t="s">
        <v>3003</v>
      </c>
      <c r="I1294" t="s">
        <v>3018</v>
      </c>
      <c r="K1294" t="str">
        <f t="shared" si="142"/>
        <v>Business Owner</v>
      </c>
      <c r="L1294">
        <v>23</v>
      </c>
      <c r="M1294">
        <v>645757</v>
      </c>
      <c r="N1294">
        <f t="shared" si="143"/>
        <v>645757</v>
      </c>
      <c r="O1294">
        <v>643222</v>
      </c>
      <c r="P1294">
        <v>14.07</v>
      </c>
      <c r="Q1294">
        <v>24</v>
      </c>
      <c r="R1294" t="s">
        <v>3047</v>
      </c>
      <c r="S1294" t="str">
        <f t="shared" si="144"/>
        <v>Personal</v>
      </c>
      <c r="T1294">
        <v>348</v>
      </c>
      <c r="U1294">
        <f t="shared" si="145"/>
        <v>348</v>
      </c>
      <c r="V1294">
        <v>2</v>
      </c>
      <c r="W1294" t="s">
        <v>3057</v>
      </c>
      <c r="X1294" s="3" t="s">
        <v>3977</v>
      </c>
      <c r="Y1294" s="3">
        <f t="shared" si="146"/>
        <v>44507</v>
      </c>
      <c r="Z1294">
        <v>0.99609999999999999</v>
      </c>
    </row>
    <row r="1295" spans="1:26" x14ac:dyDescent="0.35">
      <c r="A1295" t="s">
        <v>1298</v>
      </c>
      <c r="B1295" t="str">
        <f t="shared" si="140"/>
        <v>OK</v>
      </c>
      <c r="C1295" t="s">
        <v>2781</v>
      </c>
      <c r="D1295" s="2">
        <v>49</v>
      </c>
      <c r="E1295">
        <f>IF(OR(D1295&lt;18, D1295&gt;100),AD1294,D1295)</f>
        <v>49</v>
      </c>
      <c r="F1295" t="s">
        <v>2990</v>
      </c>
      <c r="G1295" t="str">
        <f t="shared" si="141"/>
        <v>Male</v>
      </c>
      <c r="H1295" t="s">
        <v>2999</v>
      </c>
      <c r="I1295" t="s">
        <v>3020</v>
      </c>
      <c r="K1295" t="str">
        <f t="shared" si="142"/>
        <v>Self-Employed</v>
      </c>
      <c r="L1295">
        <v>3</v>
      </c>
      <c r="M1295">
        <v>1146920</v>
      </c>
      <c r="N1295">
        <f t="shared" si="143"/>
        <v>1146920</v>
      </c>
      <c r="O1295">
        <v>215623</v>
      </c>
      <c r="P1295">
        <v>10.210000000000001</v>
      </c>
      <c r="Q1295">
        <v>12</v>
      </c>
      <c r="R1295" t="s">
        <v>3050</v>
      </c>
      <c r="S1295" t="str">
        <f t="shared" si="144"/>
        <v>Agriculture</v>
      </c>
      <c r="T1295">
        <v>848</v>
      </c>
      <c r="U1295">
        <f t="shared" si="145"/>
        <v>848</v>
      </c>
      <c r="V1295">
        <v>1</v>
      </c>
      <c r="W1295" t="s">
        <v>3056</v>
      </c>
      <c r="X1295" s="3" t="s">
        <v>3978</v>
      </c>
      <c r="Y1295" s="3">
        <f t="shared" si="146"/>
        <v>44378</v>
      </c>
      <c r="Z1295">
        <v>0.188</v>
      </c>
    </row>
    <row r="1296" spans="1:26" x14ac:dyDescent="0.35">
      <c r="A1296" t="s">
        <v>1299</v>
      </c>
      <c r="B1296" t="str">
        <f t="shared" si="140"/>
        <v>OK</v>
      </c>
      <c r="C1296" t="s">
        <v>2782</v>
      </c>
      <c r="D1296" s="2">
        <v>59</v>
      </c>
      <c r="E1296">
        <f>IF(OR(D1296&lt;18, D1296&gt;100),AD1295,D1296)</f>
        <v>59</v>
      </c>
      <c r="F1296" t="s">
        <v>2990</v>
      </c>
      <c r="G1296" t="str">
        <f t="shared" si="141"/>
        <v>Male</v>
      </c>
      <c r="H1296" t="s">
        <v>3004</v>
      </c>
      <c r="I1296" t="s">
        <v>3019</v>
      </c>
      <c r="K1296" t="str">
        <f t="shared" si="142"/>
        <v>Employed</v>
      </c>
      <c r="L1296">
        <v>24</v>
      </c>
      <c r="M1296">
        <v>727993</v>
      </c>
      <c r="N1296">
        <f t="shared" si="143"/>
        <v>727993</v>
      </c>
      <c r="O1296">
        <v>373973</v>
      </c>
      <c r="P1296">
        <v>24.61</v>
      </c>
      <c r="Q1296">
        <v>60</v>
      </c>
      <c r="R1296" t="s">
        <v>3048</v>
      </c>
      <c r="S1296" t="str">
        <f t="shared" si="144"/>
        <v>Home Improvement</v>
      </c>
      <c r="T1296">
        <v>569</v>
      </c>
      <c r="U1296">
        <f t="shared" si="145"/>
        <v>569</v>
      </c>
      <c r="V1296">
        <v>2</v>
      </c>
      <c r="W1296" t="s">
        <v>3056</v>
      </c>
      <c r="X1296" s="3" t="s">
        <v>3979</v>
      </c>
      <c r="Y1296" s="3">
        <f t="shared" si="146"/>
        <v>44889</v>
      </c>
      <c r="Z1296">
        <v>0.51370000000000005</v>
      </c>
    </row>
    <row r="1297" spans="1:26" x14ac:dyDescent="0.35">
      <c r="A1297" t="s">
        <v>1300</v>
      </c>
      <c r="B1297" t="str">
        <f t="shared" si="140"/>
        <v>OK</v>
      </c>
      <c r="C1297" t="s">
        <v>2783</v>
      </c>
      <c r="D1297" s="2">
        <v>63</v>
      </c>
      <c r="E1297">
        <f>IF(OR(D1297&lt;18, D1297&gt;100),AD1296,D1297)</f>
        <v>63</v>
      </c>
      <c r="F1297" t="s">
        <v>2990</v>
      </c>
      <c r="G1297" t="str">
        <f t="shared" si="141"/>
        <v>Male</v>
      </c>
      <c r="H1297" t="s">
        <v>3007</v>
      </c>
      <c r="I1297" t="s">
        <v>3021</v>
      </c>
      <c r="K1297" t="str">
        <f t="shared" si="142"/>
        <v>Unemployed</v>
      </c>
      <c r="L1297">
        <v>22</v>
      </c>
      <c r="M1297">
        <v>517913</v>
      </c>
      <c r="N1297">
        <f t="shared" si="143"/>
        <v>517913</v>
      </c>
      <c r="O1297">
        <v>417745</v>
      </c>
      <c r="P1297">
        <v>27.32</v>
      </c>
      <c r="Q1297">
        <v>48</v>
      </c>
      <c r="R1297" t="s">
        <v>3050</v>
      </c>
      <c r="S1297" t="str">
        <f t="shared" si="144"/>
        <v>Agriculture</v>
      </c>
      <c r="T1297">
        <v>341</v>
      </c>
      <c r="U1297">
        <f t="shared" si="145"/>
        <v>341</v>
      </c>
      <c r="V1297">
        <v>0</v>
      </c>
      <c r="W1297" t="s">
        <v>3056</v>
      </c>
      <c r="X1297" s="3" t="s">
        <v>3368</v>
      </c>
      <c r="Y1297" s="3">
        <f t="shared" si="146"/>
        <v>45102</v>
      </c>
      <c r="Z1297">
        <v>0.80659999999999998</v>
      </c>
    </row>
    <row r="1298" spans="1:26" x14ac:dyDescent="0.35">
      <c r="A1298" t="s">
        <v>1301</v>
      </c>
      <c r="B1298" t="str">
        <f t="shared" si="140"/>
        <v>OK</v>
      </c>
      <c r="C1298" t="s">
        <v>2784</v>
      </c>
      <c r="D1298" s="2">
        <v>42</v>
      </c>
      <c r="E1298">
        <f>IF(OR(D1298&lt;18, D1298&gt;100),AD1297,D1298)</f>
        <v>42</v>
      </c>
      <c r="F1298" t="s">
        <v>2990</v>
      </c>
      <c r="G1298" t="str">
        <f t="shared" si="141"/>
        <v>Male</v>
      </c>
      <c r="H1298" t="s">
        <v>3002</v>
      </c>
      <c r="I1298" t="s">
        <v>3021</v>
      </c>
      <c r="K1298" t="str">
        <f t="shared" si="142"/>
        <v>Unemployed</v>
      </c>
      <c r="L1298">
        <v>14</v>
      </c>
      <c r="M1298">
        <v>2381044</v>
      </c>
      <c r="N1298">
        <f t="shared" si="143"/>
        <v>2381044</v>
      </c>
      <c r="O1298">
        <v>431473</v>
      </c>
      <c r="P1298">
        <v>12.49</v>
      </c>
      <c r="Q1298">
        <v>48</v>
      </c>
      <c r="R1298" t="s">
        <v>3051</v>
      </c>
      <c r="S1298" t="str">
        <f t="shared" si="144"/>
        <v>Education</v>
      </c>
      <c r="T1298">
        <v>520</v>
      </c>
      <c r="U1298">
        <f t="shared" si="145"/>
        <v>520</v>
      </c>
      <c r="V1298">
        <v>1</v>
      </c>
      <c r="W1298" t="s">
        <v>3054</v>
      </c>
      <c r="X1298" s="3" t="s">
        <v>3980</v>
      </c>
      <c r="Y1298" s="3">
        <f t="shared" si="146"/>
        <v>44222</v>
      </c>
      <c r="Z1298">
        <v>0.1812</v>
      </c>
    </row>
    <row r="1299" spans="1:26" x14ac:dyDescent="0.35">
      <c r="A1299" t="s">
        <v>1302</v>
      </c>
      <c r="B1299" t="str">
        <f t="shared" si="140"/>
        <v>OK</v>
      </c>
      <c r="C1299" t="s">
        <v>2785</v>
      </c>
      <c r="D1299" s="2">
        <v>36</v>
      </c>
      <c r="E1299">
        <f>IF(OR(D1299&lt;18, D1299&gt;100),AD1298,D1299)</f>
        <v>36</v>
      </c>
      <c r="F1299" t="s">
        <v>2992</v>
      </c>
      <c r="G1299" t="str">
        <f t="shared" si="141"/>
        <v>Female</v>
      </c>
      <c r="H1299" t="s">
        <v>3005</v>
      </c>
      <c r="I1299" t="s">
        <v>3018</v>
      </c>
      <c r="K1299" t="str">
        <f t="shared" si="142"/>
        <v>Business Owner</v>
      </c>
      <c r="L1299">
        <v>10</v>
      </c>
      <c r="M1299">
        <v>2045690</v>
      </c>
      <c r="N1299">
        <f t="shared" si="143"/>
        <v>2045690</v>
      </c>
      <c r="O1299">
        <v>377246</v>
      </c>
      <c r="P1299">
        <v>8</v>
      </c>
      <c r="Q1299">
        <v>24</v>
      </c>
      <c r="R1299" t="s">
        <v>3050</v>
      </c>
      <c r="S1299" t="str">
        <f t="shared" si="144"/>
        <v>Agriculture</v>
      </c>
      <c r="T1299">
        <v>432</v>
      </c>
      <c r="U1299">
        <f t="shared" si="145"/>
        <v>432</v>
      </c>
      <c r="V1299">
        <v>5</v>
      </c>
      <c r="W1299" t="s">
        <v>3052</v>
      </c>
      <c r="X1299" s="3" t="s">
        <v>3553</v>
      </c>
      <c r="Y1299" s="3">
        <f t="shared" si="146"/>
        <v>44996</v>
      </c>
      <c r="Z1299">
        <v>0.18440000000000001</v>
      </c>
    </row>
    <row r="1300" spans="1:26" x14ac:dyDescent="0.35">
      <c r="A1300" t="s">
        <v>1303</v>
      </c>
      <c r="B1300" t="str">
        <f t="shared" si="140"/>
        <v>OK</v>
      </c>
      <c r="C1300" t="s">
        <v>2786</v>
      </c>
      <c r="D1300" s="2">
        <v>25</v>
      </c>
      <c r="E1300">
        <f>IF(OR(D1300&lt;18, D1300&gt;100),AD1299,D1300)</f>
        <v>25</v>
      </c>
      <c r="F1300" t="s">
        <v>2990</v>
      </c>
      <c r="G1300" t="str">
        <f t="shared" si="141"/>
        <v>Male</v>
      </c>
      <c r="H1300" t="s">
        <v>2998</v>
      </c>
      <c r="I1300" t="s">
        <v>3019</v>
      </c>
      <c r="K1300" t="str">
        <f t="shared" si="142"/>
        <v>Employed</v>
      </c>
      <c r="L1300">
        <v>27</v>
      </c>
      <c r="M1300">
        <v>1549277</v>
      </c>
      <c r="N1300">
        <f t="shared" si="143"/>
        <v>1549277</v>
      </c>
      <c r="O1300">
        <v>319372</v>
      </c>
      <c r="P1300">
        <v>24.39</v>
      </c>
      <c r="Q1300">
        <v>24</v>
      </c>
      <c r="R1300" t="s">
        <v>3051</v>
      </c>
      <c r="S1300" t="str">
        <f t="shared" si="144"/>
        <v>Education</v>
      </c>
      <c r="T1300">
        <v>800</v>
      </c>
      <c r="U1300">
        <f t="shared" si="145"/>
        <v>800</v>
      </c>
      <c r="V1300">
        <v>6</v>
      </c>
      <c r="W1300" t="s">
        <v>3052</v>
      </c>
      <c r="X1300" s="3" t="s">
        <v>3981</v>
      </c>
      <c r="Y1300" s="3">
        <f t="shared" si="146"/>
        <v>44016</v>
      </c>
      <c r="Z1300">
        <v>0.20610000000000001</v>
      </c>
    </row>
    <row r="1301" spans="1:26" x14ac:dyDescent="0.35">
      <c r="A1301" t="s">
        <v>1304</v>
      </c>
      <c r="B1301" t="str">
        <f t="shared" si="140"/>
        <v>OK</v>
      </c>
      <c r="C1301" t="s">
        <v>2787</v>
      </c>
      <c r="D1301" s="2">
        <v>39</v>
      </c>
      <c r="E1301">
        <f>IF(OR(D1301&lt;18, D1301&gt;100),AD1300,D1301)</f>
        <v>39</v>
      </c>
      <c r="F1301" t="s">
        <v>2990</v>
      </c>
      <c r="G1301" t="str">
        <f t="shared" si="141"/>
        <v>Male</v>
      </c>
      <c r="H1301" t="s">
        <v>3006</v>
      </c>
      <c r="I1301" t="s">
        <v>3021</v>
      </c>
      <c r="K1301" t="str">
        <f t="shared" si="142"/>
        <v>Unemployed</v>
      </c>
      <c r="L1301">
        <v>11</v>
      </c>
      <c r="M1301">
        <v>2019903</v>
      </c>
      <c r="N1301">
        <f t="shared" si="143"/>
        <v>2019903</v>
      </c>
      <c r="O1301">
        <v>763859</v>
      </c>
      <c r="P1301">
        <v>9.89</v>
      </c>
      <c r="Q1301">
        <v>12</v>
      </c>
      <c r="R1301" t="s">
        <v>3051</v>
      </c>
      <c r="S1301" t="str">
        <f t="shared" si="144"/>
        <v>Education</v>
      </c>
      <c r="T1301">
        <v>679</v>
      </c>
      <c r="U1301">
        <f t="shared" si="145"/>
        <v>679</v>
      </c>
      <c r="V1301">
        <v>6</v>
      </c>
      <c r="W1301" t="s">
        <v>3057</v>
      </c>
      <c r="X1301" s="3" t="s">
        <v>3486</v>
      </c>
      <c r="Y1301" s="3">
        <f t="shared" si="146"/>
        <v>44966</v>
      </c>
      <c r="Z1301">
        <v>0.37819999999999998</v>
      </c>
    </row>
    <row r="1302" spans="1:26" x14ac:dyDescent="0.35">
      <c r="A1302" t="s">
        <v>1305</v>
      </c>
      <c r="B1302" t="str">
        <f t="shared" si="140"/>
        <v>OK</v>
      </c>
      <c r="C1302" t="s">
        <v>2788</v>
      </c>
      <c r="D1302" s="2">
        <v>55</v>
      </c>
      <c r="E1302">
        <f>IF(OR(D1302&lt;18, D1302&gt;100),AD1301,D1302)</f>
        <v>55</v>
      </c>
      <c r="F1302" t="s">
        <v>2992</v>
      </c>
      <c r="G1302" t="str">
        <f t="shared" si="141"/>
        <v>Female</v>
      </c>
      <c r="H1302" t="s">
        <v>3004</v>
      </c>
      <c r="I1302" t="s">
        <v>3019</v>
      </c>
      <c r="K1302" t="str">
        <f t="shared" si="142"/>
        <v>Employed</v>
      </c>
      <c r="L1302">
        <v>27</v>
      </c>
      <c r="M1302">
        <v>1796449</v>
      </c>
      <c r="N1302">
        <f t="shared" si="143"/>
        <v>1796449</v>
      </c>
      <c r="O1302">
        <v>197241</v>
      </c>
      <c r="P1302">
        <v>19.239999999999998</v>
      </c>
      <c r="Q1302">
        <v>12</v>
      </c>
      <c r="R1302" t="s">
        <v>3046</v>
      </c>
      <c r="S1302" t="str">
        <f t="shared" si="144"/>
        <v>Medical</v>
      </c>
      <c r="T1302">
        <v>311</v>
      </c>
      <c r="U1302">
        <f t="shared" si="145"/>
        <v>311</v>
      </c>
      <c r="V1302">
        <v>4</v>
      </c>
      <c r="W1302" t="s">
        <v>3057</v>
      </c>
      <c r="X1302" s="3" t="s">
        <v>3148</v>
      </c>
      <c r="Y1302" s="3">
        <f t="shared" si="146"/>
        <v>44799</v>
      </c>
      <c r="Z1302">
        <v>0.10979999999999999</v>
      </c>
    </row>
    <row r="1303" spans="1:26" x14ac:dyDescent="0.35">
      <c r="A1303" t="s">
        <v>1306</v>
      </c>
      <c r="B1303" t="str">
        <f t="shared" si="140"/>
        <v>OK</v>
      </c>
      <c r="C1303" t="s">
        <v>2789</v>
      </c>
      <c r="D1303" s="2">
        <v>31</v>
      </c>
      <c r="E1303">
        <f>IF(OR(D1303&lt;18, D1303&gt;100),AD1302,D1303)</f>
        <v>31</v>
      </c>
      <c r="F1303" t="s">
        <v>2990</v>
      </c>
      <c r="G1303" t="str">
        <f t="shared" si="141"/>
        <v>Male</v>
      </c>
      <c r="H1303" t="s">
        <v>3003</v>
      </c>
      <c r="I1303" t="s">
        <v>3018</v>
      </c>
      <c r="K1303" t="str">
        <f t="shared" si="142"/>
        <v>Business Owner</v>
      </c>
      <c r="L1303">
        <v>18</v>
      </c>
      <c r="M1303">
        <v>1681352</v>
      </c>
      <c r="N1303">
        <f t="shared" si="143"/>
        <v>1681352</v>
      </c>
      <c r="O1303">
        <v>797567</v>
      </c>
      <c r="P1303">
        <v>19.989999999999998</v>
      </c>
      <c r="Q1303">
        <v>36</v>
      </c>
      <c r="R1303" t="s">
        <v>3047</v>
      </c>
      <c r="S1303" t="str">
        <f t="shared" si="144"/>
        <v>Personal</v>
      </c>
      <c r="T1303">
        <v>570</v>
      </c>
      <c r="U1303">
        <f t="shared" si="145"/>
        <v>570</v>
      </c>
      <c r="V1303">
        <v>6</v>
      </c>
      <c r="W1303" t="s">
        <v>3052</v>
      </c>
      <c r="X1303" s="3" t="s">
        <v>3617</v>
      </c>
      <c r="Y1303" s="3">
        <f t="shared" si="146"/>
        <v>45165</v>
      </c>
      <c r="Z1303">
        <v>0.47439999999999999</v>
      </c>
    </row>
    <row r="1304" spans="1:26" x14ac:dyDescent="0.35">
      <c r="A1304" t="s">
        <v>1307</v>
      </c>
      <c r="B1304" t="str">
        <f t="shared" si="140"/>
        <v>OK</v>
      </c>
      <c r="C1304" t="s">
        <v>2790</v>
      </c>
      <c r="D1304" s="2">
        <v>28</v>
      </c>
      <c r="E1304">
        <f>IF(OR(D1304&lt;18, D1304&gt;100),AD1303,D1304)</f>
        <v>28</v>
      </c>
      <c r="F1304" t="s">
        <v>2990</v>
      </c>
      <c r="G1304" t="str">
        <f t="shared" si="141"/>
        <v>Male</v>
      </c>
      <c r="H1304" t="s">
        <v>3006</v>
      </c>
      <c r="I1304" t="s">
        <v>3021</v>
      </c>
      <c r="K1304" t="str">
        <f t="shared" si="142"/>
        <v>Unemployed</v>
      </c>
      <c r="L1304">
        <v>6</v>
      </c>
      <c r="M1304">
        <v>858841</v>
      </c>
      <c r="N1304">
        <f t="shared" si="143"/>
        <v>858841</v>
      </c>
      <c r="O1304">
        <v>525838</v>
      </c>
      <c r="P1304">
        <v>13.74</v>
      </c>
      <c r="Q1304">
        <v>48</v>
      </c>
      <c r="R1304" t="s">
        <v>3049</v>
      </c>
      <c r="S1304" t="str">
        <f t="shared" si="144"/>
        <v>Business</v>
      </c>
      <c r="T1304">
        <v>510</v>
      </c>
      <c r="U1304">
        <f t="shared" si="145"/>
        <v>510</v>
      </c>
      <c r="V1304">
        <v>7</v>
      </c>
      <c r="W1304" t="s">
        <v>3056</v>
      </c>
      <c r="X1304" s="3" t="s">
        <v>3949</v>
      </c>
      <c r="Y1304" s="3">
        <f t="shared" si="146"/>
        <v>44034</v>
      </c>
      <c r="Z1304">
        <v>0.61229999999999996</v>
      </c>
    </row>
    <row r="1305" spans="1:26" x14ac:dyDescent="0.35">
      <c r="A1305" t="s">
        <v>1308</v>
      </c>
      <c r="B1305" t="str">
        <f t="shared" si="140"/>
        <v>OK</v>
      </c>
      <c r="C1305" t="s">
        <v>2791</v>
      </c>
      <c r="D1305" s="2">
        <v>43</v>
      </c>
      <c r="E1305">
        <f>IF(OR(D1305&lt;18, D1305&gt;100),AD1304,D1305)</f>
        <v>43</v>
      </c>
      <c r="F1305" t="s">
        <v>2990</v>
      </c>
      <c r="G1305" t="str">
        <f t="shared" si="141"/>
        <v>Male</v>
      </c>
      <c r="H1305" t="s">
        <v>3007</v>
      </c>
      <c r="I1305" t="s">
        <v>3018</v>
      </c>
      <c r="K1305" t="str">
        <f t="shared" si="142"/>
        <v>Business Owner</v>
      </c>
      <c r="L1305">
        <v>29</v>
      </c>
      <c r="M1305">
        <v>1123793</v>
      </c>
      <c r="N1305">
        <f t="shared" si="143"/>
        <v>1123793</v>
      </c>
      <c r="O1305">
        <v>443332</v>
      </c>
      <c r="P1305">
        <v>21.17</v>
      </c>
      <c r="Q1305">
        <v>24</v>
      </c>
      <c r="R1305" t="s">
        <v>3049</v>
      </c>
      <c r="S1305" t="str">
        <f t="shared" si="144"/>
        <v>Business</v>
      </c>
      <c r="T1305">
        <v>412</v>
      </c>
      <c r="U1305">
        <f t="shared" si="145"/>
        <v>412</v>
      </c>
      <c r="V1305">
        <v>0</v>
      </c>
      <c r="W1305" t="s">
        <v>3055</v>
      </c>
      <c r="X1305" s="3" t="s">
        <v>3621</v>
      </c>
      <c r="Y1305" s="3">
        <f t="shared" si="146"/>
        <v>45182</v>
      </c>
      <c r="Z1305">
        <v>0.39450000000000002</v>
      </c>
    </row>
    <row r="1306" spans="1:26" x14ac:dyDescent="0.35">
      <c r="A1306" t="s">
        <v>1309</v>
      </c>
      <c r="B1306" t="str">
        <f t="shared" si="140"/>
        <v>OK</v>
      </c>
      <c r="C1306" t="s">
        <v>2792</v>
      </c>
      <c r="D1306" s="2">
        <v>24</v>
      </c>
      <c r="E1306">
        <f>IF(OR(D1306&lt;18, D1306&gt;100),AD1305,D1306)</f>
        <v>24</v>
      </c>
      <c r="F1306" t="s">
        <v>2990</v>
      </c>
      <c r="G1306" t="str">
        <f t="shared" si="141"/>
        <v>Male</v>
      </c>
      <c r="H1306" t="s">
        <v>3000</v>
      </c>
      <c r="I1306" t="s">
        <v>3018</v>
      </c>
      <c r="K1306" t="str">
        <f t="shared" si="142"/>
        <v>Business Owner</v>
      </c>
      <c r="L1306">
        <v>11</v>
      </c>
      <c r="M1306">
        <v>991554</v>
      </c>
      <c r="N1306">
        <f t="shared" si="143"/>
        <v>991554</v>
      </c>
      <c r="O1306">
        <v>691314</v>
      </c>
      <c r="P1306">
        <v>22.7</v>
      </c>
      <c r="Q1306">
        <v>48</v>
      </c>
      <c r="R1306" t="s">
        <v>3049</v>
      </c>
      <c r="S1306" t="str">
        <f t="shared" si="144"/>
        <v>Business</v>
      </c>
      <c r="T1306">
        <v>821</v>
      </c>
      <c r="U1306">
        <f t="shared" si="145"/>
        <v>821</v>
      </c>
      <c r="V1306">
        <v>2</v>
      </c>
      <c r="W1306" t="s">
        <v>3054</v>
      </c>
      <c r="X1306" s="3" t="s">
        <v>3439</v>
      </c>
      <c r="Y1306" s="3">
        <f t="shared" si="146"/>
        <v>44410</v>
      </c>
      <c r="Z1306">
        <v>0.69720000000000004</v>
      </c>
    </row>
    <row r="1307" spans="1:26" x14ac:dyDescent="0.35">
      <c r="A1307" t="s">
        <v>1310</v>
      </c>
      <c r="B1307" t="str">
        <f t="shared" si="140"/>
        <v>OK</v>
      </c>
      <c r="C1307" t="s">
        <v>2794</v>
      </c>
      <c r="D1307" s="2">
        <v>39</v>
      </c>
      <c r="E1307">
        <f>IF(OR(D1307&lt;18, D1307&gt;100),AD1306,D1307)</f>
        <v>39</v>
      </c>
      <c r="F1307" t="s">
        <v>2992</v>
      </c>
      <c r="G1307" t="str">
        <f t="shared" si="141"/>
        <v>Female</v>
      </c>
      <c r="H1307" t="s">
        <v>3000</v>
      </c>
      <c r="I1307" t="s">
        <v>3018</v>
      </c>
      <c r="K1307" t="str">
        <f t="shared" si="142"/>
        <v>Business Owner</v>
      </c>
      <c r="L1307">
        <v>3</v>
      </c>
      <c r="M1307">
        <v>381260</v>
      </c>
      <c r="N1307">
        <f t="shared" si="143"/>
        <v>381260</v>
      </c>
      <c r="O1307">
        <v>508051</v>
      </c>
      <c r="P1307">
        <v>24.24</v>
      </c>
      <c r="Q1307">
        <v>36</v>
      </c>
      <c r="R1307" t="s">
        <v>3047</v>
      </c>
      <c r="S1307" t="str">
        <f t="shared" si="144"/>
        <v>Personal</v>
      </c>
      <c r="T1307">
        <v>785</v>
      </c>
      <c r="U1307">
        <f t="shared" si="145"/>
        <v>785</v>
      </c>
      <c r="V1307">
        <v>0</v>
      </c>
      <c r="W1307" t="s">
        <v>3053</v>
      </c>
      <c r="X1307" s="3" t="s">
        <v>3982</v>
      </c>
      <c r="Y1307" s="3">
        <f t="shared" si="146"/>
        <v>44524</v>
      </c>
      <c r="Z1307">
        <v>1.3326</v>
      </c>
    </row>
    <row r="1308" spans="1:26" x14ac:dyDescent="0.35">
      <c r="A1308" t="s">
        <v>1311</v>
      </c>
      <c r="B1308" t="str">
        <f t="shared" si="140"/>
        <v>OK</v>
      </c>
      <c r="C1308" t="s">
        <v>2795</v>
      </c>
      <c r="D1308" s="2">
        <v>29</v>
      </c>
      <c r="E1308">
        <f>IF(OR(D1308&lt;18, D1308&gt;100),AD1307,D1308)</f>
        <v>29</v>
      </c>
      <c r="F1308" t="s">
        <v>2992</v>
      </c>
      <c r="G1308" t="str">
        <f t="shared" si="141"/>
        <v>Female</v>
      </c>
      <c r="H1308" t="s">
        <v>3002</v>
      </c>
      <c r="I1308" t="s">
        <v>3020</v>
      </c>
      <c r="K1308" t="str">
        <f t="shared" si="142"/>
        <v>Self-Employed</v>
      </c>
      <c r="L1308">
        <v>17</v>
      </c>
      <c r="M1308">
        <v>1992375</v>
      </c>
      <c r="N1308">
        <f t="shared" si="143"/>
        <v>1992375</v>
      </c>
      <c r="O1308">
        <v>778826</v>
      </c>
      <c r="P1308">
        <v>19.079999999999998</v>
      </c>
      <c r="Q1308">
        <v>60</v>
      </c>
      <c r="R1308" t="s">
        <v>3050</v>
      </c>
      <c r="S1308" t="str">
        <f t="shared" si="144"/>
        <v>Agriculture</v>
      </c>
      <c r="T1308">
        <v>827</v>
      </c>
      <c r="U1308">
        <f t="shared" si="145"/>
        <v>827</v>
      </c>
      <c r="V1308">
        <v>3</v>
      </c>
      <c r="W1308" t="s">
        <v>3056</v>
      </c>
      <c r="X1308" s="3" t="s">
        <v>3983</v>
      </c>
      <c r="Y1308" s="3">
        <f t="shared" si="146"/>
        <v>44111</v>
      </c>
      <c r="Z1308">
        <v>0.39090000000000003</v>
      </c>
    </row>
    <row r="1309" spans="1:26" x14ac:dyDescent="0.35">
      <c r="A1309" t="s">
        <v>1312</v>
      </c>
      <c r="B1309" t="str">
        <f t="shared" si="140"/>
        <v>OK</v>
      </c>
      <c r="C1309" t="s">
        <v>2628</v>
      </c>
      <c r="D1309" s="2">
        <v>53</v>
      </c>
      <c r="E1309">
        <f>IF(OR(D1309&lt;18, D1309&gt;100),AD1308,D1309)</f>
        <v>53</v>
      </c>
      <c r="F1309" t="s">
        <v>2997</v>
      </c>
      <c r="G1309" t="str">
        <f t="shared" si="141"/>
        <v>Male</v>
      </c>
      <c r="H1309" t="s">
        <v>3004</v>
      </c>
      <c r="I1309" t="s">
        <v>3020</v>
      </c>
      <c r="K1309" t="str">
        <f t="shared" si="142"/>
        <v>Self-Employed</v>
      </c>
      <c r="L1309">
        <v>8</v>
      </c>
      <c r="M1309">
        <v>1045139</v>
      </c>
      <c r="N1309">
        <f t="shared" si="143"/>
        <v>1045139</v>
      </c>
      <c r="O1309">
        <v>504273</v>
      </c>
      <c r="P1309">
        <v>15.87</v>
      </c>
      <c r="Q1309">
        <v>12</v>
      </c>
      <c r="R1309" t="s">
        <v>3047</v>
      </c>
      <c r="S1309" t="str">
        <f t="shared" si="144"/>
        <v>Personal</v>
      </c>
      <c r="T1309">
        <v>802</v>
      </c>
      <c r="U1309">
        <f t="shared" si="145"/>
        <v>802</v>
      </c>
      <c r="V1309">
        <v>3</v>
      </c>
      <c r="W1309" t="s">
        <v>3054</v>
      </c>
      <c r="X1309" s="3" t="s">
        <v>3848</v>
      </c>
      <c r="Y1309" s="3">
        <f t="shared" si="146"/>
        <v>45270</v>
      </c>
      <c r="Z1309">
        <v>0.48249999999999998</v>
      </c>
    </row>
    <row r="1310" spans="1:26" x14ac:dyDescent="0.35">
      <c r="A1310" t="s">
        <v>1313</v>
      </c>
      <c r="B1310" t="str">
        <f t="shared" si="140"/>
        <v>OK</v>
      </c>
      <c r="C1310" t="s">
        <v>2796</v>
      </c>
      <c r="D1310" s="2">
        <v>47</v>
      </c>
      <c r="E1310">
        <f>IF(OR(D1310&lt;18, D1310&gt;100),AD1309,D1310)</f>
        <v>47</v>
      </c>
      <c r="F1310" t="s">
        <v>2993</v>
      </c>
      <c r="G1310" t="str">
        <f t="shared" si="141"/>
        <v>Male</v>
      </c>
      <c r="H1310" t="s">
        <v>3000</v>
      </c>
      <c r="I1310" t="s">
        <v>3021</v>
      </c>
      <c r="K1310" t="str">
        <f t="shared" si="142"/>
        <v>Unemployed</v>
      </c>
      <c r="L1310">
        <v>11</v>
      </c>
      <c r="M1310">
        <v>1601174</v>
      </c>
      <c r="N1310">
        <f t="shared" si="143"/>
        <v>1601174</v>
      </c>
      <c r="O1310">
        <v>485525</v>
      </c>
      <c r="P1310">
        <v>21.25</v>
      </c>
      <c r="Q1310">
        <v>12</v>
      </c>
      <c r="R1310" t="s">
        <v>3048</v>
      </c>
      <c r="S1310" t="str">
        <f t="shared" si="144"/>
        <v>Home Improvement</v>
      </c>
      <c r="T1310">
        <v>581</v>
      </c>
      <c r="U1310">
        <f t="shared" si="145"/>
        <v>581</v>
      </c>
      <c r="V1310">
        <v>3</v>
      </c>
      <c r="W1310" t="s">
        <v>3057</v>
      </c>
      <c r="X1310" s="3" t="s">
        <v>3489</v>
      </c>
      <c r="Y1310" s="3">
        <f t="shared" si="146"/>
        <v>45207</v>
      </c>
      <c r="Z1310">
        <v>0.30320000000000003</v>
      </c>
    </row>
    <row r="1311" spans="1:26" x14ac:dyDescent="0.35">
      <c r="A1311" t="s">
        <v>1314</v>
      </c>
      <c r="B1311" t="str">
        <f t="shared" si="140"/>
        <v>OK</v>
      </c>
      <c r="C1311" t="s">
        <v>2797</v>
      </c>
      <c r="D1311" s="2">
        <v>48</v>
      </c>
      <c r="E1311">
        <f>IF(OR(D1311&lt;18, D1311&gt;100),AD1310,D1311)</f>
        <v>48</v>
      </c>
      <c r="F1311" t="s">
        <v>2992</v>
      </c>
      <c r="G1311" t="str">
        <f t="shared" si="141"/>
        <v>Female</v>
      </c>
      <c r="H1311" t="s">
        <v>3007</v>
      </c>
      <c r="I1311" t="s">
        <v>3020</v>
      </c>
      <c r="K1311" t="str">
        <f t="shared" si="142"/>
        <v>Self-Employed</v>
      </c>
      <c r="L1311">
        <v>26</v>
      </c>
      <c r="M1311">
        <v>1844034</v>
      </c>
      <c r="N1311">
        <f t="shared" si="143"/>
        <v>1844034</v>
      </c>
      <c r="O1311">
        <v>670102</v>
      </c>
      <c r="P1311">
        <v>12.67</v>
      </c>
      <c r="Q1311">
        <v>12</v>
      </c>
      <c r="R1311" t="s">
        <v>3047</v>
      </c>
      <c r="S1311" t="str">
        <f t="shared" si="144"/>
        <v>Personal</v>
      </c>
      <c r="T1311">
        <v>822</v>
      </c>
      <c r="U1311">
        <f t="shared" si="145"/>
        <v>822</v>
      </c>
      <c r="V1311">
        <v>0</v>
      </c>
      <c r="W1311" t="s">
        <v>3055</v>
      </c>
      <c r="X1311" s="3" t="s">
        <v>3984</v>
      </c>
      <c r="Y1311" s="3">
        <f t="shared" si="146"/>
        <v>44859</v>
      </c>
      <c r="Z1311">
        <v>0.3634</v>
      </c>
    </row>
    <row r="1312" spans="1:26" x14ac:dyDescent="0.35">
      <c r="A1312" t="s">
        <v>1315</v>
      </c>
      <c r="B1312" t="str">
        <f t="shared" si="140"/>
        <v>OK</v>
      </c>
      <c r="C1312" t="s">
        <v>2798</v>
      </c>
      <c r="D1312" s="2">
        <v>31</v>
      </c>
      <c r="E1312">
        <f>IF(OR(D1312&lt;18, D1312&gt;100),AD1311,D1312)</f>
        <v>31</v>
      </c>
      <c r="F1312" t="s">
        <v>2990</v>
      </c>
      <c r="G1312" t="str">
        <f t="shared" si="141"/>
        <v>Male</v>
      </c>
      <c r="H1312" t="s">
        <v>2998</v>
      </c>
      <c r="I1312" t="s">
        <v>3021</v>
      </c>
      <c r="K1312" t="str">
        <f t="shared" si="142"/>
        <v>Unemployed</v>
      </c>
      <c r="L1312">
        <v>20</v>
      </c>
      <c r="M1312">
        <v>1604945</v>
      </c>
      <c r="N1312">
        <f t="shared" si="143"/>
        <v>1604945</v>
      </c>
      <c r="O1312">
        <v>277354</v>
      </c>
      <c r="P1312">
        <v>18.63</v>
      </c>
      <c r="Q1312">
        <v>36</v>
      </c>
      <c r="R1312" t="s">
        <v>3050</v>
      </c>
      <c r="S1312" t="str">
        <f t="shared" si="144"/>
        <v>Agriculture</v>
      </c>
      <c r="T1312">
        <v>533</v>
      </c>
      <c r="U1312">
        <f t="shared" si="145"/>
        <v>533</v>
      </c>
      <c r="V1312">
        <v>2</v>
      </c>
      <c r="W1312" t="s">
        <v>3053</v>
      </c>
      <c r="X1312" s="3" t="s">
        <v>3985</v>
      </c>
      <c r="Y1312" s="3">
        <f t="shared" si="146"/>
        <v>45201</v>
      </c>
      <c r="Z1312">
        <v>0.17280000000000001</v>
      </c>
    </row>
    <row r="1313" spans="1:26" x14ac:dyDescent="0.35">
      <c r="A1313" t="s">
        <v>1316</v>
      </c>
      <c r="B1313" t="str">
        <f t="shared" si="140"/>
        <v>OK</v>
      </c>
      <c r="C1313" t="s">
        <v>2799</v>
      </c>
      <c r="D1313" s="2">
        <v>64</v>
      </c>
      <c r="E1313">
        <f>IF(OR(D1313&lt;18, D1313&gt;100),AD1312,D1313)</f>
        <v>64</v>
      </c>
      <c r="F1313" t="s">
        <v>2992</v>
      </c>
      <c r="G1313" t="str">
        <f t="shared" si="141"/>
        <v>Female</v>
      </c>
      <c r="H1313" t="s">
        <v>3006</v>
      </c>
      <c r="I1313" t="s">
        <v>3020</v>
      </c>
      <c r="K1313" t="str">
        <f t="shared" si="142"/>
        <v>Self-Employed</v>
      </c>
      <c r="L1313">
        <v>28</v>
      </c>
      <c r="M1313">
        <v>1836671</v>
      </c>
      <c r="N1313">
        <f t="shared" si="143"/>
        <v>1836671</v>
      </c>
      <c r="O1313">
        <v>510083</v>
      </c>
      <c r="P1313">
        <v>8.6999999999999993</v>
      </c>
      <c r="Q1313">
        <v>60</v>
      </c>
      <c r="R1313" t="s">
        <v>3050</v>
      </c>
      <c r="S1313" t="str">
        <f t="shared" si="144"/>
        <v>Agriculture</v>
      </c>
      <c r="T1313">
        <v>745</v>
      </c>
      <c r="U1313">
        <f t="shared" si="145"/>
        <v>745</v>
      </c>
      <c r="V1313">
        <v>5</v>
      </c>
      <c r="W1313" t="s">
        <v>3057</v>
      </c>
      <c r="X1313" s="3" t="s">
        <v>3986</v>
      </c>
      <c r="Y1313" s="3">
        <f t="shared" si="146"/>
        <v>44423</v>
      </c>
      <c r="Z1313">
        <v>0.2777</v>
      </c>
    </row>
    <row r="1314" spans="1:26" x14ac:dyDescent="0.35">
      <c r="A1314" t="s">
        <v>1317</v>
      </c>
      <c r="B1314" t="str">
        <f t="shared" si="140"/>
        <v>OK</v>
      </c>
      <c r="C1314" t="s">
        <v>2800</v>
      </c>
      <c r="D1314" s="2">
        <v>25</v>
      </c>
      <c r="E1314">
        <f>IF(OR(D1314&lt;18, D1314&gt;100),AD1313,D1314)</f>
        <v>25</v>
      </c>
      <c r="F1314" t="s">
        <v>2990</v>
      </c>
      <c r="G1314" t="str">
        <f t="shared" si="141"/>
        <v>Male</v>
      </c>
      <c r="H1314" t="s">
        <v>3005</v>
      </c>
      <c r="I1314" t="s">
        <v>3018</v>
      </c>
      <c r="K1314" t="str">
        <f t="shared" si="142"/>
        <v>Business Owner</v>
      </c>
      <c r="L1314">
        <v>0</v>
      </c>
      <c r="M1314">
        <v>1539231</v>
      </c>
      <c r="N1314">
        <f t="shared" si="143"/>
        <v>1539231</v>
      </c>
      <c r="O1314">
        <v>725356</v>
      </c>
      <c r="P1314">
        <v>19.059999999999999</v>
      </c>
      <c r="Q1314">
        <v>48</v>
      </c>
      <c r="R1314" t="s">
        <v>3050</v>
      </c>
      <c r="S1314" t="str">
        <f t="shared" si="144"/>
        <v>Agriculture</v>
      </c>
      <c r="T1314">
        <v>346</v>
      </c>
      <c r="U1314">
        <f t="shared" si="145"/>
        <v>346</v>
      </c>
      <c r="V1314">
        <v>2</v>
      </c>
      <c r="W1314" t="s">
        <v>3055</v>
      </c>
      <c r="X1314" s="3" t="s">
        <v>3165</v>
      </c>
      <c r="Y1314" s="3">
        <f t="shared" si="146"/>
        <v>44374</v>
      </c>
      <c r="Z1314">
        <v>0.47120000000000001</v>
      </c>
    </row>
    <row r="1315" spans="1:26" x14ac:dyDescent="0.35">
      <c r="A1315" t="s">
        <v>1318</v>
      </c>
      <c r="B1315" t="str">
        <f t="shared" si="140"/>
        <v>OK</v>
      </c>
      <c r="C1315" t="s">
        <v>2801</v>
      </c>
      <c r="D1315" s="2">
        <v>64</v>
      </c>
      <c r="E1315">
        <f>IF(OR(D1315&lt;18, D1315&gt;100),AD1314,D1315)</f>
        <v>64</v>
      </c>
      <c r="F1315" t="s">
        <v>2992</v>
      </c>
      <c r="G1315" t="str">
        <f t="shared" si="141"/>
        <v>Female</v>
      </c>
      <c r="H1315" t="s">
        <v>3003</v>
      </c>
      <c r="I1315" t="s">
        <v>3021</v>
      </c>
      <c r="K1315" t="str">
        <f t="shared" si="142"/>
        <v>Unemployed</v>
      </c>
      <c r="L1315">
        <v>28</v>
      </c>
      <c r="M1315">
        <v>1783546</v>
      </c>
      <c r="N1315">
        <f t="shared" si="143"/>
        <v>1783546</v>
      </c>
      <c r="O1315">
        <v>765423</v>
      </c>
      <c r="P1315">
        <v>13.38</v>
      </c>
      <c r="Q1315">
        <v>60</v>
      </c>
      <c r="R1315" t="s">
        <v>3047</v>
      </c>
      <c r="S1315" t="str">
        <f t="shared" si="144"/>
        <v>Personal</v>
      </c>
      <c r="T1315">
        <v>479</v>
      </c>
      <c r="U1315">
        <f t="shared" si="145"/>
        <v>479</v>
      </c>
      <c r="V1315">
        <v>1</v>
      </c>
      <c r="W1315" t="s">
        <v>3055</v>
      </c>
      <c r="X1315" s="3" t="s">
        <v>3299</v>
      </c>
      <c r="Y1315" s="3">
        <f t="shared" si="146"/>
        <v>44838</v>
      </c>
      <c r="Z1315">
        <v>0.42920000000000003</v>
      </c>
    </row>
    <row r="1316" spans="1:26" x14ac:dyDescent="0.35">
      <c r="A1316" t="s">
        <v>1319</v>
      </c>
      <c r="B1316" t="str">
        <f t="shared" si="140"/>
        <v>OK</v>
      </c>
      <c r="C1316" t="s">
        <v>2802</v>
      </c>
      <c r="D1316" s="2">
        <v>62</v>
      </c>
      <c r="E1316">
        <f>IF(OR(D1316&lt;18, D1316&gt;100),AD1315,D1316)</f>
        <v>62</v>
      </c>
      <c r="F1316" t="s">
        <v>2990</v>
      </c>
      <c r="G1316" t="str">
        <f t="shared" si="141"/>
        <v>Male</v>
      </c>
      <c r="H1316" t="s">
        <v>3001</v>
      </c>
      <c r="I1316" t="s">
        <v>3021</v>
      </c>
      <c r="K1316" t="str">
        <f t="shared" si="142"/>
        <v>Unemployed</v>
      </c>
      <c r="L1316">
        <v>6</v>
      </c>
      <c r="M1316">
        <v>2163167</v>
      </c>
      <c r="N1316">
        <f t="shared" si="143"/>
        <v>2163167</v>
      </c>
      <c r="O1316">
        <v>301854</v>
      </c>
      <c r="P1316">
        <v>26.53</v>
      </c>
      <c r="Q1316">
        <v>60</v>
      </c>
      <c r="R1316" t="s">
        <v>3049</v>
      </c>
      <c r="S1316" t="str">
        <f t="shared" si="144"/>
        <v>Business</v>
      </c>
      <c r="T1316">
        <v>454</v>
      </c>
      <c r="U1316">
        <f t="shared" si="145"/>
        <v>454</v>
      </c>
      <c r="V1316">
        <v>1</v>
      </c>
      <c r="W1316" t="s">
        <v>3056</v>
      </c>
      <c r="X1316" s="3" t="s">
        <v>3840</v>
      </c>
      <c r="Y1316" s="3">
        <f t="shared" si="146"/>
        <v>44099</v>
      </c>
      <c r="Z1316">
        <v>0.13950000000000001</v>
      </c>
    </row>
    <row r="1317" spans="1:26" x14ac:dyDescent="0.35">
      <c r="A1317" t="s">
        <v>1320</v>
      </c>
      <c r="B1317" t="str">
        <f t="shared" si="140"/>
        <v>OK</v>
      </c>
      <c r="C1317" t="s">
        <v>2803</v>
      </c>
      <c r="D1317" s="2">
        <v>31</v>
      </c>
      <c r="E1317">
        <f>IF(OR(D1317&lt;18, D1317&gt;100),AD1316,D1317)</f>
        <v>31</v>
      </c>
      <c r="F1317" t="s">
        <v>2990</v>
      </c>
      <c r="G1317" t="str">
        <f t="shared" si="141"/>
        <v>Male</v>
      </c>
      <c r="H1317" t="s">
        <v>3004</v>
      </c>
      <c r="I1317" t="s">
        <v>3018</v>
      </c>
      <c r="K1317" t="str">
        <f t="shared" si="142"/>
        <v>Business Owner</v>
      </c>
      <c r="L1317">
        <v>3</v>
      </c>
      <c r="M1317">
        <v>1566652</v>
      </c>
      <c r="N1317">
        <f t="shared" si="143"/>
        <v>1566652</v>
      </c>
      <c r="O1317">
        <v>622644</v>
      </c>
      <c r="P1317">
        <v>23.5</v>
      </c>
      <c r="Q1317">
        <v>60</v>
      </c>
      <c r="R1317" t="s">
        <v>3048</v>
      </c>
      <c r="S1317" t="str">
        <f t="shared" si="144"/>
        <v>Home Improvement</v>
      </c>
      <c r="T1317">
        <v>738</v>
      </c>
      <c r="U1317">
        <f t="shared" si="145"/>
        <v>738</v>
      </c>
      <c r="V1317">
        <v>2</v>
      </c>
      <c r="W1317" t="s">
        <v>3052</v>
      </c>
      <c r="X1317" s="3" t="s">
        <v>3987</v>
      </c>
      <c r="Y1317" s="3">
        <f t="shared" si="146"/>
        <v>45240</v>
      </c>
      <c r="Z1317">
        <v>0.39739999999999998</v>
      </c>
    </row>
    <row r="1318" spans="1:26" x14ac:dyDescent="0.35">
      <c r="A1318" t="s">
        <v>27</v>
      </c>
      <c r="B1318" t="str">
        <f t="shared" si="140"/>
        <v>OK</v>
      </c>
      <c r="C1318" t="s">
        <v>1517</v>
      </c>
      <c r="D1318" s="2">
        <v>55</v>
      </c>
      <c r="E1318">
        <f>IF(OR(D1318&lt;18, D1318&gt;100),AD1317,D1318)</f>
        <v>55</v>
      </c>
      <c r="F1318" t="s">
        <v>2990</v>
      </c>
      <c r="G1318" t="str">
        <f t="shared" si="141"/>
        <v>Male</v>
      </c>
      <c r="H1318" t="s">
        <v>3003</v>
      </c>
      <c r="I1318" t="s">
        <v>3018</v>
      </c>
      <c r="K1318" t="str">
        <f t="shared" si="142"/>
        <v>Business Owner</v>
      </c>
      <c r="L1318">
        <v>24</v>
      </c>
      <c r="M1318">
        <v>1596953</v>
      </c>
      <c r="N1318">
        <f t="shared" si="143"/>
        <v>1596953</v>
      </c>
      <c r="O1318">
        <v>523323</v>
      </c>
      <c r="P1318" t="s">
        <v>3042</v>
      </c>
      <c r="Q1318">
        <v>48</v>
      </c>
      <c r="S1318" t="str">
        <f t="shared" si="144"/>
        <v>Unknown</v>
      </c>
      <c r="T1318">
        <v>644</v>
      </c>
      <c r="U1318">
        <f t="shared" si="145"/>
        <v>644</v>
      </c>
      <c r="V1318">
        <v>5</v>
      </c>
      <c r="W1318" t="s">
        <v>3052</v>
      </c>
      <c r="X1318" s="3" t="s">
        <v>3074</v>
      </c>
      <c r="Y1318" s="3">
        <f t="shared" si="146"/>
        <v>44403</v>
      </c>
      <c r="Z1318">
        <v>0.32769999999999999</v>
      </c>
    </row>
    <row r="1319" spans="1:26" x14ac:dyDescent="0.35">
      <c r="A1319" t="s">
        <v>1321</v>
      </c>
      <c r="B1319" t="str">
        <f t="shared" si="140"/>
        <v>OK</v>
      </c>
      <c r="C1319" t="s">
        <v>2804</v>
      </c>
      <c r="D1319" s="2">
        <v>57</v>
      </c>
      <c r="E1319">
        <f>IF(OR(D1319&lt;18, D1319&gt;100),AD1318,D1319)</f>
        <v>57</v>
      </c>
      <c r="F1319" t="s">
        <v>2990</v>
      </c>
      <c r="G1319" t="str">
        <f t="shared" si="141"/>
        <v>Male</v>
      </c>
      <c r="H1319" t="s">
        <v>3005</v>
      </c>
      <c r="I1319" t="s">
        <v>3020</v>
      </c>
      <c r="K1319" t="str">
        <f t="shared" si="142"/>
        <v>Self-Employed</v>
      </c>
      <c r="L1319">
        <v>15</v>
      </c>
      <c r="M1319">
        <v>1734205</v>
      </c>
      <c r="N1319">
        <f t="shared" si="143"/>
        <v>1734205</v>
      </c>
      <c r="O1319">
        <v>158286</v>
      </c>
      <c r="P1319">
        <v>10.87</v>
      </c>
      <c r="Q1319">
        <v>36</v>
      </c>
      <c r="R1319" t="s">
        <v>3050</v>
      </c>
      <c r="S1319" t="str">
        <f t="shared" si="144"/>
        <v>Agriculture</v>
      </c>
      <c r="T1319">
        <v>741</v>
      </c>
      <c r="U1319">
        <f t="shared" si="145"/>
        <v>741</v>
      </c>
      <c r="V1319">
        <v>2</v>
      </c>
      <c r="W1319" t="s">
        <v>3063</v>
      </c>
      <c r="X1319" s="3" t="s">
        <v>3988</v>
      </c>
      <c r="Y1319" s="3">
        <f t="shared" si="146"/>
        <v>43834</v>
      </c>
      <c r="Z1319">
        <v>9.1300000000000006E-2</v>
      </c>
    </row>
    <row r="1320" spans="1:26" x14ac:dyDescent="0.35">
      <c r="A1320" t="s">
        <v>1322</v>
      </c>
      <c r="B1320" t="str">
        <f t="shared" si="140"/>
        <v>OK</v>
      </c>
      <c r="C1320" t="s">
        <v>2805</v>
      </c>
      <c r="D1320" s="2">
        <v>25</v>
      </c>
      <c r="E1320">
        <f>IF(OR(D1320&lt;18, D1320&gt;100),AD1319,D1320)</f>
        <v>25</v>
      </c>
      <c r="F1320" t="s">
        <v>2992</v>
      </c>
      <c r="G1320" t="str">
        <f t="shared" si="141"/>
        <v>Female</v>
      </c>
      <c r="H1320" t="s">
        <v>3004</v>
      </c>
      <c r="I1320" t="s">
        <v>3021</v>
      </c>
      <c r="K1320" t="str">
        <f t="shared" si="142"/>
        <v>Unemployed</v>
      </c>
      <c r="L1320">
        <v>6</v>
      </c>
      <c r="M1320">
        <v>815719</v>
      </c>
      <c r="N1320">
        <f t="shared" si="143"/>
        <v>815719</v>
      </c>
      <c r="O1320">
        <v>185129</v>
      </c>
      <c r="P1320">
        <v>14.06</v>
      </c>
      <c r="Q1320">
        <v>12</v>
      </c>
      <c r="R1320" t="s">
        <v>3049</v>
      </c>
      <c r="S1320" t="str">
        <f t="shared" si="144"/>
        <v>Business</v>
      </c>
      <c r="T1320">
        <v>525</v>
      </c>
      <c r="U1320">
        <f t="shared" si="145"/>
        <v>525</v>
      </c>
      <c r="V1320">
        <v>4</v>
      </c>
      <c r="W1320" t="s">
        <v>3052</v>
      </c>
      <c r="X1320" s="3" t="s">
        <v>3565</v>
      </c>
      <c r="Y1320" s="3">
        <f t="shared" si="146"/>
        <v>44018</v>
      </c>
      <c r="Z1320">
        <v>0.22700000000000001</v>
      </c>
    </row>
    <row r="1321" spans="1:26" x14ac:dyDescent="0.35">
      <c r="A1321" t="s">
        <v>1323</v>
      </c>
      <c r="B1321" t="str">
        <f t="shared" si="140"/>
        <v>OK</v>
      </c>
      <c r="C1321" t="s">
        <v>2806</v>
      </c>
      <c r="D1321" s="2">
        <v>39</v>
      </c>
      <c r="E1321">
        <f>IF(OR(D1321&lt;18, D1321&gt;100),AD1320,D1321)</f>
        <v>39</v>
      </c>
      <c r="F1321" t="s">
        <v>2992</v>
      </c>
      <c r="G1321" t="str">
        <f t="shared" si="141"/>
        <v>Female</v>
      </c>
      <c r="H1321" t="s">
        <v>3001</v>
      </c>
      <c r="K1321" t="str">
        <f t="shared" si="142"/>
        <v>Unknown</v>
      </c>
      <c r="L1321">
        <v>9</v>
      </c>
      <c r="M1321">
        <v>1340248</v>
      </c>
      <c r="N1321">
        <f t="shared" si="143"/>
        <v>1340248</v>
      </c>
      <c r="O1321">
        <v>331442</v>
      </c>
      <c r="P1321">
        <v>21.5</v>
      </c>
      <c r="Q1321">
        <v>36</v>
      </c>
      <c r="R1321" t="s">
        <v>3049</v>
      </c>
      <c r="S1321" t="str">
        <f t="shared" si="144"/>
        <v>Business</v>
      </c>
      <c r="T1321">
        <v>343</v>
      </c>
      <c r="U1321">
        <f t="shared" si="145"/>
        <v>343</v>
      </c>
      <c r="V1321">
        <v>2</v>
      </c>
      <c r="W1321" t="s">
        <v>3053</v>
      </c>
      <c r="X1321" s="3" t="s">
        <v>3131</v>
      </c>
      <c r="Y1321" s="3">
        <f t="shared" si="146"/>
        <v>44961</v>
      </c>
      <c r="Z1321">
        <v>0.24729999999999999</v>
      </c>
    </row>
    <row r="1322" spans="1:26" x14ac:dyDescent="0.35">
      <c r="A1322" t="s">
        <v>1324</v>
      </c>
      <c r="B1322" t="str">
        <f t="shared" si="140"/>
        <v>OK</v>
      </c>
      <c r="C1322" t="s">
        <v>2807</v>
      </c>
      <c r="D1322" s="2">
        <v>48</v>
      </c>
      <c r="E1322">
        <f>IF(OR(D1322&lt;18, D1322&gt;100),AD1321,D1322)</f>
        <v>48</v>
      </c>
      <c r="F1322" t="s">
        <v>2992</v>
      </c>
      <c r="G1322" t="str">
        <f t="shared" si="141"/>
        <v>Female</v>
      </c>
      <c r="H1322" t="s">
        <v>3002</v>
      </c>
      <c r="I1322" t="s">
        <v>3020</v>
      </c>
      <c r="K1322" t="str">
        <f t="shared" si="142"/>
        <v>Self-Employed</v>
      </c>
      <c r="L1322">
        <v>15</v>
      </c>
      <c r="M1322">
        <v>1532144</v>
      </c>
      <c r="N1322">
        <f t="shared" si="143"/>
        <v>1532144</v>
      </c>
      <c r="O1322">
        <v>404890</v>
      </c>
      <c r="P1322">
        <v>16.3</v>
      </c>
      <c r="Q1322">
        <v>60</v>
      </c>
      <c r="R1322" t="s">
        <v>3050</v>
      </c>
      <c r="S1322" t="str">
        <f t="shared" si="144"/>
        <v>Agriculture</v>
      </c>
      <c r="T1322">
        <v>485</v>
      </c>
      <c r="U1322">
        <f t="shared" si="145"/>
        <v>485</v>
      </c>
      <c r="V1322">
        <v>1</v>
      </c>
      <c r="W1322" t="s">
        <v>3055</v>
      </c>
      <c r="X1322" s="3" t="s">
        <v>3560</v>
      </c>
      <c r="Y1322" s="3">
        <f t="shared" si="146"/>
        <v>44680</v>
      </c>
      <c r="Z1322">
        <v>0.26429999999999998</v>
      </c>
    </row>
    <row r="1323" spans="1:26" x14ac:dyDescent="0.35">
      <c r="A1323" t="s">
        <v>1325</v>
      </c>
      <c r="B1323" t="str">
        <f t="shared" si="140"/>
        <v>OK</v>
      </c>
      <c r="C1323" t="s">
        <v>2808</v>
      </c>
      <c r="D1323" s="2">
        <v>55</v>
      </c>
      <c r="E1323">
        <f>IF(OR(D1323&lt;18, D1323&gt;100),AD1322,D1323)</f>
        <v>55</v>
      </c>
      <c r="F1323" t="s">
        <v>2990</v>
      </c>
      <c r="G1323" t="str">
        <f t="shared" si="141"/>
        <v>Male</v>
      </c>
      <c r="H1323" t="s">
        <v>2999</v>
      </c>
      <c r="I1323" t="s">
        <v>3020</v>
      </c>
      <c r="K1323" t="str">
        <f t="shared" si="142"/>
        <v>Self-Employed</v>
      </c>
      <c r="L1323">
        <v>18</v>
      </c>
      <c r="M1323">
        <v>1158080</v>
      </c>
      <c r="N1323">
        <f t="shared" si="143"/>
        <v>1158080</v>
      </c>
      <c r="O1323">
        <v>699892</v>
      </c>
      <c r="P1323">
        <v>9.01</v>
      </c>
      <c r="Q1323">
        <v>36</v>
      </c>
      <c r="R1323" t="s">
        <v>3046</v>
      </c>
      <c r="S1323" t="str">
        <f t="shared" si="144"/>
        <v>Medical</v>
      </c>
      <c r="T1323">
        <v>548</v>
      </c>
      <c r="U1323">
        <f t="shared" si="145"/>
        <v>548</v>
      </c>
      <c r="V1323">
        <v>7</v>
      </c>
      <c r="W1323" t="s">
        <v>3053</v>
      </c>
      <c r="X1323" s="3" t="s">
        <v>3989</v>
      </c>
      <c r="Y1323" s="3">
        <f t="shared" si="146"/>
        <v>45152</v>
      </c>
      <c r="Z1323">
        <v>0.60440000000000005</v>
      </c>
    </row>
    <row r="1324" spans="1:26" x14ac:dyDescent="0.35">
      <c r="A1324" t="s">
        <v>1326</v>
      </c>
      <c r="B1324" t="str">
        <f t="shared" si="140"/>
        <v>OK</v>
      </c>
      <c r="C1324" t="s">
        <v>2809</v>
      </c>
      <c r="D1324" s="2">
        <v>23</v>
      </c>
      <c r="E1324">
        <f>IF(OR(D1324&lt;18, D1324&gt;100),AD1323,D1324)</f>
        <v>23</v>
      </c>
      <c r="F1324" t="s">
        <v>2990</v>
      </c>
      <c r="G1324" t="str">
        <f t="shared" si="141"/>
        <v>Male</v>
      </c>
      <c r="H1324" t="s">
        <v>3012</v>
      </c>
      <c r="I1324" t="s">
        <v>3018</v>
      </c>
      <c r="K1324" t="str">
        <f t="shared" si="142"/>
        <v>Business Owner</v>
      </c>
      <c r="L1324">
        <v>6</v>
      </c>
      <c r="M1324">
        <v>1664738</v>
      </c>
      <c r="N1324">
        <f t="shared" si="143"/>
        <v>1664738</v>
      </c>
      <c r="O1324">
        <v>178598</v>
      </c>
      <c r="P1324">
        <v>12.7</v>
      </c>
      <c r="Q1324">
        <v>12</v>
      </c>
      <c r="R1324" t="s">
        <v>3047</v>
      </c>
      <c r="S1324" t="str">
        <f t="shared" si="144"/>
        <v>Personal</v>
      </c>
      <c r="T1324">
        <v>306</v>
      </c>
      <c r="U1324">
        <f t="shared" si="145"/>
        <v>306</v>
      </c>
      <c r="V1324">
        <v>0</v>
      </c>
      <c r="W1324" t="s">
        <v>3055</v>
      </c>
      <c r="X1324" s="3" t="s">
        <v>3990</v>
      </c>
      <c r="Y1324" s="3">
        <f t="shared" si="146"/>
        <v>44621</v>
      </c>
      <c r="Z1324">
        <v>0.10730000000000001</v>
      </c>
    </row>
    <row r="1325" spans="1:26" x14ac:dyDescent="0.35">
      <c r="A1325" t="s">
        <v>1327</v>
      </c>
      <c r="B1325" t="str">
        <f t="shared" si="140"/>
        <v>OK</v>
      </c>
      <c r="C1325" t="s">
        <v>2810</v>
      </c>
      <c r="D1325" s="2">
        <v>28</v>
      </c>
      <c r="E1325">
        <f>IF(OR(D1325&lt;18, D1325&gt;100),AD1324,D1325)</f>
        <v>28</v>
      </c>
      <c r="F1325" t="s">
        <v>2992</v>
      </c>
      <c r="G1325" t="str">
        <f t="shared" si="141"/>
        <v>Female</v>
      </c>
      <c r="H1325" t="s">
        <v>3003</v>
      </c>
      <c r="I1325" t="s">
        <v>3020</v>
      </c>
      <c r="K1325" t="str">
        <f t="shared" si="142"/>
        <v>Self-Employed</v>
      </c>
      <c r="L1325">
        <v>16</v>
      </c>
      <c r="N1325">
        <f t="shared" si="143"/>
        <v>1333224</v>
      </c>
      <c r="O1325">
        <v>467415</v>
      </c>
      <c r="P1325">
        <v>24.1</v>
      </c>
      <c r="Q1325">
        <v>36</v>
      </c>
      <c r="R1325" t="s">
        <v>3048</v>
      </c>
      <c r="S1325" t="str">
        <f t="shared" si="144"/>
        <v>Home Improvement</v>
      </c>
      <c r="T1325">
        <v>720</v>
      </c>
      <c r="U1325">
        <f t="shared" si="145"/>
        <v>720</v>
      </c>
      <c r="V1325">
        <v>3</v>
      </c>
      <c r="W1325" t="s">
        <v>3054</v>
      </c>
      <c r="X1325" s="3" t="s">
        <v>3214</v>
      </c>
      <c r="Y1325" s="3">
        <f t="shared" si="146"/>
        <v>44972</v>
      </c>
      <c r="Z1325">
        <v>0.20449999999999999</v>
      </c>
    </row>
    <row r="1326" spans="1:26" x14ac:dyDescent="0.35">
      <c r="A1326" t="s">
        <v>1160</v>
      </c>
      <c r="B1326" t="str">
        <f t="shared" si="140"/>
        <v>OK</v>
      </c>
      <c r="C1326" t="s">
        <v>2647</v>
      </c>
      <c r="D1326" s="2">
        <v>37</v>
      </c>
      <c r="E1326">
        <f>IF(OR(D1326&lt;18, D1326&gt;100),AD1325,D1326)</f>
        <v>37</v>
      </c>
      <c r="F1326" t="s">
        <v>2992</v>
      </c>
      <c r="G1326" t="str">
        <f t="shared" si="141"/>
        <v>Female</v>
      </c>
      <c r="H1326" t="s">
        <v>3007</v>
      </c>
      <c r="I1326" t="s">
        <v>3020</v>
      </c>
      <c r="K1326" t="str">
        <f t="shared" si="142"/>
        <v>Self-Employed</v>
      </c>
      <c r="L1326">
        <v>29</v>
      </c>
      <c r="N1326">
        <f t="shared" si="143"/>
        <v>1333224</v>
      </c>
      <c r="O1326">
        <v>558314</v>
      </c>
      <c r="P1326">
        <v>21.92</v>
      </c>
      <c r="Q1326">
        <v>60</v>
      </c>
      <c r="R1326" t="s">
        <v>3051</v>
      </c>
      <c r="S1326" t="str">
        <f t="shared" si="144"/>
        <v>Education</v>
      </c>
      <c r="T1326">
        <v>626</v>
      </c>
      <c r="U1326">
        <f t="shared" si="145"/>
        <v>626</v>
      </c>
      <c r="V1326">
        <v>5</v>
      </c>
      <c r="W1326" t="s">
        <v>3052</v>
      </c>
      <c r="X1326" s="3" t="s">
        <v>3449</v>
      </c>
      <c r="Y1326" s="3">
        <f t="shared" si="146"/>
        <v>44238</v>
      </c>
      <c r="Z1326">
        <v>1.3798999999999999</v>
      </c>
    </row>
    <row r="1327" spans="1:26" x14ac:dyDescent="0.35">
      <c r="A1327" t="s">
        <v>1328</v>
      </c>
      <c r="B1327" t="str">
        <f t="shared" si="140"/>
        <v>OK</v>
      </c>
      <c r="C1327" t="s">
        <v>2811</v>
      </c>
      <c r="D1327" s="2">
        <v>53</v>
      </c>
      <c r="E1327">
        <f>IF(OR(D1327&lt;18, D1327&gt;100),AD1326,D1327)</f>
        <v>53</v>
      </c>
      <c r="F1327" t="s">
        <v>2992</v>
      </c>
      <c r="G1327" t="str">
        <f t="shared" si="141"/>
        <v>Female</v>
      </c>
      <c r="H1327" t="s">
        <v>3007</v>
      </c>
      <c r="I1327" t="s">
        <v>3021</v>
      </c>
      <c r="K1327" t="str">
        <f t="shared" si="142"/>
        <v>Unemployed</v>
      </c>
      <c r="L1327">
        <v>9</v>
      </c>
      <c r="M1327">
        <v>397285</v>
      </c>
      <c r="N1327">
        <f t="shared" si="143"/>
        <v>397285</v>
      </c>
      <c r="O1327">
        <v>783461</v>
      </c>
      <c r="P1327">
        <v>19.46</v>
      </c>
      <c r="Q1327">
        <v>12</v>
      </c>
      <c r="R1327" t="s">
        <v>3046</v>
      </c>
      <c r="S1327" t="str">
        <f t="shared" si="144"/>
        <v>Medical</v>
      </c>
      <c r="T1327">
        <v>417</v>
      </c>
      <c r="U1327">
        <f t="shared" si="145"/>
        <v>417</v>
      </c>
      <c r="V1327">
        <v>7</v>
      </c>
      <c r="W1327" t="s">
        <v>3054</v>
      </c>
      <c r="X1327" s="3" t="s">
        <v>3991</v>
      </c>
      <c r="Y1327" s="3">
        <f t="shared" si="146"/>
        <v>44827</v>
      </c>
      <c r="Z1327">
        <v>1.972</v>
      </c>
    </row>
    <row r="1328" spans="1:26" x14ac:dyDescent="0.35">
      <c r="A1328" t="s">
        <v>1329</v>
      </c>
      <c r="B1328" t="str">
        <f t="shared" si="140"/>
        <v>OK</v>
      </c>
      <c r="C1328" t="s">
        <v>2812</v>
      </c>
      <c r="D1328" s="2">
        <v>64</v>
      </c>
      <c r="E1328">
        <f>IF(OR(D1328&lt;18, D1328&gt;100),AD1327,D1328)</f>
        <v>64</v>
      </c>
      <c r="F1328" t="s">
        <v>2990</v>
      </c>
      <c r="G1328" t="str">
        <f t="shared" si="141"/>
        <v>Male</v>
      </c>
      <c r="H1328" t="s">
        <v>3004</v>
      </c>
      <c r="I1328" t="s">
        <v>3019</v>
      </c>
      <c r="K1328" t="str">
        <f t="shared" si="142"/>
        <v>Employed</v>
      </c>
      <c r="L1328">
        <v>29</v>
      </c>
      <c r="M1328">
        <v>2109341</v>
      </c>
      <c r="N1328">
        <f t="shared" si="143"/>
        <v>2109341</v>
      </c>
      <c r="O1328">
        <v>242128</v>
      </c>
      <c r="P1328">
        <v>13.14</v>
      </c>
      <c r="Q1328">
        <v>36</v>
      </c>
      <c r="R1328" t="s">
        <v>3048</v>
      </c>
      <c r="S1328" t="str">
        <f t="shared" si="144"/>
        <v>Home Improvement</v>
      </c>
      <c r="T1328">
        <v>466</v>
      </c>
      <c r="U1328">
        <f t="shared" si="145"/>
        <v>466</v>
      </c>
      <c r="V1328">
        <v>3</v>
      </c>
      <c r="W1328" t="s">
        <v>3054</v>
      </c>
      <c r="X1328" s="3" t="s">
        <v>3207</v>
      </c>
      <c r="Y1328" s="3">
        <f t="shared" si="146"/>
        <v>44500</v>
      </c>
      <c r="Z1328">
        <v>0.1148</v>
      </c>
    </row>
    <row r="1329" spans="1:26" x14ac:dyDescent="0.35">
      <c r="A1329" t="s">
        <v>1330</v>
      </c>
      <c r="B1329" t="str">
        <f t="shared" si="140"/>
        <v>OK</v>
      </c>
      <c r="C1329" t="s">
        <v>2813</v>
      </c>
      <c r="D1329" s="2">
        <v>59</v>
      </c>
      <c r="E1329">
        <f>IF(OR(D1329&lt;18, D1329&gt;100),AD1328,D1329)</f>
        <v>59</v>
      </c>
      <c r="F1329" t="s">
        <v>2992</v>
      </c>
      <c r="G1329" t="str">
        <f t="shared" si="141"/>
        <v>Female</v>
      </c>
      <c r="H1329" t="s">
        <v>3007</v>
      </c>
      <c r="I1329" t="s">
        <v>3019</v>
      </c>
      <c r="K1329" t="str">
        <f t="shared" si="142"/>
        <v>Employed</v>
      </c>
      <c r="L1329">
        <v>5</v>
      </c>
      <c r="M1329">
        <v>1950485</v>
      </c>
      <c r="N1329">
        <f t="shared" si="143"/>
        <v>1950485</v>
      </c>
      <c r="O1329">
        <v>254864</v>
      </c>
      <c r="P1329">
        <v>12.81</v>
      </c>
      <c r="Q1329">
        <v>48</v>
      </c>
      <c r="R1329" t="s">
        <v>3049</v>
      </c>
      <c r="S1329" t="str">
        <f t="shared" si="144"/>
        <v>Business</v>
      </c>
      <c r="T1329">
        <v>471</v>
      </c>
      <c r="U1329">
        <f t="shared" si="145"/>
        <v>471</v>
      </c>
      <c r="V1329">
        <v>7</v>
      </c>
      <c r="W1329" t="s">
        <v>3054</v>
      </c>
      <c r="X1329" s="3" t="s">
        <v>3654</v>
      </c>
      <c r="Y1329" s="3">
        <f t="shared" si="146"/>
        <v>44969</v>
      </c>
      <c r="Z1329">
        <v>0.13070000000000001</v>
      </c>
    </row>
    <row r="1330" spans="1:26" x14ac:dyDescent="0.35">
      <c r="A1330" t="s">
        <v>1331</v>
      </c>
      <c r="B1330" t="str">
        <f t="shared" si="140"/>
        <v>OK</v>
      </c>
      <c r="C1330" t="s">
        <v>2814</v>
      </c>
      <c r="D1330" s="2">
        <v>29</v>
      </c>
      <c r="E1330">
        <f>IF(OR(D1330&lt;18, D1330&gt;100),AD1329,D1330)</f>
        <v>29</v>
      </c>
      <c r="F1330" t="s">
        <v>2992</v>
      </c>
      <c r="G1330" t="str">
        <f t="shared" si="141"/>
        <v>Female</v>
      </c>
      <c r="H1330" t="s">
        <v>2998</v>
      </c>
      <c r="I1330" t="s">
        <v>3018</v>
      </c>
      <c r="K1330" t="str">
        <f t="shared" si="142"/>
        <v>Business Owner</v>
      </c>
      <c r="L1330">
        <v>22</v>
      </c>
      <c r="M1330">
        <v>1881667</v>
      </c>
      <c r="N1330">
        <f t="shared" si="143"/>
        <v>1881667</v>
      </c>
      <c r="O1330">
        <v>291400</v>
      </c>
      <c r="P1330">
        <v>8.69</v>
      </c>
      <c r="Q1330">
        <v>48</v>
      </c>
      <c r="R1330" t="s">
        <v>3050</v>
      </c>
      <c r="S1330" t="str">
        <f t="shared" si="144"/>
        <v>Agriculture</v>
      </c>
      <c r="T1330">
        <v>999</v>
      </c>
      <c r="U1330">
        <f t="shared" si="145"/>
        <v>999</v>
      </c>
      <c r="V1330">
        <v>5</v>
      </c>
      <c r="W1330" t="s">
        <v>3056</v>
      </c>
      <c r="X1330" s="3" t="s">
        <v>3281</v>
      </c>
      <c r="Y1330" s="3">
        <f t="shared" si="146"/>
        <v>44345</v>
      </c>
      <c r="Z1330">
        <v>0.15490000000000001</v>
      </c>
    </row>
    <row r="1331" spans="1:26" x14ac:dyDescent="0.35">
      <c r="A1331" t="s">
        <v>1332</v>
      </c>
      <c r="B1331" t="str">
        <f t="shared" si="140"/>
        <v>OK</v>
      </c>
      <c r="C1331" t="s">
        <v>2815</v>
      </c>
      <c r="D1331" s="2">
        <v>21</v>
      </c>
      <c r="E1331">
        <f>IF(OR(D1331&lt;18, D1331&gt;100),AD1330,D1331)</f>
        <v>21</v>
      </c>
      <c r="F1331" t="s">
        <v>2990</v>
      </c>
      <c r="G1331" t="str">
        <f t="shared" si="141"/>
        <v>Male</v>
      </c>
      <c r="H1331" t="s">
        <v>2998</v>
      </c>
      <c r="I1331" t="s">
        <v>3019</v>
      </c>
      <c r="K1331" t="str">
        <f t="shared" si="142"/>
        <v>Employed</v>
      </c>
      <c r="L1331">
        <v>14</v>
      </c>
      <c r="M1331">
        <v>1596828</v>
      </c>
      <c r="N1331">
        <f t="shared" si="143"/>
        <v>1596828</v>
      </c>
      <c r="O1331">
        <v>418102</v>
      </c>
      <c r="P1331">
        <v>25.23</v>
      </c>
      <c r="Q1331">
        <v>60</v>
      </c>
      <c r="R1331" t="s">
        <v>3048</v>
      </c>
      <c r="S1331" t="str">
        <f t="shared" si="144"/>
        <v>Home Improvement</v>
      </c>
      <c r="T1331">
        <v>720</v>
      </c>
      <c r="U1331">
        <f t="shared" si="145"/>
        <v>720</v>
      </c>
      <c r="V1331">
        <v>0</v>
      </c>
      <c r="W1331" t="s">
        <v>3052</v>
      </c>
      <c r="X1331" s="3" t="s">
        <v>3750</v>
      </c>
      <c r="Y1331" s="3">
        <f t="shared" si="146"/>
        <v>44511</v>
      </c>
      <c r="Z1331">
        <v>0.26179999999999998</v>
      </c>
    </row>
    <row r="1332" spans="1:26" x14ac:dyDescent="0.35">
      <c r="A1332" t="s">
        <v>1333</v>
      </c>
      <c r="B1332" t="str">
        <f t="shared" si="140"/>
        <v>OK</v>
      </c>
      <c r="C1332" t="s">
        <v>2816</v>
      </c>
      <c r="D1332" s="2">
        <v>48</v>
      </c>
      <c r="E1332">
        <f>IF(OR(D1332&lt;18, D1332&gt;100),AD1331,D1332)</f>
        <v>48</v>
      </c>
      <c r="F1332" t="s">
        <v>2992</v>
      </c>
      <c r="G1332" t="str">
        <f t="shared" si="141"/>
        <v>Female</v>
      </c>
      <c r="H1332" t="s">
        <v>3000</v>
      </c>
      <c r="I1332" t="s">
        <v>3020</v>
      </c>
      <c r="K1332" t="str">
        <f t="shared" si="142"/>
        <v>Self-Employed</v>
      </c>
      <c r="L1332">
        <v>24</v>
      </c>
      <c r="M1332">
        <v>1227343</v>
      </c>
      <c r="N1332">
        <f t="shared" si="143"/>
        <v>1227343</v>
      </c>
      <c r="O1332">
        <v>746481</v>
      </c>
      <c r="P1332">
        <v>23.85</v>
      </c>
      <c r="Q1332">
        <v>36</v>
      </c>
      <c r="R1332" t="s">
        <v>3048</v>
      </c>
      <c r="S1332" t="str">
        <f t="shared" si="144"/>
        <v>Home Improvement</v>
      </c>
      <c r="T1332">
        <v>307</v>
      </c>
      <c r="U1332">
        <f t="shared" si="145"/>
        <v>307</v>
      </c>
      <c r="V1332">
        <v>2</v>
      </c>
      <c r="W1332" t="s">
        <v>3055</v>
      </c>
      <c r="X1332" s="3" t="s">
        <v>3992</v>
      </c>
      <c r="Y1332" s="3">
        <f t="shared" si="146"/>
        <v>43844</v>
      </c>
      <c r="Z1332">
        <v>0.60819999999999996</v>
      </c>
    </row>
    <row r="1333" spans="1:26" x14ac:dyDescent="0.35">
      <c r="A1333" t="s">
        <v>1334</v>
      </c>
      <c r="B1333" t="str">
        <f t="shared" si="140"/>
        <v>OK</v>
      </c>
      <c r="C1333" t="s">
        <v>2817</v>
      </c>
      <c r="D1333" s="2">
        <v>44</v>
      </c>
      <c r="E1333">
        <f>IF(OR(D1333&lt;18, D1333&gt;100),AD1332,D1333)</f>
        <v>44</v>
      </c>
      <c r="F1333" t="s">
        <v>2995</v>
      </c>
      <c r="G1333" t="str">
        <f t="shared" si="141"/>
        <v>Male</v>
      </c>
      <c r="H1333" t="s">
        <v>3001</v>
      </c>
      <c r="I1333" t="s">
        <v>3020</v>
      </c>
      <c r="K1333" t="str">
        <f t="shared" si="142"/>
        <v>Self-Employed</v>
      </c>
      <c r="L1333">
        <v>17</v>
      </c>
      <c r="M1333">
        <v>1930740</v>
      </c>
      <c r="N1333">
        <f t="shared" si="143"/>
        <v>1930740</v>
      </c>
      <c r="O1333">
        <v>273091</v>
      </c>
      <c r="P1333">
        <v>23.27</v>
      </c>
      <c r="Q1333">
        <v>36</v>
      </c>
      <c r="R1333" t="s">
        <v>3049</v>
      </c>
      <c r="S1333" t="str">
        <f t="shared" si="144"/>
        <v>Business</v>
      </c>
      <c r="T1333">
        <v>660</v>
      </c>
      <c r="U1333">
        <f t="shared" si="145"/>
        <v>660</v>
      </c>
      <c r="V1333">
        <v>1</v>
      </c>
      <c r="W1333" t="s">
        <v>3054</v>
      </c>
      <c r="X1333" s="3" t="s">
        <v>3721</v>
      </c>
      <c r="Y1333" s="3">
        <f t="shared" si="146"/>
        <v>45016</v>
      </c>
      <c r="Z1333">
        <v>0.1414</v>
      </c>
    </row>
    <row r="1334" spans="1:26" x14ac:dyDescent="0.35">
      <c r="A1334" t="s">
        <v>1335</v>
      </c>
      <c r="B1334" t="str">
        <f t="shared" si="140"/>
        <v>OK</v>
      </c>
      <c r="C1334" t="s">
        <v>2818</v>
      </c>
      <c r="D1334" s="2">
        <v>21</v>
      </c>
      <c r="E1334">
        <f>IF(OR(D1334&lt;18, D1334&gt;100),AD1333,D1334)</f>
        <v>21</v>
      </c>
      <c r="F1334" t="s">
        <v>2992</v>
      </c>
      <c r="G1334" t="str">
        <f t="shared" si="141"/>
        <v>Female</v>
      </c>
      <c r="H1334" t="s">
        <v>3004</v>
      </c>
      <c r="I1334" t="s">
        <v>3019</v>
      </c>
      <c r="K1334" t="str">
        <f t="shared" si="142"/>
        <v>Employed</v>
      </c>
      <c r="L1334">
        <v>19</v>
      </c>
      <c r="M1334">
        <v>1262660</v>
      </c>
      <c r="N1334">
        <f t="shared" si="143"/>
        <v>1262660</v>
      </c>
      <c r="O1334">
        <v>506904</v>
      </c>
      <c r="P1334">
        <v>8.32</v>
      </c>
      <c r="Q1334">
        <v>36</v>
      </c>
      <c r="R1334" t="s">
        <v>3046</v>
      </c>
      <c r="S1334" t="str">
        <f t="shared" si="144"/>
        <v>Medical</v>
      </c>
      <c r="T1334">
        <v>390</v>
      </c>
      <c r="U1334">
        <f t="shared" si="145"/>
        <v>390</v>
      </c>
      <c r="V1334">
        <v>3</v>
      </c>
      <c r="W1334" t="s">
        <v>3055</v>
      </c>
      <c r="X1334" s="3" t="s">
        <v>3185</v>
      </c>
      <c r="Y1334" s="3">
        <f t="shared" si="146"/>
        <v>44147</v>
      </c>
      <c r="Z1334">
        <v>0.40150000000000002</v>
      </c>
    </row>
    <row r="1335" spans="1:26" x14ac:dyDescent="0.35">
      <c r="A1335" t="s">
        <v>1336</v>
      </c>
      <c r="B1335" t="str">
        <f t="shared" si="140"/>
        <v>OK</v>
      </c>
      <c r="C1335" t="s">
        <v>2819</v>
      </c>
      <c r="D1335" s="2">
        <v>55</v>
      </c>
      <c r="E1335">
        <f>IF(OR(D1335&lt;18, D1335&gt;100),AD1334,D1335)</f>
        <v>55</v>
      </c>
      <c r="F1335" t="s">
        <v>2990</v>
      </c>
      <c r="G1335" t="str">
        <f t="shared" si="141"/>
        <v>Male</v>
      </c>
      <c r="H1335" t="s">
        <v>3001</v>
      </c>
      <c r="I1335" t="s">
        <v>3019</v>
      </c>
      <c r="K1335" t="str">
        <f t="shared" si="142"/>
        <v>Employed</v>
      </c>
      <c r="L1335">
        <v>16</v>
      </c>
      <c r="N1335">
        <f t="shared" si="143"/>
        <v>1333224</v>
      </c>
      <c r="O1335">
        <v>173939</v>
      </c>
      <c r="P1335">
        <v>19.11</v>
      </c>
      <c r="Q1335">
        <v>60</v>
      </c>
      <c r="R1335" t="s">
        <v>3048</v>
      </c>
      <c r="S1335" t="str">
        <f t="shared" si="144"/>
        <v>Home Improvement</v>
      </c>
      <c r="T1335">
        <v>690</v>
      </c>
      <c r="U1335">
        <f t="shared" si="145"/>
        <v>690</v>
      </c>
      <c r="V1335">
        <v>2</v>
      </c>
      <c r="W1335" t="s">
        <v>3055</v>
      </c>
      <c r="X1335" s="3" t="s">
        <v>3970</v>
      </c>
      <c r="Y1335" s="3">
        <f t="shared" si="146"/>
        <v>44036</v>
      </c>
      <c r="Z1335">
        <v>0.35349999999999998</v>
      </c>
    </row>
    <row r="1336" spans="1:26" x14ac:dyDescent="0.35">
      <c r="A1336" t="s">
        <v>1337</v>
      </c>
      <c r="B1336" t="str">
        <f t="shared" si="140"/>
        <v>OK</v>
      </c>
      <c r="C1336" t="s">
        <v>2820</v>
      </c>
      <c r="D1336" s="2">
        <v>62</v>
      </c>
      <c r="E1336">
        <f>IF(OR(D1336&lt;18, D1336&gt;100),AD1335,D1336)</f>
        <v>62</v>
      </c>
      <c r="F1336" t="s">
        <v>2990</v>
      </c>
      <c r="G1336" t="str">
        <f t="shared" si="141"/>
        <v>Male</v>
      </c>
      <c r="H1336" t="s">
        <v>3004</v>
      </c>
      <c r="I1336" t="s">
        <v>3019</v>
      </c>
      <c r="K1336" t="str">
        <f t="shared" si="142"/>
        <v>Employed</v>
      </c>
      <c r="L1336">
        <v>28</v>
      </c>
      <c r="M1336">
        <v>1224257</v>
      </c>
      <c r="N1336">
        <f t="shared" si="143"/>
        <v>1224257</v>
      </c>
      <c r="O1336">
        <v>236204</v>
      </c>
      <c r="P1336">
        <v>16.34</v>
      </c>
      <c r="Q1336">
        <v>60</v>
      </c>
      <c r="R1336" t="s">
        <v>3051</v>
      </c>
      <c r="S1336" t="str">
        <f t="shared" si="144"/>
        <v>Education</v>
      </c>
      <c r="T1336">
        <v>451</v>
      </c>
      <c r="U1336">
        <f t="shared" si="145"/>
        <v>451</v>
      </c>
      <c r="V1336">
        <v>6</v>
      </c>
      <c r="W1336" t="s">
        <v>3055</v>
      </c>
      <c r="X1336" s="3" t="s">
        <v>3993</v>
      </c>
      <c r="Y1336" s="3">
        <f t="shared" si="146"/>
        <v>44997</v>
      </c>
      <c r="Z1336">
        <v>0.19289999999999999</v>
      </c>
    </row>
    <row r="1337" spans="1:26" x14ac:dyDescent="0.35">
      <c r="A1337" t="s">
        <v>1338</v>
      </c>
      <c r="B1337" t="str">
        <f t="shared" si="140"/>
        <v>OK</v>
      </c>
      <c r="C1337" t="s">
        <v>2821</v>
      </c>
      <c r="D1337" s="2">
        <v>61</v>
      </c>
      <c r="E1337">
        <f>IF(OR(D1337&lt;18, D1337&gt;100),AD1336,D1337)</f>
        <v>61</v>
      </c>
      <c r="F1337" t="s">
        <v>2990</v>
      </c>
      <c r="G1337" t="str">
        <f t="shared" si="141"/>
        <v>Male</v>
      </c>
      <c r="H1337" t="s">
        <v>3000</v>
      </c>
      <c r="I1337" t="s">
        <v>3020</v>
      </c>
      <c r="K1337" t="str">
        <f t="shared" si="142"/>
        <v>Self-Employed</v>
      </c>
      <c r="L1337">
        <v>2</v>
      </c>
      <c r="M1337">
        <v>1139744</v>
      </c>
      <c r="N1337">
        <f t="shared" si="143"/>
        <v>1139744</v>
      </c>
      <c r="O1337">
        <v>104703</v>
      </c>
      <c r="P1337">
        <v>12.41</v>
      </c>
      <c r="Q1337">
        <v>60</v>
      </c>
      <c r="R1337" t="s">
        <v>3049</v>
      </c>
      <c r="S1337" t="str">
        <f t="shared" si="144"/>
        <v>Business</v>
      </c>
      <c r="T1337">
        <v>625</v>
      </c>
      <c r="U1337">
        <f t="shared" si="145"/>
        <v>625</v>
      </c>
      <c r="V1337">
        <v>5</v>
      </c>
      <c r="W1337" t="s">
        <v>3057</v>
      </c>
      <c r="X1337" s="3" t="s">
        <v>3994</v>
      </c>
      <c r="Y1337" s="3">
        <f t="shared" si="146"/>
        <v>44031</v>
      </c>
      <c r="Z1337">
        <v>9.1899999999999996E-2</v>
      </c>
    </row>
    <row r="1338" spans="1:26" x14ac:dyDescent="0.35">
      <c r="A1338" t="s">
        <v>1339</v>
      </c>
      <c r="B1338" t="str">
        <f t="shared" ref="B1338:B1401" si="147">IF(A1338="", "MISSING", "OK")</f>
        <v>OK</v>
      </c>
      <c r="C1338" t="s">
        <v>2822</v>
      </c>
      <c r="D1338" s="2">
        <v>51</v>
      </c>
      <c r="E1338">
        <f>IF(OR(D1338&lt;18, D1338&gt;100),AD1337,D1338)</f>
        <v>51</v>
      </c>
      <c r="F1338" t="s">
        <v>2990</v>
      </c>
      <c r="G1338" t="str">
        <f t="shared" si="141"/>
        <v>Male</v>
      </c>
      <c r="H1338" t="s">
        <v>2998</v>
      </c>
      <c r="I1338" t="s">
        <v>3021</v>
      </c>
      <c r="K1338" t="str">
        <f t="shared" si="142"/>
        <v>Unemployed</v>
      </c>
      <c r="L1338">
        <v>26</v>
      </c>
      <c r="M1338">
        <v>2341352</v>
      </c>
      <c r="N1338">
        <f t="shared" si="143"/>
        <v>2341352</v>
      </c>
      <c r="O1338">
        <v>221604</v>
      </c>
      <c r="P1338">
        <v>24.29</v>
      </c>
      <c r="Q1338">
        <v>12</v>
      </c>
      <c r="R1338" t="s">
        <v>3049</v>
      </c>
      <c r="S1338" t="str">
        <f t="shared" si="144"/>
        <v>Business</v>
      </c>
      <c r="T1338">
        <v>778</v>
      </c>
      <c r="U1338">
        <f t="shared" si="145"/>
        <v>778</v>
      </c>
      <c r="V1338">
        <v>7</v>
      </c>
      <c r="W1338" t="s">
        <v>3062</v>
      </c>
      <c r="X1338" s="3" t="s">
        <v>3995</v>
      </c>
      <c r="Y1338" s="3">
        <f t="shared" si="146"/>
        <v>45034</v>
      </c>
      <c r="Z1338">
        <v>9.4600000000000004E-2</v>
      </c>
    </row>
    <row r="1339" spans="1:26" x14ac:dyDescent="0.35">
      <c r="A1339" t="s">
        <v>1340</v>
      </c>
      <c r="B1339" t="str">
        <f t="shared" si="147"/>
        <v>OK</v>
      </c>
      <c r="C1339" t="s">
        <v>2823</v>
      </c>
      <c r="D1339" s="2">
        <v>50</v>
      </c>
      <c r="E1339">
        <f>IF(OR(D1339&lt;18, D1339&gt;100),AD1338,D1339)</f>
        <v>50</v>
      </c>
      <c r="F1339" t="s">
        <v>2990</v>
      </c>
      <c r="G1339" t="str">
        <f t="shared" si="141"/>
        <v>Male</v>
      </c>
      <c r="H1339" t="s">
        <v>3004</v>
      </c>
      <c r="I1339" t="s">
        <v>3018</v>
      </c>
      <c r="K1339" t="str">
        <f t="shared" si="142"/>
        <v>Business Owner</v>
      </c>
      <c r="L1339">
        <v>22</v>
      </c>
      <c r="M1339">
        <v>431924</v>
      </c>
      <c r="N1339">
        <f t="shared" si="143"/>
        <v>431924</v>
      </c>
      <c r="O1339">
        <v>187527</v>
      </c>
      <c r="P1339">
        <v>8.2799999999999994</v>
      </c>
      <c r="Q1339">
        <v>48</v>
      </c>
      <c r="R1339" t="s">
        <v>3051</v>
      </c>
      <c r="S1339" t="str">
        <f t="shared" si="144"/>
        <v>Education</v>
      </c>
      <c r="T1339">
        <v>689</v>
      </c>
      <c r="U1339">
        <f t="shared" si="145"/>
        <v>689</v>
      </c>
      <c r="V1339">
        <v>5</v>
      </c>
      <c r="W1339" t="s">
        <v>3055</v>
      </c>
      <c r="X1339" s="3" t="s">
        <v>3276</v>
      </c>
      <c r="Y1339" s="3">
        <f t="shared" si="146"/>
        <v>45051</v>
      </c>
      <c r="Z1339">
        <v>0.43419999999999997</v>
      </c>
    </row>
    <row r="1340" spans="1:26" x14ac:dyDescent="0.35">
      <c r="A1340" t="s">
        <v>1341</v>
      </c>
      <c r="B1340" t="str">
        <f t="shared" si="147"/>
        <v>OK</v>
      </c>
      <c r="C1340" t="s">
        <v>2824</v>
      </c>
      <c r="D1340" s="2">
        <v>59</v>
      </c>
      <c r="E1340">
        <f>IF(OR(D1340&lt;18, D1340&gt;100),AD1339,D1340)</f>
        <v>59</v>
      </c>
      <c r="F1340" t="s">
        <v>2992</v>
      </c>
      <c r="G1340" t="str">
        <f t="shared" si="141"/>
        <v>Female</v>
      </c>
      <c r="H1340" t="s">
        <v>2999</v>
      </c>
      <c r="I1340" t="s">
        <v>3020</v>
      </c>
      <c r="K1340" t="str">
        <f t="shared" si="142"/>
        <v>Self-Employed</v>
      </c>
      <c r="L1340">
        <v>23</v>
      </c>
      <c r="M1340">
        <v>698349</v>
      </c>
      <c r="N1340">
        <f t="shared" si="143"/>
        <v>698349</v>
      </c>
      <c r="O1340">
        <v>635175</v>
      </c>
      <c r="P1340">
        <v>21.24</v>
      </c>
      <c r="Q1340">
        <v>12</v>
      </c>
      <c r="R1340" t="s">
        <v>3047</v>
      </c>
      <c r="S1340" t="str">
        <f t="shared" si="144"/>
        <v>Personal</v>
      </c>
      <c r="T1340">
        <v>807</v>
      </c>
      <c r="U1340">
        <f t="shared" si="145"/>
        <v>807</v>
      </c>
      <c r="V1340">
        <v>7</v>
      </c>
      <c r="W1340" t="s">
        <v>3057</v>
      </c>
      <c r="X1340" s="3" t="s">
        <v>3258</v>
      </c>
      <c r="Y1340" s="3">
        <f t="shared" si="146"/>
        <v>44695</v>
      </c>
      <c r="Z1340">
        <v>0.90949999999999998</v>
      </c>
    </row>
    <row r="1341" spans="1:26" x14ac:dyDescent="0.35">
      <c r="A1341" t="s">
        <v>1342</v>
      </c>
      <c r="B1341" t="str">
        <f t="shared" si="147"/>
        <v>OK</v>
      </c>
      <c r="C1341" t="s">
        <v>2825</v>
      </c>
      <c r="D1341" s="2">
        <v>45</v>
      </c>
      <c r="E1341">
        <f>IF(OR(D1341&lt;18, D1341&gt;100),AD1340,D1341)</f>
        <v>45</v>
      </c>
      <c r="F1341" t="s">
        <v>2990</v>
      </c>
      <c r="G1341" t="str">
        <f t="shared" si="141"/>
        <v>Male</v>
      </c>
      <c r="H1341" t="s">
        <v>2999</v>
      </c>
      <c r="I1341" t="s">
        <v>3020</v>
      </c>
      <c r="K1341" t="str">
        <f t="shared" si="142"/>
        <v>Self-Employed</v>
      </c>
      <c r="L1341">
        <v>3</v>
      </c>
      <c r="M1341">
        <v>2107205</v>
      </c>
      <c r="N1341">
        <f t="shared" si="143"/>
        <v>2107205</v>
      </c>
      <c r="O1341">
        <v>536540</v>
      </c>
      <c r="P1341">
        <v>27.56</v>
      </c>
      <c r="Q1341">
        <v>12</v>
      </c>
      <c r="R1341" t="s">
        <v>3047</v>
      </c>
      <c r="S1341" t="str">
        <f t="shared" si="144"/>
        <v>Personal</v>
      </c>
      <c r="T1341">
        <v>698</v>
      </c>
      <c r="U1341">
        <f t="shared" si="145"/>
        <v>698</v>
      </c>
      <c r="V1341">
        <v>5</v>
      </c>
      <c r="W1341" t="s">
        <v>3056</v>
      </c>
      <c r="X1341" s="3" t="s">
        <v>3385</v>
      </c>
      <c r="Y1341" s="3">
        <f t="shared" si="146"/>
        <v>44663</v>
      </c>
      <c r="Z1341">
        <v>0.25459999999999999</v>
      </c>
    </row>
    <row r="1342" spans="1:26" x14ac:dyDescent="0.35">
      <c r="A1342" t="s">
        <v>1343</v>
      </c>
      <c r="B1342" t="str">
        <f t="shared" si="147"/>
        <v>OK</v>
      </c>
      <c r="C1342" t="s">
        <v>2826</v>
      </c>
      <c r="D1342" s="2">
        <v>30</v>
      </c>
      <c r="E1342">
        <f>IF(OR(D1342&lt;18, D1342&gt;100),AD1341,D1342)</f>
        <v>30</v>
      </c>
      <c r="F1342" t="s">
        <v>2992</v>
      </c>
      <c r="G1342" t="str">
        <f t="shared" si="141"/>
        <v>Female</v>
      </c>
      <c r="H1342" t="s">
        <v>3005</v>
      </c>
      <c r="I1342" t="s">
        <v>3018</v>
      </c>
      <c r="K1342" t="str">
        <f t="shared" si="142"/>
        <v>Business Owner</v>
      </c>
      <c r="L1342">
        <v>13</v>
      </c>
      <c r="M1342">
        <v>708423</v>
      </c>
      <c r="N1342">
        <f t="shared" si="143"/>
        <v>708423</v>
      </c>
      <c r="O1342">
        <v>542780</v>
      </c>
      <c r="P1342">
        <v>10.93</v>
      </c>
      <c r="Q1342">
        <v>36</v>
      </c>
      <c r="R1342" t="s">
        <v>3046</v>
      </c>
      <c r="S1342" t="str">
        <f t="shared" si="144"/>
        <v>Medical</v>
      </c>
      <c r="T1342">
        <v>423</v>
      </c>
      <c r="U1342">
        <f t="shared" si="145"/>
        <v>423</v>
      </c>
      <c r="V1342">
        <v>4</v>
      </c>
      <c r="W1342" t="s">
        <v>3056</v>
      </c>
      <c r="X1342" s="3" t="s">
        <v>3996</v>
      </c>
      <c r="Y1342" s="3">
        <f t="shared" si="146"/>
        <v>44727</v>
      </c>
      <c r="Z1342">
        <v>0.76619999999999999</v>
      </c>
    </row>
    <row r="1343" spans="1:26" x14ac:dyDescent="0.35">
      <c r="A1343" t="s">
        <v>1344</v>
      </c>
      <c r="B1343" t="str">
        <f t="shared" si="147"/>
        <v>OK</v>
      </c>
      <c r="C1343" t="s">
        <v>2827</v>
      </c>
      <c r="D1343" s="2">
        <v>37</v>
      </c>
      <c r="E1343">
        <f>IF(OR(D1343&lt;18, D1343&gt;100),AD1342,D1343)</f>
        <v>37</v>
      </c>
      <c r="F1343" t="s">
        <v>2990</v>
      </c>
      <c r="G1343" t="str">
        <f t="shared" si="141"/>
        <v>Male</v>
      </c>
      <c r="H1343" t="s">
        <v>3002</v>
      </c>
      <c r="I1343" t="s">
        <v>3018</v>
      </c>
      <c r="K1343" t="str">
        <f t="shared" si="142"/>
        <v>Business Owner</v>
      </c>
      <c r="L1343">
        <v>27</v>
      </c>
      <c r="M1343">
        <v>1680948</v>
      </c>
      <c r="N1343">
        <f t="shared" si="143"/>
        <v>1680948</v>
      </c>
      <c r="O1343">
        <v>45525</v>
      </c>
      <c r="P1343">
        <v>14.21</v>
      </c>
      <c r="Q1343">
        <v>12</v>
      </c>
      <c r="R1343" t="s">
        <v>3050</v>
      </c>
      <c r="S1343" t="str">
        <f t="shared" si="144"/>
        <v>Agriculture</v>
      </c>
      <c r="T1343">
        <v>687</v>
      </c>
      <c r="U1343">
        <f t="shared" si="145"/>
        <v>687</v>
      </c>
      <c r="V1343">
        <v>5</v>
      </c>
      <c r="W1343" t="s">
        <v>3054</v>
      </c>
      <c r="X1343" s="3" t="s">
        <v>3997</v>
      </c>
      <c r="Y1343" s="3">
        <f t="shared" si="146"/>
        <v>43925</v>
      </c>
      <c r="Z1343">
        <v>2.7099999999999999E-2</v>
      </c>
    </row>
    <row r="1344" spans="1:26" x14ac:dyDescent="0.35">
      <c r="A1344" t="s">
        <v>1345</v>
      </c>
      <c r="B1344" t="str">
        <f t="shared" si="147"/>
        <v>OK</v>
      </c>
      <c r="C1344" t="s">
        <v>2828</v>
      </c>
      <c r="D1344" s="2">
        <v>50</v>
      </c>
      <c r="E1344">
        <f>IF(OR(D1344&lt;18, D1344&gt;100),AD1343,D1344)</f>
        <v>50</v>
      </c>
      <c r="F1344" t="s">
        <v>2990</v>
      </c>
      <c r="G1344" t="str">
        <f t="shared" si="141"/>
        <v>Male</v>
      </c>
      <c r="H1344" t="s">
        <v>3004</v>
      </c>
      <c r="I1344" t="s">
        <v>3018</v>
      </c>
      <c r="K1344" t="str">
        <f t="shared" si="142"/>
        <v>Business Owner</v>
      </c>
      <c r="L1344">
        <v>2</v>
      </c>
      <c r="M1344">
        <v>1438870</v>
      </c>
      <c r="N1344">
        <f t="shared" si="143"/>
        <v>1438870</v>
      </c>
      <c r="O1344">
        <v>400172</v>
      </c>
      <c r="P1344">
        <v>10.38</v>
      </c>
      <c r="Q1344">
        <v>36</v>
      </c>
      <c r="R1344" t="s">
        <v>3051</v>
      </c>
      <c r="S1344" t="str">
        <f t="shared" si="144"/>
        <v>Education</v>
      </c>
      <c r="T1344">
        <v>792</v>
      </c>
      <c r="U1344">
        <f t="shared" si="145"/>
        <v>792</v>
      </c>
      <c r="V1344">
        <v>7</v>
      </c>
      <c r="W1344" t="s">
        <v>3056</v>
      </c>
      <c r="X1344" s="3" t="s">
        <v>3998</v>
      </c>
      <c r="Y1344" s="3">
        <f t="shared" si="146"/>
        <v>44110</v>
      </c>
      <c r="Z1344">
        <v>0.27810000000000001</v>
      </c>
    </row>
    <row r="1345" spans="1:26" x14ac:dyDescent="0.35">
      <c r="A1345" t="s">
        <v>1346</v>
      </c>
      <c r="B1345" t="str">
        <f t="shared" si="147"/>
        <v>OK</v>
      </c>
      <c r="C1345" t="s">
        <v>2829</v>
      </c>
      <c r="D1345" s="2">
        <v>50</v>
      </c>
      <c r="E1345">
        <f>IF(OR(D1345&lt;18, D1345&gt;100),AD1344,D1345)</f>
        <v>50</v>
      </c>
      <c r="F1345" t="s">
        <v>2992</v>
      </c>
      <c r="G1345" t="str">
        <f t="shared" si="141"/>
        <v>Female</v>
      </c>
      <c r="H1345" t="s">
        <v>3005</v>
      </c>
      <c r="I1345" t="s">
        <v>3019</v>
      </c>
      <c r="K1345" t="str">
        <f t="shared" si="142"/>
        <v>Employed</v>
      </c>
      <c r="L1345">
        <v>18</v>
      </c>
      <c r="M1345">
        <v>949097</v>
      </c>
      <c r="N1345">
        <f t="shared" si="143"/>
        <v>949097</v>
      </c>
      <c r="O1345">
        <v>556644</v>
      </c>
      <c r="P1345">
        <v>10.66</v>
      </c>
      <c r="Q1345">
        <v>60</v>
      </c>
      <c r="R1345" t="s">
        <v>3050</v>
      </c>
      <c r="S1345" t="str">
        <f t="shared" si="144"/>
        <v>Agriculture</v>
      </c>
      <c r="T1345">
        <v>594</v>
      </c>
      <c r="U1345">
        <f t="shared" si="145"/>
        <v>594</v>
      </c>
      <c r="V1345">
        <v>1</v>
      </c>
      <c r="W1345" t="s">
        <v>3054</v>
      </c>
      <c r="X1345" s="3" t="s">
        <v>3999</v>
      </c>
      <c r="Y1345" s="3">
        <f t="shared" si="146"/>
        <v>44437</v>
      </c>
      <c r="Z1345">
        <v>0.58650000000000002</v>
      </c>
    </row>
    <row r="1346" spans="1:26" x14ac:dyDescent="0.35">
      <c r="A1346" t="s">
        <v>1347</v>
      </c>
      <c r="B1346" t="str">
        <f t="shared" si="147"/>
        <v>OK</v>
      </c>
      <c r="C1346" t="s">
        <v>2830</v>
      </c>
      <c r="D1346" s="2">
        <v>50</v>
      </c>
      <c r="E1346">
        <f>IF(OR(D1346&lt;18, D1346&gt;100),AD1345,D1346)</f>
        <v>50</v>
      </c>
      <c r="F1346" t="s">
        <v>2992</v>
      </c>
      <c r="G1346" t="str">
        <f t="shared" si="141"/>
        <v>Female</v>
      </c>
      <c r="H1346" t="s">
        <v>3001</v>
      </c>
      <c r="I1346" t="s">
        <v>3019</v>
      </c>
      <c r="K1346" t="str">
        <f t="shared" si="142"/>
        <v>Employed</v>
      </c>
      <c r="L1346">
        <v>15</v>
      </c>
      <c r="M1346">
        <v>2169968</v>
      </c>
      <c r="N1346">
        <f t="shared" si="143"/>
        <v>2169968</v>
      </c>
      <c r="O1346">
        <v>312253</v>
      </c>
      <c r="P1346">
        <v>9.7200000000000006</v>
      </c>
      <c r="Q1346">
        <v>12</v>
      </c>
      <c r="R1346" t="s">
        <v>3047</v>
      </c>
      <c r="S1346" t="str">
        <f t="shared" si="144"/>
        <v>Personal</v>
      </c>
      <c r="T1346">
        <v>545</v>
      </c>
      <c r="U1346">
        <f t="shared" si="145"/>
        <v>545</v>
      </c>
      <c r="V1346">
        <v>2</v>
      </c>
      <c r="W1346" t="s">
        <v>3055</v>
      </c>
      <c r="X1346" s="3" t="s">
        <v>3581</v>
      </c>
      <c r="Y1346" s="3">
        <f t="shared" si="146"/>
        <v>44794</v>
      </c>
      <c r="Z1346">
        <v>0.1439</v>
      </c>
    </row>
    <row r="1347" spans="1:26" x14ac:dyDescent="0.35">
      <c r="A1347" t="s">
        <v>1348</v>
      </c>
      <c r="B1347" t="str">
        <f t="shared" si="147"/>
        <v>OK</v>
      </c>
      <c r="C1347" t="s">
        <v>2831</v>
      </c>
      <c r="D1347" s="2">
        <v>36</v>
      </c>
      <c r="E1347">
        <f>IF(OR(D1347&lt;18, D1347&gt;100),AD1346,D1347)</f>
        <v>36</v>
      </c>
      <c r="F1347" t="s">
        <v>2992</v>
      </c>
      <c r="G1347" t="str">
        <f t="shared" ref="G1347:G1410" si="148">IF(F1347="", "Unknown", IF(OR(F1347="F", F1347="FEMALE", F1347="Female"), "Female", IF(OR(F1347="M", F1347="MALE", F1347="Male"), "Male", "Other")))</f>
        <v>Female</v>
      </c>
      <c r="H1347" t="s">
        <v>3014</v>
      </c>
      <c r="I1347" t="s">
        <v>3018</v>
      </c>
      <c r="K1347" t="str">
        <f t="shared" ref="K1347:K1410" si="149">IF(I1347="", "Unknown", I1347)</f>
        <v>Business Owner</v>
      </c>
      <c r="L1347">
        <v>17</v>
      </c>
      <c r="M1347">
        <v>870493</v>
      </c>
      <c r="N1347">
        <f t="shared" ref="N1347:N1410" si="150">IF(OR(M1347="",M1347&lt;0),$AD$3,M1347)</f>
        <v>870493</v>
      </c>
      <c r="O1347">
        <v>269243</v>
      </c>
      <c r="P1347">
        <v>20.239999999999998</v>
      </c>
      <c r="Q1347">
        <v>12</v>
      </c>
      <c r="R1347" t="s">
        <v>3049</v>
      </c>
      <c r="S1347" t="str">
        <f t="shared" ref="S1347:S1410" si="151">IF(R1347="", "Unknown", R1347)</f>
        <v>Business</v>
      </c>
      <c r="T1347">
        <v>427</v>
      </c>
      <c r="U1347">
        <f t="shared" ref="U1347:U1410" si="152">IF(OR(T1347="",T1347&gt;999),$AD$2,T1347)</f>
        <v>427</v>
      </c>
      <c r="V1347">
        <v>6</v>
      </c>
      <c r="W1347" t="s">
        <v>3054</v>
      </c>
      <c r="X1347" s="3" t="s">
        <v>4000</v>
      </c>
      <c r="Y1347" s="3">
        <f t="shared" ref="Y1347:Y1410" si="153">IF(ISNUMBER(X1347), X1347, DATEVALUE(X1347))</f>
        <v>45210</v>
      </c>
      <c r="Z1347">
        <v>0.30930000000000002</v>
      </c>
    </row>
    <row r="1348" spans="1:26" x14ac:dyDescent="0.35">
      <c r="A1348" t="s">
        <v>1349</v>
      </c>
      <c r="B1348" t="str">
        <f t="shared" si="147"/>
        <v>OK</v>
      </c>
      <c r="C1348" t="s">
        <v>2832</v>
      </c>
      <c r="D1348" s="2">
        <v>60</v>
      </c>
      <c r="E1348">
        <f>IF(OR(D1348&lt;18, D1348&gt;100),AD1347,D1348)</f>
        <v>60</v>
      </c>
      <c r="F1348" t="s">
        <v>2992</v>
      </c>
      <c r="G1348" t="str">
        <f t="shared" si="148"/>
        <v>Female</v>
      </c>
      <c r="H1348" t="s">
        <v>3001</v>
      </c>
      <c r="I1348" t="s">
        <v>3018</v>
      </c>
      <c r="K1348" t="str">
        <f t="shared" si="149"/>
        <v>Business Owner</v>
      </c>
      <c r="L1348">
        <v>8</v>
      </c>
      <c r="M1348">
        <v>1216548</v>
      </c>
      <c r="N1348">
        <f t="shared" si="150"/>
        <v>1216548</v>
      </c>
      <c r="O1348">
        <v>686393</v>
      </c>
      <c r="P1348">
        <v>11.64</v>
      </c>
      <c r="Q1348">
        <v>24</v>
      </c>
      <c r="R1348" t="s">
        <v>3046</v>
      </c>
      <c r="S1348" t="str">
        <f t="shared" si="151"/>
        <v>Medical</v>
      </c>
      <c r="T1348">
        <v>722</v>
      </c>
      <c r="U1348">
        <f t="shared" si="152"/>
        <v>722</v>
      </c>
      <c r="V1348">
        <v>4</v>
      </c>
      <c r="W1348" t="s">
        <v>3053</v>
      </c>
      <c r="X1348" s="3" t="s">
        <v>3372</v>
      </c>
      <c r="Y1348" s="3">
        <f t="shared" si="153"/>
        <v>44220</v>
      </c>
      <c r="Z1348">
        <v>0.56420000000000003</v>
      </c>
    </row>
    <row r="1349" spans="1:26" x14ac:dyDescent="0.35">
      <c r="A1349" t="s">
        <v>1350</v>
      </c>
      <c r="B1349" t="str">
        <f t="shared" si="147"/>
        <v>OK</v>
      </c>
      <c r="C1349" t="s">
        <v>2833</v>
      </c>
      <c r="D1349" s="2">
        <v>41</v>
      </c>
      <c r="E1349">
        <f>IF(OR(D1349&lt;18, D1349&gt;100),AD1348,D1349)</f>
        <v>41</v>
      </c>
      <c r="F1349" t="s">
        <v>2990</v>
      </c>
      <c r="G1349" t="str">
        <f t="shared" si="148"/>
        <v>Male</v>
      </c>
      <c r="H1349" t="s">
        <v>3011</v>
      </c>
      <c r="I1349" t="s">
        <v>3018</v>
      </c>
      <c r="K1349" t="str">
        <f t="shared" si="149"/>
        <v>Business Owner</v>
      </c>
      <c r="L1349">
        <v>3</v>
      </c>
      <c r="M1349">
        <v>218547</v>
      </c>
      <c r="N1349">
        <f t="shared" si="150"/>
        <v>218547</v>
      </c>
      <c r="O1349">
        <v>290170</v>
      </c>
      <c r="P1349">
        <v>15.14</v>
      </c>
      <c r="Q1349">
        <v>24</v>
      </c>
      <c r="R1349" t="s">
        <v>3047</v>
      </c>
      <c r="S1349" t="str">
        <f t="shared" si="151"/>
        <v>Personal</v>
      </c>
      <c r="T1349">
        <v>444</v>
      </c>
      <c r="U1349">
        <f t="shared" si="152"/>
        <v>444</v>
      </c>
      <c r="V1349">
        <v>4</v>
      </c>
      <c r="W1349" t="s">
        <v>3056</v>
      </c>
      <c r="X1349" s="3" t="s">
        <v>3829</v>
      </c>
      <c r="Y1349" s="3">
        <f t="shared" si="153"/>
        <v>43936</v>
      </c>
      <c r="Z1349">
        <v>1.3277000000000001</v>
      </c>
    </row>
    <row r="1350" spans="1:26" x14ac:dyDescent="0.35">
      <c r="A1350" t="s">
        <v>1351</v>
      </c>
      <c r="B1350" t="str">
        <f t="shared" si="147"/>
        <v>OK</v>
      </c>
      <c r="C1350" t="s">
        <v>2834</v>
      </c>
      <c r="D1350" s="2">
        <v>59</v>
      </c>
      <c r="E1350">
        <f>IF(OR(D1350&lt;18, D1350&gt;100),AD1349,D1350)</f>
        <v>59</v>
      </c>
      <c r="F1350" t="s">
        <v>2990</v>
      </c>
      <c r="G1350" t="str">
        <f t="shared" si="148"/>
        <v>Male</v>
      </c>
      <c r="H1350" t="s">
        <v>2998</v>
      </c>
      <c r="I1350" t="s">
        <v>3019</v>
      </c>
      <c r="K1350" t="str">
        <f t="shared" si="149"/>
        <v>Employed</v>
      </c>
      <c r="L1350">
        <v>22</v>
      </c>
      <c r="M1350">
        <v>1991840</v>
      </c>
      <c r="N1350">
        <f t="shared" si="150"/>
        <v>1991840</v>
      </c>
      <c r="O1350">
        <v>719158</v>
      </c>
      <c r="P1350">
        <v>13.79</v>
      </c>
      <c r="Q1350">
        <v>60</v>
      </c>
      <c r="R1350" t="s">
        <v>3050</v>
      </c>
      <c r="S1350" t="str">
        <f t="shared" si="151"/>
        <v>Agriculture</v>
      </c>
      <c r="T1350">
        <v>486</v>
      </c>
      <c r="U1350">
        <f t="shared" si="152"/>
        <v>486</v>
      </c>
      <c r="V1350">
        <v>2</v>
      </c>
      <c r="W1350" t="s">
        <v>3056</v>
      </c>
      <c r="X1350" s="3" t="s">
        <v>4001</v>
      </c>
      <c r="Y1350" s="3">
        <f t="shared" si="153"/>
        <v>43916</v>
      </c>
      <c r="Z1350">
        <v>0.36109999999999998</v>
      </c>
    </row>
    <row r="1351" spans="1:26" x14ac:dyDescent="0.35">
      <c r="A1351" t="s">
        <v>1352</v>
      </c>
      <c r="B1351" t="str">
        <f t="shared" si="147"/>
        <v>OK</v>
      </c>
      <c r="C1351" t="s">
        <v>2835</v>
      </c>
      <c r="D1351" s="2">
        <v>29</v>
      </c>
      <c r="E1351">
        <f>IF(OR(D1351&lt;18, D1351&gt;100),AD1350,D1351)</f>
        <v>29</v>
      </c>
      <c r="F1351" t="s">
        <v>2992</v>
      </c>
      <c r="G1351" t="str">
        <f t="shared" si="148"/>
        <v>Female</v>
      </c>
      <c r="H1351" t="s">
        <v>3005</v>
      </c>
      <c r="I1351" t="s">
        <v>3021</v>
      </c>
      <c r="K1351" t="str">
        <f t="shared" si="149"/>
        <v>Unemployed</v>
      </c>
      <c r="L1351">
        <v>22</v>
      </c>
      <c r="M1351">
        <v>1749123</v>
      </c>
      <c r="N1351">
        <f t="shared" si="150"/>
        <v>1749123</v>
      </c>
      <c r="O1351">
        <v>720769</v>
      </c>
      <c r="P1351">
        <v>26.41</v>
      </c>
      <c r="Q1351">
        <v>60</v>
      </c>
      <c r="R1351" t="s">
        <v>3047</v>
      </c>
      <c r="S1351" t="str">
        <f t="shared" si="151"/>
        <v>Personal</v>
      </c>
      <c r="T1351">
        <v>845</v>
      </c>
      <c r="U1351">
        <f t="shared" si="152"/>
        <v>845</v>
      </c>
      <c r="V1351">
        <v>0</v>
      </c>
      <c r="W1351" t="s">
        <v>3055</v>
      </c>
      <c r="X1351" s="3" t="s">
        <v>4002</v>
      </c>
      <c r="Y1351" s="3">
        <f t="shared" si="153"/>
        <v>44520</v>
      </c>
      <c r="Z1351">
        <v>0.41210000000000002</v>
      </c>
    </row>
    <row r="1352" spans="1:26" x14ac:dyDescent="0.35">
      <c r="A1352" t="s">
        <v>1353</v>
      </c>
      <c r="B1352" t="str">
        <f t="shared" si="147"/>
        <v>OK</v>
      </c>
      <c r="C1352" t="s">
        <v>2836</v>
      </c>
      <c r="D1352" s="2">
        <v>42</v>
      </c>
      <c r="E1352">
        <f>IF(OR(D1352&lt;18, D1352&gt;100),AD1351,D1352)</f>
        <v>42</v>
      </c>
      <c r="F1352" t="s">
        <v>2990</v>
      </c>
      <c r="G1352" t="str">
        <f t="shared" si="148"/>
        <v>Male</v>
      </c>
      <c r="H1352" t="s">
        <v>3002</v>
      </c>
      <c r="I1352" t="s">
        <v>3020</v>
      </c>
      <c r="K1352" t="str">
        <f t="shared" si="149"/>
        <v>Self-Employed</v>
      </c>
      <c r="L1352">
        <v>21</v>
      </c>
      <c r="M1352">
        <v>1992336</v>
      </c>
      <c r="N1352">
        <f t="shared" si="150"/>
        <v>1992336</v>
      </c>
      <c r="O1352">
        <v>668456</v>
      </c>
      <c r="P1352">
        <v>26.41</v>
      </c>
      <c r="Q1352">
        <v>48</v>
      </c>
      <c r="R1352" t="s">
        <v>3051</v>
      </c>
      <c r="S1352" t="str">
        <f t="shared" si="151"/>
        <v>Education</v>
      </c>
      <c r="T1352">
        <v>842</v>
      </c>
      <c r="U1352">
        <f t="shared" si="152"/>
        <v>842</v>
      </c>
      <c r="V1352">
        <v>3</v>
      </c>
      <c r="W1352" t="s">
        <v>3054</v>
      </c>
      <c r="X1352" s="3" t="s">
        <v>4003</v>
      </c>
      <c r="Y1352" s="3">
        <f t="shared" si="153"/>
        <v>44851</v>
      </c>
      <c r="Z1352">
        <v>0.33550000000000002</v>
      </c>
    </row>
    <row r="1353" spans="1:26" x14ac:dyDescent="0.35">
      <c r="A1353" t="s">
        <v>1354</v>
      </c>
      <c r="B1353" t="str">
        <f t="shared" si="147"/>
        <v>OK</v>
      </c>
      <c r="C1353" t="s">
        <v>2837</v>
      </c>
      <c r="D1353" s="2">
        <v>45</v>
      </c>
      <c r="E1353">
        <f>IF(OR(D1353&lt;18, D1353&gt;100),AD1352,D1353)</f>
        <v>45</v>
      </c>
      <c r="F1353" t="s">
        <v>2990</v>
      </c>
      <c r="G1353" t="str">
        <f t="shared" si="148"/>
        <v>Male</v>
      </c>
      <c r="H1353" t="s">
        <v>3003</v>
      </c>
      <c r="I1353" t="s">
        <v>3020</v>
      </c>
      <c r="K1353" t="str">
        <f t="shared" si="149"/>
        <v>Self-Employed</v>
      </c>
      <c r="L1353">
        <v>15</v>
      </c>
      <c r="N1353">
        <f t="shared" si="150"/>
        <v>1333224</v>
      </c>
      <c r="O1353">
        <v>657999</v>
      </c>
      <c r="P1353">
        <v>24.17</v>
      </c>
      <c r="Q1353">
        <v>48</v>
      </c>
      <c r="R1353" t="s">
        <v>3046</v>
      </c>
      <c r="S1353" t="str">
        <f t="shared" si="151"/>
        <v>Medical</v>
      </c>
      <c r="T1353">
        <v>722</v>
      </c>
      <c r="U1353">
        <f t="shared" si="152"/>
        <v>722</v>
      </c>
      <c r="V1353">
        <v>7</v>
      </c>
      <c r="W1353" t="s">
        <v>3052</v>
      </c>
      <c r="X1353" s="3" t="s">
        <v>3568</v>
      </c>
      <c r="Y1353" s="3">
        <f t="shared" si="153"/>
        <v>44783</v>
      </c>
      <c r="Z1353">
        <v>0.4239</v>
      </c>
    </row>
    <row r="1354" spans="1:26" x14ac:dyDescent="0.35">
      <c r="A1354" t="s">
        <v>1355</v>
      </c>
      <c r="B1354" t="str">
        <f t="shared" si="147"/>
        <v>OK</v>
      </c>
      <c r="C1354" t="s">
        <v>2838</v>
      </c>
      <c r="D1354" s="2">
        <v>58</v>
      </c>
      <c r="E1354">
        <f>IF(OR(D1354&lt;18, D1354&gt;100),AD1353,D1354)</f>
        <v>58</v>
      </c>
      <c r="F1354" t="s">
        <v>2990</v>
      </c>
      <c r="G1354" t="str">
        <f t="shared" si="148"/>
        <v>Male</v>
      </c>
      <c r="H1354" t="s">
        <v>2999</v>
      </c>
      <c r="I1354" t="s">
        <v>3019</v>
      </c>
      <c r="K1354" t="str">
        <f t="shared" si="149"/>
        <v>Employed</v>
      </c>
      <c r="L1354">
        <v>14</v>
      </c>
      <c r="N1354">
        <f t="shared" si="150"/>
        <v>1333224</v>
      </c>
      <c r="O1354">
        <v>167309</v>
      </c>
      <c r="P1354">
        <v>23.92</v>
      </c>
      <c r="Q1354">
        <v>12</v>
      </c>
      <c r="R1354" t="s">
        <v>3046</v>
      </c>
      <c r="S1354" t="str">
        <f t="shared" si="151"/>
        <v>Medical</v>
      </c>
      <c r="T1354">
        <v>718</v>
      </c>
      <c r="U1354">
        <f t="shared" si="152"/>
        <v>718</v>
      </c>
      <c r="V1354">
        <v>4</v>
      </c>
      <c r="W1354" t="s">
        <v>3057</v>
      </c>
      <c r="X1354" s="3" t="s">
        <v>3397</v>
      </c>
      <c r="Y1354" s="3">
        <f t="shared" si="153"/>
        <v>44980</v>
      </c>
      <c r="Z1354">
        <v>0.87460000000000004</v>
      </c>
    </row>
    <row r="1355" spans="1:26" x14ac:dyDescent="0.35">
      <c r="A1355" t="s">
        <v>1356</v>
      </c>
      <c r="B1355" t="str">
        <f t="shared" si="147"/>
        <v>OK</v>
      </c>
      <c r="C1355" t="s">
        <v>2839</v>
      </c>
      <c r="D1355" s="2">
        <v>30</v>
      </c>
      <c r="E1355">
        <f>IF(OR(D1355&lt;18, D1355&gt;100),AD1354,D1355)</f>
        <v>30</v>
      </c>
      <c r="F1355" t="s">
        <v>2992</v>
      </c>
      <c r="G1355" t="str">
        <f t="shared" si="148"/>
        <v>Female</v>
      </c>
      <c r="H1355" t="s">
        <v>2999</v>
      </c>
      <c r="I1355" t="s">
        <v>3021</v>
      </c>
      <c r="K1355" t="str">
        <f t="shared" si="149"/>
        <v>Unemployed</v>
      </c>
      <c r="L1355">
        <v>26</v>
      </c>
      <c r="M1355">
        <v>2341088</v>
      </c>
      <c r="N1355">
        <f t="shared" si="150"/>
        <v>2341088</v>
      </c>
      <c r="O1355">
        <v>310374</v>
      </c>
      <c r="P1355">
        <v>23.1</v>
      </c>
      <c r="Q1355">
        <v>24</v>
      </c>
      <c r="R1355" t="s">
        <v>3048</v>
      </c>
      <c r="S1355" t="str">
        <f t="shared" si="151"/>
        <v>Home Improvement</v>
      </c>
      <c r="T1355">
        <v>839</v>
      </c>
      <c r="U1355">
        <f t="shared" si="152"/>
        <v>839</v>
      </c>
      <c r="V1355">
        <v>1</v>
      </c>
      <c r="W1355" t="s">
        <v>3053</v>
      </c>
      <c r="X1355" s="3" t="s">
        <v>3369</v>
      </c>
      <c r="Y1355" s="3">
        <f t="shared" si="153"/>
        <v>44924</v>
      </c>
      <c r="Z1355">
        <v>0.1326</v>
      </c>
    </row>
    <row r="1356" spans="1:26" x14ac:dyDescent="0.35">
      <c r="A1356" t="s">
        <v>1357</v>
      </c>
      <c r="B1356" t="str">
        <f t="shared" si="147"/>
        <v>OK</v>
      </c>
      <c r="C1356" t="s">
        <v>2840</v>
      </c>
      <c r="D1356" s="2">
        <v>52</v>
      </c>
      <c r="E1356">
        <f>IF(OR(D1356&lt;18, D1356&gt;100),AD1355,D1356)</f>
        <v>52</v>
      </c>
      <c r="F1356" t="s">
        <v>2992</v>
      </c>
      <c r="G1356" t="str">
        <f t="shared" si="148"/>
        <v>Female</v>
      </c>
      <c r="H1356" t="s">
        <v>2998</v>
      </c>
      <c r="I1356" t="s">
        <v>3021</v>
      </c>
      <c r="K1356" t="str">
        <f t="shared" si="149"/>
        <v>Unemployed</v>
      </c>
      <c r="L1356">
        <v>11</v>
      </c>
      <c r="M1356">
        <v>893936</v>
      </c>
      <c r="N1356">
        <f t="shared" si="150"/>
        <v>893936</v>
      </c>
      <c r="O1356">
        <v>502488</v>
      </c>
      <c r="P1356">
        <v>20.02</v>
      </c>
      <c r="Q1356">
        <v>24</v>
      </c>
      <c r="R1356" t="s">
        <v>3050</v>
      </c>
      <c r="S1356" t="str">
        <f t="shared" si="151"/>
        <v>Agriculture</v>
      </c>
      <c r="T1356">
        <v>586</v>
      </c>
      <c r="U1356">
        <f t="shared" si="152"/>
        <v>586</v>
      </c>
      <c r="V1356">
        <v>2</v>
      </c>
      <c r="W1356" t="s">
        <v>3053</v>
      </c>
      <c r="X1356" s="3" t="s">
        <v>4004</v>
      </c>
      <c r="Y1356" s="3">
        <f t="shared" si="153"/>
        <v>44352</v>
      </c>
      <c r="Z1356">
        <v>0.56210000000000004</v>
      </c>
    </row>
    <row r="1357" spans="1:26" x14ac:dyDescent="0.35">
      <c r="A1357" t="s">
        <v>1358</v>
      </c>
      <c r="B1357" t="str">
        <f t="shared" si="147"/>
        <v>OK</v>
      </c>
      <c r="C1357" t="s">
        <v>2841</v>
      </c>
      <c r="D1357" s="2">
        <v>28</v>
      </c>
      <c r="E1357">
        <f>IF(OR(D1357&lt;18, D1357&gt;100),AD1356,D1357)</f>
        <v>28</v>
      </c>
      <c r="F1357" t="s">
        <v>2990</v>
      </c>
      <c r="G1357" t="str">
        <f t="shared" si="148"/>
        <v>Male</v>
      </c>
      <c r="H1357" t="s">
        <v>3004</v>
      </c>
      <c r="I1357" t="s">
        <v>3019</v>
      </c>
      <c r="K1357" t="str">
        <f t="shared" si="149"/>
        <v>Employed</v>
      </c>
      <c r="L1357">
        <v>15</v>
      </c>
      <c r="M1357">
        <v>1549363</v>
      </c>
      <c r="N1357">
        <f t="shared" si="150"/>
        <v>1549363</v>
      </c>
      <c r="O1357">
        <v>741818</v>
      </c>
      <c r="P1357">
        <v>8.14</v>
      </c>
      <c r="Q1357">
        <v>48</v>
      </c>
      <c r="R1357" t="s">
        <v>3051</v>
      </c>
      <c r="S1357" t="str">
        <f t="shared" si="151"/>
        <v>Education</v>
      </c>
      <c r="U1357">
        <f t="shared" si="152"/>
        <v>556</v>
      </c>
      <c r="V1357">
        <v>7</v>
      </c>
      <c r="W1357" t="s">
        <v>3056</v>
      </c>
      <c r="X1357" s="3" t="s">
        <v>3753</v>
      </c>
      <c r="Y1357" s="3">
        <f t="shared" si="153"/>
        <v>45275</v>
      </c>
      <c r="Z1357">
        <v>0.4788</v>
      </c>
    </row>
    <row r="1358" spans="1:26" x14ac:dyDescent="0.35">
      <c r="A1358" t="s">
        <v>1359</v>
      </c>
      <c r="B1358" t="str">
        <f t="shared" si="147"/>
        <v>OK</v>
      </c>
      <c r="C1358" t="s">
        <v>2842</v>
      </c>
      <c r="D1358" s="2">
        <v>53</v>
      </c>
      <c r="E1358">
        <f>IF(OR(D1358&lt;18, D1358&gt;100),AD1357,D1358)</f>
        <v>53</v>
      </c>
      <c r="F1358" t="s">
        <v>2990</v>
      </c>
      <c r="G1358" t="str">
        <f t="shared" si="148"/>
        <v>Male</v>
      </c>
      <c r="H1358" t="s">
        <v>3000</v>
      </c>
      <c r="I1358" t="s">
        <v>3020</v>
      </c>
      <c r="K1358" t="str">
        <f t="shared" si="149"/>
        <v>Self-Employed</v>
      </c>
      <c r="L1358">
        <v>1</v>
      </c>
      <c r="M1358">
        <v>1510228</v>
      </c>
      <c r="N1358">
        <f t="shared" si="150"/>
        <v>1510228</v>
      </c>
      <c r="O1358">
        <v>42601</v>
      </c>
      <c r="P1358">
        <v>24.7</v>
      </c>
      <c r="Q1358">
        <v>12</v>
      </c>
      <c r="R1358" t="s">
        <v>3048</v>
      </c>
      <c r="S1358" t="str">
        <f t="shared" si="151"/>
        <v>Home Improvement</v>
      </c>
      <c r="T1358">
        <v>662</v>
      </c>
      <c r="U1358">
        <f t="shared" si="152"/>
        <v>662</v>
      </c>
      <c r="V1358">
        <v>1</v>
      </c>
      <c r="W1358" t="s">
        <v>3055</v>
      </c>
      <c r="X1358" s="3" t="s">
        <v>3096</v>
      </c>
      <c r="Y1358" s="3">
        <f t="shared" si="153"/>
        <v>45202</v>
      </c>
      <c r="Z1358">
        <v>2.8199999999999999E-2</v>
      </c>
    </row>
    <row r="1359" spans="1:26" x14ac:dyDescent="0.35">
      <c r="A1359" t="s">
        <v>1360</v>
      </c>
      <c r="B1359" t="str">
        <f t="shared" si="147"/>
        <v>OK</v>
      </c>
      <c r="C1359" t="s">
        <v>2843</v>
      </c>
      <c r="D1359" s="2">
        <v>37</v>
      </c>
      <c r="E1359">
        <f>IF(OR(D1359&lt;18, D1359&gt;100),AD1358,D1359)</f>
        <v>37</v>
      </c>
      <c r="F1359" t="s">
        <v>2990</v>
      </c>
      <c r="G1359" t="str">
        <f t="shared" si="148"/>
        <v>Male</v>
      </c>
      <c r="H1359" t="s">
        <v>3006</v>
      </c>
      <c r="I1359" t="s">
        <v>3018</v>
      </c>
      <c r="K1359" t="str">
        <f t="shared" si="149"/>
        <v>Business Owner</v>
      </c>
      <c r="L1359">
        <v>10</v>
      </c>
      <c r="M1359">
        <v>1500567</v>
      </c>
      <c r="N1359">
        <f t="shared" si="150"/>
        <v>1500567</v>
      </c>
      <c r="O1359">
        <v>457470</v>
      </c>
      <c r="P1359">
        <v>22.63</v>
      </c>
      <c r="Q1359">
        <v>12</v>
      </c>
      <c r="R1359" t="s">
        <v>3049</v>
      </c>
      <c r="S1359" t="str">
        <f t="shared" si="151"/>
        <v>Business</v>
      </c>
      <c r="T1359">
        <v>748</v>
      </c>
      <c r="U1359">
        <f t="shared" si="152"/>
        <v>748</v>
      </c>
      <c r="V1359">
        <v>5</v>
      </c>
      <c r="W1359" t="s">
        <v>3056</v>
      </c>
      <c r="X1359" s="3" t="s">
        <v>3627</v>
      </c>
      <c r="Y1359" s="3">
        <f t="shared" si="153"/>
        <v>44268</v>
      </c>
      <c r="Z1359">
        <v>0.3049</v>
      </c>
    </row>
    <row r="1360" spans="1:26" x14ac:dyDescent="0.35">
      <c r="A1360" t="s">
        <v>1361</v>
      </c>
      <c r="B1360" t="str">
        <f t="shared" si="147"/>
        <v>OK</v>
      </c>
      <c r="C1360" t="s">
        <v>2844</v>
      </c>
      <c r="D1360" s="2">
        <v>51</v>
      </c>
      <c r="E1360">
        <f>IF(OR(D1360&lt;18, D1360&gt;100),AD1359,D1360)</f>
        <v>51</v>
      </c>
      <c r="F1360" t="s">
        <v>2993</v>
      </c>
      <c r="G1360" t="str">
        <f t="shared" si="148"/>
        <v>Male</v>
      </c>
      <c r="H1360" t="s">
        <v>3001</v>
      </c>
      <c r="I1360" t="s">
        <v>3018</v>
      </c>
      <c r="K1360" t="str">
        <f t="shared" si="149"/>
        <v>Business Owner</v>
      </c>
      <c r="L1360">
        <v>0</v>
      </c>
      <c r="M1360">
        <v>1770963</v>
      </c>
      <c r="N1360">
        <f t="shared" si="150"/>
        <v>1770963</v>
      </c>
      <c r="O1360">
        <v>501215</v>
      </c>
      <c r="P1360">
        <v>10.25</v>
      </c>
      <c r="Q1360">
        <v>60</v>
      </c>
      <c r="R1360" t="s">
        <v>3047</v>
      </c>
      <c r="S1360" t="str">
        <f t="shared" si="151"/>
        <v>Personal</v>
      </c>
      <c r="T1360">
        <v>682</v>
      </c>
      <c r="U1360">
        <f t="shared" si="152"/>
        <v>682</v>
      </c>
      <c r="V1360">
        <v>5</v>
      </c>
      <c r="W1360" t="s">
        <v>3056</v>
      </c>
      <c r="X1360" s="3" t="s">
        <v>3809</v>
      </c>
      <c r="Y1360" s="3">
        <f t="shared" si="153"/>
        <v>44347</v>
      </c>
      <c r="Z1360">
        <v>0.28299999999999997</v>
      </c>
    </row>
    <row r="1361" spans="1:26" x14ac:dyDescent="0.35">
      <c r="A1361" t="s">
        <v>1362</v>
      </c>
      <c r="B1361" t="str">
        <f t="shared" si="147"/>
        <v>OK</v>
      </c>
      <c r="C1361" t="s">
        <v>2845</v>
      </c>
      <c r="D1361" s="2">
        <v>57</v>
      </c>
      <c r="E1361">
        <f>IF(OR(D1361&lt;18, D1361&gt;100),AD1360,D1361)</f>
        <v>57</v>
      </c>
      <c r="F1361" t="s">
        <v>2990</v>
      </c>
      <c r="G1361" t="str">
        <f t="shared" si="148"/>
        <v>Male</v>
      </c>
      <c r="H1361" t="s">
        <v>3006</v>
      </c>
      <c r="I1361" t="s">
        <v>3018</v>
      </c>
      <c r="K1361" t="str">
        <f t="shared" si="149"/>
        <v>Business Owner</v>
      </c>
      <c r="L1361">
        <v>25</v>
      </c>
      <c r="M1361">
        <v>1860403</v>
      </c>
      <c r="N1361">
        <f t="shared" si="150"/>
        <v>1860403</v>
      </c>
      <c r="O1361">
        <v>699530</v>
      </c>
      <c r="P1361">
        <v>15</v>
      </c>
      <c r="Q1361">
        <v>36</v>
      </c>
      <c r="R1361" t="s">
        <v>3051</v>
      </c>
      <c r="S1361" t="str">
        <f t="shared" si="151"/>
        <v>Education</v>
      </c>
      <c r="T1361">
        <v>644</v>
      </c>
      <c r="U1361">
        <f t="shared" si="152"/>
        <v>644</v>
      </c>
      <c r="V1361">
        <v>1</v>
      </c>
      <c r="W1361" t="s">
        <v>3052</v>
      </c>
      <c r="X1361" s="3" t="s">
        <v>3276</v>
      </c>
      <c r="Y1361" s="3">
        <f t="shared" si="153"/>
        <v>45051</v>
      </c>
      <c r="Z1361">
        <v>0.376</v>
      </c>
    </row>
    <row r="1362" spans="1:26" x14ac:dyDescent="0.35">
      <c r="A1362" t="s">
        <v>1363</v>
      </c>
      <c r="B1362" t="str">
        <f t="shared" si="147"/>
        <v>OK</v>
      </c>
      <c r="C1362" t="s">
        <v>2846</v>
      </c>
      <c r="D1362" s="2">
        <v>58</v>
      </c>
      <c r="E1362">
        <f>IF(OR(D1362&lt;18, D1362&gt;100),AD1361,D1362)</f>
        <v>58</v>
      </c>
      <c r="F1362" t="s">
        <v>2992</v>
      </c>
      <c r="G1362" t="str">
        <f t="shared" si="148"/>
        <v>Female</v>
      </c>
      <c r="H1362" t="s">
        <v>2998</v>
      </c>
      <c r="I1362" t="s">
        <v>3021</v>
      </c>
      <c r="K1362" t="str">
        <f t="shared" si="149"/>
        <v>Unemployed</v>
      </c>
      <c r="L1362">
        <v>20</v>
      </c>
      <c r="M1362">
        <v>929971</v>
      </c>
      <c r="N1362">
        <f t="shared" si="150"/>
        <v>929971</v>
      </c>
      <c r="O1362">
        <v>197826</v>
      </c>
      <c r="P1362">
        <v>11.98</v>
      </c>
      <c r="Q1362">
        <v>60</v>
      </c>
      <c r="R1362" t="s">
        <v>3051</v>
      </c>
      <c r="S1362" t="str">
        <f t="shared" si="151"/>
        <v>Education</v>
      </c>
      <c r="T1362">
        <v>778</v>
      </c>
      <c r="U1362">
        <f t="shared" si="152"/>
        <v>778</v>
      </c>
      <c r="V1362">
        <v>0</v>
      </c>
      <c r="W1362" t="s">
        <v>3053</v>
      </c>
      <c r="X1362" s="3" t="s">
        <v>3586</v>
      </c>
      <c r="Y1362" s="3">
        <f t="shared" si="153"/>
        <v>44032</v>
      </c>
      <c r="Z1362">
        <v>0.2127</v>
      </c>
    </row>
    <row r="1363" spans="1:26" x14ac:dyDescent="0.35">
      <c r="A1363" t="s">
        <v>1364</v>
      </c>
      <c r="B1363" t="str">
        <f t="shared" si="147"/>
        <v>OK</v>
      </c>
      <c r="C1363" t="s">
        <v>2847</v>
      </c>
      <c r="D1363" s="2">
        <v>33</v>
      </c>
      <c r="E1363">
        <f>IF(OR(D1363&lt;18, D1363&gt;100),AD1362,D1363)</f>
        <v>33</v>
      </c>
      <c r="F1363" t="s">
        <v>2990</v>
      </c>
      <c r="G1363" t="str">
        <f t="shared" si="148"/>
        <v>Male</v>
      </c>
      <c r="H1363" t="s">
        <v>3016</v>
      </c>
      <c r="I1363" t="s">
        <v>3020</v>
      </c>
      <c r="K1363" t="str">
        <f t="shared" si="149"/>
        <v>Self-Employed</v>
      </c>
      <c r="L1363">
        <v>6</v>
      </c>
      <c r="M1363">
        <v>1654764</v>
      </c>
      <c r="N1363">
        <f t="shared" si="150"/>
        <v>1654764</v>
      </c>
      <c r="O1363">
        <v>76358</v>
      </c>
      <c r="P1363">
        <v>19.54</v>
      </c>
      <c r="Q1363">
        <v>12</v>
      </c>
      <c r="R1363" t="s">
        <v>3050</v>
      </c>
      <c r="S1363" t="str">
        <f t="shared" si="151"/>
        <v>Agriculture</v>
      </c>
      <c r="T1363">
        <v>658</v>
      </c>
      <c r="U1363">
        <f t="shared" si="152"/>
        <v>658</v>
      </c>
      <c r="V1363">
        <v>7</v>
      </c>
      <c r="W1363" t="s">
        <v>3054</v>
      </c>
      <c r="X1363" s="3" t="s">
        <v>4005</v>
      </c>
      <c r="Y1363" s="3">
        <f t="shared" si="153"/>
        <v>44733</v>
      </c>
      <c r="Z1363">
        <v>4.6100000000000002E-2</v>
      </c>
    </row>
    <row r="1364" spans="1:26" x14ac:dyDescent="0.35">
      <c r="A1364" t="s">
        <v>1365</v>
      </c>
      <c r="B1364" t="str">
        <f t="shared" si="147"/>
        <v>OK</v>
      </c>
      <c r="C1364" t="s">
        <v>2848</v>
      </c>
      <c r="D1364" s="2">
        <v>55</v>
      </c>
      <c r="E1364">
        <f>IF(OR(D1364&lt;18, D1364&gt;100),AD1363,D1364)</f>
        <v>55</v>
      </c>
      <c r="F1364" t="s">
        <v>2992</v>
      </c>
      <c r="G1364" t="str">
        <f t="shared" si="148"/>
        <v>Female</v>
      </c>
      <c r="H1364" t="s">
        <v>3003</v>
      </c>
      <c r="I1364" t="s">
        <v>3021</v>
      </c>
      <c r="K1364" t="str">
        <f t="shared" si="149"/>
        <v>Unemployed</v>
      </c>
      <c r="L1364">
        <v>21</v>
      </c>
      <c r="M1364">
        <v>2151856</v>
      </c>
      <c r="N1364">
        <f t="shared" si="150"/>
        <v>2151856</v>
      </c>
      <c r="O1364">
        <v>756129</v>
      </c>
      <c r="P1364">
        <v>13.22</v>
      </c>
      <c r="Q1364">
        <v>60</v>
      </c>
      <c r="R1364" t="s">
        <v>3050</v>
      </c>
      <c r="S1364" t="str">
        <f t="shared" si="151"/>
        <v>Agriculture</v>
      </c>
      <c r="T1364">
        <v>346</v>
      </c>
      <c r="U1364">
        <f t="shared" si="152"/>
        <v>346</v>
      </c>
      <c r="V1364">
        <v>0</v>
      </c>
      <c r="W1364" t="s">
        <v>3052</v>
      </c>
      <c r="X1364" s="3" t="s">
        <v>4006</v>
      </c>
      <c r="Y1364" s="3">
        <f t="shared" si="153"/>
        <v>44369</v>
      </c>
      <c r="Z1364">
        <v>0.35139999999999999</v>
      </c>
    </row>
    <row r="1365" spans="1:26" x14ac:dyDescent="0.35">
      <c r="A1365" t="s">
        <v>1366</v>
      </c>
      <c r="B1365" t="str">
        <f t="shared" si="147"/>
        <v>OK</v>
      </c>
      <c r="C1365" t="s">
        <v>2849</v>
      </c>
      <c r="D1365" s="2">
        <v>55</v>
      </c>
      <c r="E1365">
        <f>IF(OR(D1365&lt;18, D1365&gt;100),AD1364,D1365)</f>
        <v>55</v>
      </c>
      <c r="G1365" t="str">
        <f t="shared" si="148"/>
        <v>Unknown</v>
      </c>
      <c r="H1365" t="s">
        <v>3002</v>
      </c>
      <c r="I1365" t="s">
        <v>3020</v>
      </c>
      <c r="K1365" t="str">
        <f t="shared" si="149"/>
        <v>Self-Employed</v>
      </c>
      <c r="L1365">
        <v>14</v>
      </c>
      <c r="N1365">
        <f t="shared" si="150"/>
        <v>1333224</v>
      </c>
      <c r="O1365">
        <v>489450</v>
      </c>
      <c r="P1365">
        <v>18.89</v>
      </c>
      <c r="Q1365">
        <v>60</v>
      </c>
      <c r="R1365" t="s">
        <v>3050</v>
      </c>
      <c r="S1365" t="str">
        <f t="shared" si="151"/>
        <v>Agriculture</v>
      </c>
      <c r="T1365">
        <v>584</v>
      </c>
      <c r="U1365">
        <f t="shared" si="152"/>
        <v>584</v>
      </c>
      <c r="V1365">
        <v>4</v>
      </c>
      <c r="W1365" t="s">
        <v>3057</v>
      </c>
      <c r="X1365" s="3" t="s">
        <v>3925</v>
      </c>
      <c r="Y1365" s="3">
        <f t="shared" si="153"/>
        <v>44171</v>
      </c>
      <c r="Z1365">
        <v>0.21909999999999999</v>
      </c>
    </row>
    <row r="1366" spans="1:26" x14ac:dyDescent="0.35">
      <c r="A1366" t="s">
        <v>1367</v>
      </c>
      <c r="B1366" t="str">
        <f t="shared" si="147"/>
        <v>OK</v>
      </c>
      <c r="C1366" t="s">
        <v>2850</v>
      </c>
      <c r="D1366" s="2">
        <v>21</v>
      </c>
      <c r="E1366">
        <f>IF(OR(D1366&lt;18, D1366&gt;100),AD1365,D1366)</f>
        <v>21</v>
      </c>
      <c r="F1366" t="s">
        <v>2992</v>
      </c>
      <c r="G1366" t="str">
        <f t="shared" si="148"/>
        <v>Female</v>
      </c>
      <c r="H1366" t="s">
        <v>3000</v>
      </c>
      <c r="I1366" t="s">
        <v>3020</v>
      </c>
      <c r="K1366" t="str">
        <f t="shared" si="149"/>
        <v>Self-Employed</v>
      </c>
      <c r="L1366">
        <v>18</v>
      </c>
      <c r="M1366">
        <v>509638</v>
      </c>
      <c r="N1366">
        <f t="shared" si="150"/>
        <v>509638</v>
      </c>
      <c r="O1366">
        <v>412670</v>
      </c>
      <c r="P1366">
        <v>18.89</v>
      </c>
      <c r="Q1366">
        <v>24</v>
      </c>
      <c r="R1366" t="s">
        <v>3047</v>
      </c>
      <c r="S1366" t="str">
        <f t="shared" si="151"/>
        <v>Personal</v>
      </c>
      <c r="T1366">
        <v>712</v>
      </c>
      <c r="U1366">
        <f t="shared" si="152"/>
        <v>712</v>
      </c>
      <c r="V1366">
        <v>4</v>
      </c>
      <c r="W1366" t="s">
        <v>3052</v>
      </c>
      <c r="X1366" s="3" t="s">
        <v>4003</v>
      </c>
      <c r="Y1366" s="3">
        <f t="shared" si="153"/>
        <v>44851</v>
      </c>
      <c r="Z1366">
        <v>0.80969999999999998</v>
      </c>
    </row>
    <row r="1367" spans="1:26" x14ac:dyDescent="0.35">
      <c r="A1367" t="s">
        <v>1368</v>
      </c>
      <c r="B1367" t="str">
        <f t="shared" si="147"/>
        <v>OK</v>
      </c>
      <c r="C1367" t="s">
        <v>2851</v>
      </c>
      <c r="D1367" s="2">
        <v>24</v>
      </c>
      <c r="E1367">
        <f>IF(OR(D1367&lt;18, D1367&gt;100),AD1366,D1367)</f>
        <v>24</v>
      </c>
      <c r="F1367" t="s">
        <v>2992</v>
      </c>
      <c r="G1367" t="str">
        <f t="shared" si="148"/>
        <v>Female</v>
      </c>
      <c r="H1367" t="s">
        <v>3005</v>
      </c>
      <c r="I1367" t="s">
        <v>3019</v>
      </c>
      <c r="K1367" t="str">
        <f t="shared" si="149"/>
        <v>Employed</v>
      </c>
      <c r="L1367">
        <v>1</v>
      </c>
      <c r="M1367">
        <v>1729420</v>
      </c>
      <c r="N1367">
        <f t="shared" si="150"/>
        <v>1729420</v>
      </c>
      <c r="O1367">
        <v>627466</v>
      </c>
      <c r="P1367">
        <v>11.58</v>
      </c>
      <c r="Q1367">
        <v>36</v>
      </c>
      <c r="R1367" t="s">
        <v>3047</v>
      </c>
      <c r="S1367" t="str">
        <f t="shared" si="151"/>
        <v>Personal</v>
      </c>
      <c r="T1367">
        <v>593</v>
      </c>
      <c r="U1367">
        <f t="shared" si="152"/>
        <v>593</v>
      </c>
      <c r="V1367">
        <v>2</v>
      </c>
      <c r="W1367" t="s">
        <v>3055</v>
      </c>
      <c r="X1367" s="3" t="s">
        <v>3181</v>
      </c>
      <c r="Y1367" s="3">
        <f t="shared" si="153"/>
        <v>43992</v>
      </c>
      <c r="Z1367">
        <v>0.36280000000000001</v>
      </c>
    </row>
    <row r="1368" spans="1:26" x14ac:dyDescent="0.35">
      <c r="A1368" t="s">
        <v>1369</v>
      </c>
      <c r="B1368" t="str">
        <f t="shared" si="147"/>
        <v>OK</v>
      </c>
      <c r="C1368" t="s">
        <v>2852</v>
      </c>
      <c r="D1368" s="2">
        <v>34</v>
      </c>
      <c r="E1368">
        <f>IF(OR(D1368&lt;18, D1368&gt;100),AD1367,D1368)</f>
        <v>34</v>
      </c>
      <c r="F1368" t="s">
        <v>2992</v>
      </c>
      <c r="G1368" t="str">
        <f t="shared" si="148"/>
        <v>Female</v>
      </c>
      <c r="H1368" t="s">
        <v>3004</v>
      </c>
      <c r="I1368" t="s">
        <v>3020</v>
      </c>
      <c r="K1368" t="str">
        <f t="shared" si="149"/>
        <v>Self-Employed</v>
      </c>
      <c r="L1368">
        <v>10</v>
      </c>
      <c r="M1368">
        <v>305149</v>
      </c>
      <c r="N1368">
        <f t="shared" si="150"/>
        <v>305149</v>
      </c>
      <c r="O1368">
        <v>303983</v>
      </c>
      <c r="P1368">
        <v>15.84</v>
      </c>
      <c r="Q1368">
        <v>60</v>
      </c>
      <c r="R1368" t="s">
        <v>3049</v>
      </c>
      <c r="S1368" t="str">
        <f t="shared" si="151"/>
        <v>Business</v>
      </c>
      <c r="T1368">
        <v>674</v>
      </c>
      <c r="U1368">
        <f t="shared" si="152"/>
        <v>674</v>
      </c>
      <c r="V1368">
        <v>1</v>
      </c>
      <c r="W1368" t="s">
        <v>3055</v>
      </c>
      <c r="X1368" s="3" t="s">
        <v>4007</v>
      </c>
      <c r="Y1368" s="3">
        <f t="shared" si="153"/>
        <v>44833</v>
      </c>
      <c r="Z1368">
        <v>0.99619999999999997</v>
      </c>
    </row>
    <row r="1369" spans="1:26" x14ac:dyDescent="0.35">
      <c r="A1369" t="s">
        <v>1370</v>
      </c>
      <c r="B1369" t="str">
        <f t="shared" si="147"/>
        <v>OK</v>
      </c>
      <c r="C1369" t="s">
        <v>2853</v>
      </c>
      <c r="D1369" s="2">
        <v>30</v>
      </c>
      <c r="E1369">
        <f>IF(OR(D1369&lt;18, D1369&gt;100),AD1368,D1369)</f>
        <v>30</v>
      </c>
      <c r="F1369" t="s">
        <v>2990</v>
      </c>
      <c r="G1369" t="str">
        <f t="shared" si="148"/>
        <v>Male</v>
      </c>
      <c r="H1369" t="s">
        <v>3005</v>
      </c>
      <c r="I1369" t="s">
        <v>3018</v>
      </c>
      <c r="K1369" t="str">
        <f t="shared" si="149"/>
        <v>Business Owner</v>
      </c>
      <c r="L1369">
        <v>29</v>
      </c>
      <c r="M1369">
        <v>755919</v>
      </c>
      <c r="N1369">
        <f t="shared" si="150"/>
        <v>755919</v>
      </c>
      <c r="O1369">
        <v>227352</v>
      </c>
      <c r="P1369">
        <v>17.66</v>
      </c>
      <c r="Q1369">
        <v>24</v>
      </c>
      <c r="R1369" t="s">
        <v>3049</v>
      </c>
      <c r="S1369" t="str">
        <f t="shared" si="151"/>
        <v>Business</v>
      </c>
      <c r="T1369">
        <v>763</v>
      </c>
      <c r="U1369">
        <f t="shared" si="152"/>
        <v>763</v>
      </c>
      <c r="V1369">
        <v>2</v>
      </c>
      <c r="W1369" t="s">
        <v>3054</v>
      </c>
      <c r="X1369" s="3" t="s">
        <v>4008</v>
      </c>
      <c r="Y1369" s="3">
        <f t="shared" si="153"/>
        <v>44217</v>
      </c>
      <c r="Z1369">
        <v>0.30080000000000001</v>
      </c>
    </row>
    <row r="1370" spans="1:26" x14ac:dyDescent="0.35">
      <c r="A1370" t="s">
        <v>1371</v>
      </c>
      <c r="B1370" t="str">
        <f t="shared" si="147"/>
        <v>OK</v>
      </c>
      <c r="C1370" t="s">
        <v>2854</v>
      </c>
      <c r="D1370" s="2">
        <v>54</v>
      </c>
      <c r="E1370">
        <f>IF(OR(D1370&lt;18, D1370&gt;100),AD1369,D1370)</f>
        <v>54</v>
      </c>
      <c r="F1370" t="s">
        <v>2990</v>
      </c>
      <c r="G1370" t="str">
        <f t="shared" si="148"/>
        <v>Male</v>
      </c>
      <c r="H1370" t="s">
        <v>3004</v>
      </c>
      <c r="I1370" t="s">
        <v>3021</v>
      </c>
      <c r="K1370" t="str">
        <f t="shared" si="149"/>
        <v>Unemployed</v>
      </c>
      <c r="L1370">
        <v>12</v>
      </c>
      <c r="M1370">
        <v>1135154</v>
      </c>
      <c r="N1370">
        <f t="shared" si="150"/>
        <v>1135154</v>
      </c>
      <c r="O1370">
        <v>111328</v>
      </c>
      <c r="P1370">
        <v>20.83</v>
      </c>
      <c r="Q1370">
        <v>48</v>
      </c>
      <c r="R1370" t="s">
        <v>3048</v>
      </c>
      <c r="S1370" t="str">
        <f t="shared" si="151"/>
        <v>Home Improvement</v>
      </c>
      <c r="T1370">
        <v>623</v>
      </c>
      <c r="U1370">
        <f t="shared" si="152"/>
        <v>623</v>
      </c>
      <c r="V1370">
        <v>4</v>
      </c>
      <c r="W1370" t="s">
        <v>3054</v>
      </c>
      <c r="X1370" s="3" t="s">
        <v>3104</v>
      </c>
      <c r="Y1370" s="3">
        <f t="shared" si="153"/>
        <v>44698</v>
      </c>
      <c r="Z1370">
        <v>9.8100000000000007E-2</v>
      </c>
    </row>
    <row r="1371" spans="1:26" x14ac:dyDescent="0.35">
      <c r="A1371" t="s">
        <v>1372</v>
      </c>
      <c r="B1371" t="str">
        <f t="shared" si="147"/>
        <v>OK</v>
      </c>
      <c r="C1371" t="s">
        <v>2855</v>
      </c>
      <c r="D1371" s="2">
        <v>61</v>
      </c>
      <c r="E1371">
        <f>IF(OR(D1371&lt;18, D1371&gt;100),AD1370,D1371)</f>
        <v>61</v>
      </c>
      <c r="F1371" t="s">
        <v>2990</v>
      </c>
      <c r="G1371" t="str">
        <f t="shared" si="148"/>
        <v>Male</v>
      </c>
      <c r="H1371" t="s">
        <v>3007</v>
      </c>
      <c r="I1371" t="s">
        <v>3021</v>
      </c>
      <c r="K1371" t="str">
        <f t="shared" si="149"/>
        <v>Unemployed</v>
      </c>
      <c r="L1371">
        <v>4</v>
      </c>
      <c r="M1371">
        <v>225232</v>
      </c>
      <c r="N1371">
        <f t="shared" si="150"/>
        <v>225232</v>
      </c>
      <c r="O1371">
        <v>503442</v>
      </c>
      <c r="P1371">
        <v>8.98</v>
      </c>
      <c r="Q1371">
        <v>36</v>
      </c>
      <c r="R1371" t="s">
        <v>3051</v>
      </c>
      <c r="S1371" t="str">
        <f t="shared" si="151"/>
        <v>Education</v>
      </c>
      <c r="T1371">
        <v>837</v>
      </c>
      <c r="U1371">
        <f t="shared" si="152"/>
        <v>837</v>
      </c>
      <c r="V1371">
        <v>6</v>
      </c>
      <c r="W1371" t="s">
        <v>3052</v>
      </c>
      <c r="X1371" s="3" t="s">
        <v>4009</v>
      </c>
      <c r="Y1371" s="3">
        <f t="shared" si="153"/>
        <v>45112</v>
      </c>
      <c r="Z1371">
        <v>2.2351999999999999</v>
      </c>
    </row>
    <row r="1372" spans="1:26" x14ac:dyDescent="0.35">
      <c r="A1372" t="s">
        <v>1373</v>
      </c>
      <c r="B1372" t="str">
        <f t="shared" si="147"/>
        <v>OK</v>
      </c>
      <c r="C1372" t="s">
        <v>2856</v>
      </c>
      <c r="D1372" s="2">
        <v>45</v>
      </c>
      <c r="E1372">
        <f>IF(OR(D1372&lt;18, D1372&gt;100),AD1371,D1372)</f>
        <v>45</v>
      </c>
      <c r="F1372" t="s">
        <v>2992</v>
      </c>
      <c r="G1372" t="str">
        <f t="shared" si="148"/>
        <v>Female</v>
      </c>
      <c r="H1372" t="s">
        <v>3007</v>
      </c>
      <c r="I1372" t="s">
        <v>3021</v>
      </c>
      <c r="K1372" t="str">
        <f t="shared" si="149"/>
        <v>Unemployed</v>
      </c>
      <c r="L1372">
        <v>6</v>
      </c>
      <c r="M1372">
        <v>1761074</v>
      </c>
      <c r="N1372">
        <f t="shared" si="150"/>
        <v>1761074</v>
      </c>
      <c r="O1372">
        <v>430591</v>
      </c>
      <c r="P1372">
        <v>13.48</v>
      </c>
      <c r="Q1372">
        <v>12</v>
      </c>
      <c r="R1372" t="s">
        <v>3050</v>
      </c>
      <c r="S1372" t="str">
        <f t="shared" si="151"/>
        <v>Agriculture</v>
      </c>
      <c r="T1372">
        <v>512</v>
      </c>
      <c r="U1372">
        <f t="shared" si="152"/>
        <v>512</v>
      </c>
      <c r="V1372">
        <v>1</v>
      </c>
      <c r="W1372" t="s">
        <v>3054</v>
      </c>
      <c r="X1372" s="3" t="s">
        <v>3614</v>
      </c>
      <c r="Y1372" s="3">
        <f t="shared" si="153"/>
        <v>44990</v>
      </c>
      <c r="Z1372">
        <v>0.2445</v>
      </c>
    </row>
    <row r="1373" spans="1:26" x14ac:dyDescent="0.35">
      <c r="A1373" t="s">
        <v>1374</v>
      </c>
      <c r="B1373" t="str">
        <f t="shared" si="147"/>
        <v>OK</v>
      </c>
      <c r="C1373" t="s">
        <v>1716</v>
      </c>
      <c r="D1373" s="2">
        <v>26</v>
      </c>
      <c r="E1373">
        <f>IF(OR(D1373&lt;18, D1373&gt;100),AD1372,D1373)</f>
        <v>26</v>
      </c>
      <c r="F1373" t="s">
        <v>2990</v>
      </c>
      <c r="G1373" t="str">
        <f t="shared" si="148"/>
        <v>Male</v>
      </c>
      <c r="H1373" t="s">
        <v>3002</v>
      </c>
      <c r="I1373" t="s">
        <v>3020</v>
      </c>
      <c r="K1373" t="str">
        <f t="shared" si="149"/>
        <v>Self-Employed</v>
      </c>
      <c r="L1373">
        <v>29</v>
      </c>
      <c r="M1373">
        <v>2328347</v>
      </c>
      <c r="N1373">
        <f t="shared" si="150"/>
        <v>2328347</v>
      </c>
      <c r="O1373">
        <v>469076</v>
      </c>
      <c r="P1373">
        <v>13.43</v>
      </c>
      <c r="Q1373">
        <v>60</v>
      </c>
      <c r="R1373" t="s">
        <v>3047</v>
      </c>
      <c r="S1373" t="str">
        <f t="shared" si="151"/>
        <v>Personal</v>
      </c>
      <c r="T1373">
        <v>802</v>
      </c>
      <c r="U1373">
        <f t="shared" si="152"/>
        <v>802</v>
      </c>
      <c r="V1373">
        <v>4</v>
      </c>
      <c r="W1373" t="s">
        <v>3057</v>
      </c>
      <c r="X1373" s="3" t="s">
        <v>3800</v>
      </c>
      <c r="Y1373" s="3">
        <f t="shared" si="153"/>
        <v>44059</v>
      </c>
      <c r="Z1373">
        <v>0.20150000000000001</v>
      </c>
    </row>
    <row r="1374" spans="1:26" x14ac:dyDescent="0.35">
      <c r="A1374" t="s">
        <v>1375</v>
      </c>
      <c r="B1374" t="str">
        <f t="shared" si="147"/>
        <v>OK</v>
      </c>
      <c r="C1374" t="s">
        <v>2857</v>
      </c>
      <c r="D1374" s="2">
        <v>7</v>
      </c>
      <c r="E1374">
        <f>IF(OR(D1374&lt;18, D1374&gt;100),AD1373,D1374)</f>
        <v>0</v>
      </c>
      <c r="F1374" t="s">
        <v>2990</v>
      </c>
      <c r="G1374" t="str">
        <f t="shared" si="148"/>
        <v>Male</v>
      </c>
      <c r="H1374" t="s">
        <v>3006</v>
      </c>
      <c r="I1374" t="s">
        <v>3021</v>
      </c>
      <c r="K1374" t="str">
        <f t="shared" si="149"/>
        <v>Unemployed</v>
      </c>
      <c r="L1374">
        <v>9</v>
      </c>
      <c r="M1374">
        <v>901037</v>
      </c>
      <c r="N1374">
        <f t="shared" si="150"/>
        <v>901037</v>
      </c>
      <c r="O1374">
        <v>454219</v>
      </c>
      <c r="P1374">
        <v>14.42</v>
      </c>
      <c r="Q1374">
        <v>60</v>
      </c>
      <c r="R1374" t="s">
        <v>3047</v>
      </c>
      <c r="S1374" t="str">
        <f t="shared" si="151"/>
        <v>Personal</v>
      </c>
      <c r="T1374">
        <v>838</v>
      </c>
      <c r="U1374">
        <f t="shared" si="152"/>
        <v>838</v>
      </c>
      <c r="V1374">
        <v>3</v>
      </c>
      <c r="W1374" t="s">
        <v>3054</v>
      </c>
      <c r="X1374" s="3" t="s">
        <v>3641</v>
      </c>
      <c r="Y1374" s="3">
        <f t="shared" si="153"/>
        <v>44776</v>
      </c>
      <c r="Z1374">
        <v>0.50409999999999999</v>
      </c>
    </row>
    <row r="1375" spans="1:26" x14ac:dyDescent="0.35">
      <c r="A1375" t="s">
        <v>1376</v>
      </c>
      <c r="B1375" t="str">
        <f t="shared" si="147"/>
        <v>OK</v>
      </c>
      <c r="C1375" t="s">
        <v>2858</v>
      </c>
      <c r="D1375" s="2">
        <v>30</v>
      </c>
      <c r="E1375">
        <f>IF(OR(D1375&lt;18, D1375&gt;100),AD1374,D1375)</f>
        <v>30</v>
      </c>
      <c r="F1375" t="s">
        <v>2990</v>
      </c>
      <c r="G1375" t="str">
        <f t="shared" si="148"/>
        <v>Male</v>
      </c>
      <c r="H1375" t="s">
        <v>3007</v>
      </c>
      <c r="I1375" t="s">
        <v>3020</v>
      </c>
      <c r="K1375" t="str">
        <f t="shared" si="149"/>
        <v>Self-Employed</v>
      </c>
      <c r="L1375">
        <v>29</v>
      </c>
      <c r="M1375">
        <v>341445</v>
      </c>
      <c r="N1375">
        <f t="shared" si="150"/>
        <v>341445</v>
      </c>
      <c r="O1375">
        <v>438829</v>
      </c>
      <c r="P1375">
        <v>20.02</v>
      </c>
      <c r="Q1375">
        <v>60</v>
      </c>
      <c r="R1375" t="s">
        <v>3046</v>
      </c>
      <c r="S1375" t="str">
        <f t="shared" si="151"/>
        <v>Medical</v>
      </c>
      <c r="T1375">
        <v>366</v>
      </c>
      <c r="U1375">
        <f t="shared" si="152"/>
        <v>366</v>
      </c>
      <c r="V1375">
        <v>6</v>
      </c>
      <c r="W1375" t="s">
        <v>3054</v>
      </c>
      <c r="X1375" s="3" t="s">
        <v>3665</v>
      </c>
      <c r="Y1375" s="3">
        <f t="shared" si="153"/>
        <v>44449</v>
      </c>
      <c r="Z1375">
        <v>1.2851999999999999</v>
      </c>
    </row>
    <row r="1376" spans="1:26" x14ac:dyDescent="0.35">
      <c r="A1376" t="s">
        <v>1377</v>
      </c>
      <c r="B1376" t="str">
        <f t="shared" si="147"/>
        <v>OK</v>
      </c>
      <c r="C1376" t="s">
        <v>2859</v>
      </c>
      <c r="D1376" s="2">
        <v>45</v>
      </c>
      <c r="E1376">
        <f>IF(OR(D1376&lt;18, D1376&gt;100),AD1375,D1376)</f>
        <v>45</v>
      </c>
      <c r="F1376" t="s">
        <v>2990</v>
      </c>
      <c r="G1376" t="str">
        <f t="shared" si="148"/>
        <v>Male</v>
      </c>
      <c r="H1376" t="s">
        <v>3005</v>
      </c>
      <c r="I1376" t="s">
        <v>3020</v>
      </c>
      <c r="K1376" t="str">
        <f t="shared" si="149"/>
        <v>Self-Employed</v>
      </c>
      <c r="L1376">
        <v>19</v>
      </c>
      <c r="M1376">
        <v>1386123</v>
      </c>
      <c r="N1376">
        <f t="shared" si="150"/>
        <v>1386123</v>
      </c>
      <c r="O1376">
        <v>75480</v>
      </c>
      <c r="P1376">
        <v>18.22</v>
      </c>
      <c r="Q1376">
        <v>48</v>
      </c>
      <c r="R1376" t="s">
        <v>3046</v>
      </c>
      <c r="S1376" t="str">
        <f t="shared" si="151"/>
        <v>Medical</v>
      </c>
      <c r="T1376">
        <v>525</v>
      </c>
      <c r="U1376">
        <f t="shared" si="152"/>
        <v>525</v>
      </c>
      <c r="V1376">
        <v>1</v>
      </c>
      <c r="W1376" t="s">
        <v>3052</v>
      </c>
      <c r="X1376" s="3" t="s">
        <v>4010</v>
      </c>
      <c r="Y1376" s="3">
        <f t="shared" si="153"/>
        <v>44160</v>
      </c>
      <c r="Z1376">
        <v>5.45E-2</v>
      </c>
    </row>
    <row r="1377" spans="1:26" x14ac:dyDescent="0.35">
      <c r="A1377" t="s">
        <v>1378</v>
      </c>
      <c r="B1377" t="str">
        <f t="shared" si="147"/>
        <v>OK</v>
      </c>
      <c r="C1377" t="s">
        <v>2860</v>
      </c>
      <c r="D1377" s="2">
        <v>50</v>
      </c>
      <c r="E1377">
        <f>IF(OR(D1377&lt;18, D1377&gt;100),AD1376,D1377)</f>
        <v>50</v>
      </c>
      <c r="F1377" t="s">
        <v>2992</v>
      </c>
      <c r="G1377" t="str">
        <f t="shared" si="148"/>
        <v>Female</v>
      </c>
      <c r="H1377" t="s">
        <v>3007</v>
      </c>
      <c r="I1377" t="s">
        <v>3021</v>
      </c>
      <c r="K1377" t="str">
        <f t="shared" si="149"/>
        <v>Unemployed</v>
      </c>
      <c r="L1377">
        <v>13</v>
      </c>
      <c r="M1377">
        <v>343834</v>
      </c>
      <c r="N1377">
        <f t="shared" si="150"/>
        <v>343834</v>
      </c>
      <c r="O1377">
        <v>473809</v>
      </c>
      <c r="P1377">
        <v>16.88</v>
      </c>
      <c r="Q1377">
        <v>60</v>
      </c>
      <c r="R1377" t="s">
        <v>3049</v>
      </c>
      <c r="S1377" t="str">
        <f t="shared" si="151"/>
        <v>Business</v>
      </c>
      <c r="T1377">
        <v>748</v>
      </c>
      <c r="U1377">
        <f t="shared" si="152"/>
        <v>748</v>
      </c>
      <c r="V1377">
        <v>3</v>
      </c>
      <c r="W1377" t="s">
        <v>3057</v>
      </c>
      <c r="X1377" s="3" t="s">
        <v>3783</v>
      </c>
      <c r="Y1377" s="3">
        <f t="shared" si="153"/>
        <v>44934</v>
      </c>
      <c r="Z1377">
        <v>1.3779999999999999</v>
      </c>
    </row>
    <row r="1378" spans="1:26" x14ac:dyDescent="0.35">
      <c r="A1378" t="s">
        <v>1379</v>
      </c>
      <c r="B1378" t="str">
        <f t="shared" si="147"/>
        <v>OK</v>
      </c>
      <c r="C1378" t="s">
        <v>2861</v>
      </c>
      <c r="D1378" s="2">
        <v>32</v>
      </c>
      <c r="E1378">
        <f>IF(OR(D1378&lt;18, D1378&gt;100),AD1377,D1378)</f>
        <v>32</v>
      </c>
      <c r="F1378" t="s">
        <v>2992</v>
      </c>
      <c r="G1378" t="str">
        <f t="shared" si="148"/>
        <v>Female</v>
      </c>
      <c r="H1378" t="s">
        <v>3001</v>
      </c>
      <c r="I1378" t="s">
        <v>3020</v>
      </c>
      <c r="K1378" t="str">
        <f t="shared" si="149"/>
        <v>Self-Employed</v>
      </c>
      <c r="L1378">
        <v>20</v>
      </c>
      <c r="M1378">
        <v>1988322</v>
      </c>
      <c r="N1378">
        <f t="shared" si="150"/>
        <v>1988322</v>
      </c>
      <c r="O1378">
        <v>752763</v>
      </c>
      <c r="P1378">
        <v>19.54</v>
      </c>
      <c r="Q1378">
        <v>60</v>
      </c>
      <c r="R1378" t="s">
        <v>3047</v>
      </c>
      <c r="S1378" t="str">
        <f t="shared" si="151"/>
        <v>Personal</v>
      </c>
      <c r="T1378">
        <v>338</v>
      </c>
      <c r="U1378">
        <f t="shared" si="152"/>
        <v>338</v>
      </c>
      <c r="V1378">
        <v>6</v>
      </c>
      <c r="W1378" t="s">
        <v>3052</v>
      </c>
      <c r="X1378" s="3" t="s">
        <v>3211</v>
      </c>
      <c r="Y1378" s="3">
        <f t="shared" si="153"/>
        <v>44324</v>
      </c>
      <c r="Z1378">
        <v>0.37859999999999999</v>
      </c>
    </row>
    <row r="1379" spans="1:26" x14ac:dyDescent="0.35">
      <c r="A1379" t="s">
        <v>1380</v>
      </c>
      <c r="B1379" t="str">
        <f t="shared" si="147"/>
        <v>OK</v>
      </c>
      <c r="C1379" t="s">
        <v>2862</v>
      </c>
      <c r="D1379" s="2">
        <v>27</v>
      </c>
      <c r="E1379">
        <f>IF(OR(D1379&lt;18, D1379&gt;100),AD1378,D1379)</f>
        <v>27</v>
      </c>
      <c r="F1379" t="s">
        <v>2990</v>
      </c>
      <c r="G1379" t="str">
        <f t="shared" si="148"/>
        <v>Male</v>
      </c>
      <c r="H1379" t="s">
        <v>3006</v>
      </c>
      <c r="I1379" t="s">
        <v>3020</v>
      </c>
      <c r="K1379" t="str">
        <f t="shared" si="149"/>
        <v>Self-Employed</v>
      </c>
      <c r="L1379">
        <v>24</v>
      </c>
      <c r="M1379">
        <v>873045</v>
      </c>
      <c r="N1379">
        <f t="shared" si="150"/>
        <v>873045</v>
      </c>
      <c r="O1379">
        <v>332863</v>
      </c>
      <c r="P1379">
        <v>10.57</v>
      </c>
      <c r="Q1379">
        <v>60</v>
      </c>
      <c r="R1379" t="s">
        <v>3051</v>
      </c>
      <c r="S1379" t="str">
        <f t="shared" si="151"/>
        <v>Education</v>
      </c>
      <c r="T1379">
        <v>605</v>
      </c>
      <c r="U1379">
        <f t="shared" si="152"/>
        <v>605</v>
      </c>
      <c r="V1379">
        <v>7</v>
      </c>
      <c r="W1379" t="s">
        <v>3052</v>
      </c>
      <c r="X1379" s="3" t="s">
        <v>4011</v>
      </c>
      <c r="Y1379" s="3">
        <f t="shared" si="153"/>
        <v>44132</v>
      </c>
      <c r="Z1379">
        <v>0.38129999999999997</v>
      </c>
    </row>
    <row r="1380" spans="1:26" x14ac:dyDescent="0.35">
      <c r="A1380" t="s">
        <v>1381</v>
      </c>
      <c r="B1380" t="str">
        <f t="shared" si="147"/>
        <v>OK</v>
      </c>
      <c r="C1380" t="s">
        <v>2863</v>
      </c>
      <c r="D1380" s="2">
        <v>30</v>
      </c>
      <c r="E1380">
        <f>IF(OR(D1380&lt;18, D1380&gt;100),AD1379,D1380)</f>
        <v>30</v>
      </c>
      <c r="F1380" t="s">
        <v>2992</v>
      </c>
      <c r="G1380" t="str">
        <f t="shared" si="148"/>
        <v>Female</v>
      </c>
      <c r="H1380" t="s">
        <v>3000</v>
      </c>
      <c r="I1380" t="s">
        <v>3020</v>
      </c>
      <c r="K1380" t="str">
        <f t="shared" si="149"/>
        <v>Self-Employed</v>
      </c>
      <c r="L1380">
        <v>29</v>
      </c>
      <c r="M1380">
        <v>250119</v>
      </c>
      <c r="N1380">
        <f t="shared" si="150"/>
        <v>250119</v>
      </c>
      <c r="O1380">
        <v>213984</v>
      </c>
      <c r="P1380">
        <v>20.51</v>
      </c>
      <c r="Q1380">
        <v>36</v>
      </c>
      <c r="R1380" t="s">
        <v>3049</v>
      </c>
      <c r="S1380" t="str">
        <f t="shared" si="151"/>
        <v>Business</v>
      </c>
      <c r="T1380">
        <v>430</v>
      </c>
      <c r="U1380">
        <f t="shared" si="152"/>
        <v>430</v>
      </c>
      <c r="V1380">
        <v>1</v>
      </c>
      <c r="W1380" t="s">
        <v>3052</v>
      </c>
      <c r="X1380" s="3" t="s">
        <v>3584</v>
      </c>
      <c r="Y1380" s="3">
        <f t="shared" si="153"/>
        <v>45074</v>
      </c>
      <c r="Z1380">
        <v>0.85550000000000004</v>
      </c>
    </row>
    <row r="1381" spans="1:26" x14ac:dyDescent="0.35">
      <c r="A1381" t="s">
        <v>1382</v>
      </c>
      <c r="B1381" t="str">
        <f t="shared" si="147"/>
        <v>OK</v>
      </c>
      <c r="C1381" t="s">
        <v>2864</v>
      </c>
      <c r="D1381" s="2">
        <v>38</v>
      </c>
      <c r="E1381">
        <f>IF(OR(D1381&lt;18, D1381&gt;100),AD1380,D1381)</f>
        <v>38</v>
      </c>
      <c r="F1381" t="s">
        <v>2993</v>
      </c>
      <c r="G1381" t="str">
        <f t="shared" si="148"/>
        <v>Male</v>
      </c>
      <c r="H1381" t="s">
        <v>3004</v>
      </c>
      <c r="I1381" t="s">
        <v>3019</v>
      </c>
      <c r="K1381" t="str">
        <f t="shared" si="149"/>
        <v>Employed</v>
      </c>
      <c r="L1381">
        <v>24</v>
      </c>
      <c r="M1381">
        <v>1471627</v>
      </c>
      <c r="N1381">
        <f t="shared" si="150"/>
        <v>1471627</v>
      </c>
      <c r="O1381">
        <v>375054</v>
      </c>
      <c r="P1381">
        <v>22.41</v>
      </c>
      <c r="Q1381">
        <v>48</v>
      </c>
      <c r="R1381" t="s">
        <v>3048</v>
      </c>
      <c r="S1381" t="str">
        <f t="shared" si="151"/>
        <v>Home Improvement</v>
      </c>
      <c r="T1381">
        <v>587</v>
      </c>
      <c r="U1381">
        <f t="shared" si="152"/>
        <v>587</v>
      </c>
      <c r="V1381">
        <v>5</v>
      </c>
      <c r="W1381" t="s">
        <v>3058</v>
      </c>
      <c r="X1381" s="3" t="s">
        <v>4012</v>
      </c>
      <c r="Y1381" s="3">
        <f t="shared" si="153"/>
        <v>44045</v>
      </c>
      <c r="Z1381">
        <v>0.25490000000000002</v>
      </c>
    </row>
    <row r="1382" spans="1:26" x14ac:dyDescent="0.35">
      <c r="A1382" t="s">
        <v>1383</v>
      </c>
      <c r="B1382" t="str">
        <f t="shared" si="147"/>
        <v>OK</v>
      </c>
      <c r="C1382" t="s">
        <v>2865</v>
      </c>
      <c r="D1382" s="2">
        <v>200</v>
      </c>
      <c r="E1382">
        <f>IF(OR(D1382&lt;18, D1382&gt;100),AD1381,D1382)</f>
        <v>0</v>
      </c>
      <c r="G1382" t="str">
        <f t="shared" si="148"/>
        <v>Unknown</v>
      </c>
      <c r="H1382" t="s">
        <v>3007</v>
      </c>
      <c r="I1382" t="s">
        <v>3020</v>
      </c>
      <c r="K1382" t="str">
        <f t="shared" si="149"/>
        <v>Self-Employed</v>
      </c>
      <c r="L1382">
        <v>6</v>
      </c>
      <c r="M1382">
        <v>481207</v>
      </c>
      <c r="N1382">
        <f t="shared" si="150"/>
        <v>481207</v>
      </c>
      <c r="O1382">
        <v>229329</v>
      </c>
      <c r="P1382">
        <v>21.68</v>
      </c>
      <c r="Q1382">
        <v>48</v>
      </c>
      <c r="R1382" t="s">
        <v>3051</v>
      </c>
      <c r="S1382" t="str">
        <f t="shared" si="151"/>
        <v>Education</v>
      </c>
      <c r="T1382">
        <v>836</v>
      </c>
      <c r="U1382">
        <f t="shared" si="152"/>
        <v>836</v>
      </c>
      <c r="V1382">
        <v>0</v>
      </c>
      <c r="W1382" t="s">
        <v>3056</v>
      </c>
      <c r="X1382" s="3" t="s">
        <v>3127</v>
      </c>
      <c r="Y1382" s="3">
        <f t="shared" si="153"/>
        <v>44401</v>
      </c>
      <c r="Z1382">
        <v>0.47660000000000002</v>
      </c>
    </row>
    <row r="1383" spans="1:26" x14ac:dyDescent="0.35">
      <c r="A1383" t="s">
        <v>866</v>
      </c>
      <c r="B1383" t="str">
        <f t="shared" si="147"/>
        <v>OK</v>
      </c>
      <c r="C1383" t="s">
        <v>2354</v>
      </c>
      <c r="D1383" s="2">
        <v>29</v>
      </c>
      <c r="E1383">
        <f>IF(OR(D1383&lt;18, D1383&gt;100),AD1382,D1383)</f>
        <v>29</v>
      </c>
      <c r="F1383" t="s">
        <v>2992</v>
      </c>
      <c r="G1383" t="str">
        <f t="shared" si="148"/>
        <v>Female</v>
      </c>
      <c r="H1383" t="s">
        <v>3001</v>
      </c>
      <c r="I1383" t="s">
        <v>3019</v>
      </c>
      <c r="K1383" t="str">
        <f t="shared" si="149"/>
        <v>Employed</v>
      </c>
      <c r="L1383">
        <v>17</v>
      </c>
      <c r="N1383">
        <f t="shared" si="150"/>
        <v>1333224</v>
      </c>
      <c r="O1383">
        <v>295796</v>
      </c>
      <c r="P1383">
        <v>17.43</v>
      </c>
      <c r="Q1383">
        <v>24</v>
      </c>
      <c r="R1383" t="s">
        <v>3051</v>
      </c>
      <c r="S1383" t="str">
        <f t="shared" si="151"/>
        <v>Education</v>
      </c>
      <c r="T1383">
        <v>593</v>
      </c>
      <c r="U1383">
        <f t="shared" si="152"/>
        <v>593</v>
      </c>
      <c r="V1383">
        <v>4</v>
      </c>
      <c r="W1383" t="s">
        <v>3053</v>
      </c>
      <c r="X1383" s="3" t="s">
        <v>3748</v>
      </c>
      <c r="Y1383" s="3">
        <f t="shared" si="153"/>
        <v>44225</v>
      </c>
      <c r="Z1383">
        <v>0.36020000000000002</v>
      </c>
    </row>
    <row r="1384" spans="1:26" x14ac:dyDescent="0.35">
      <c r="A1384" t="s">
        <v>1384</v>
      </c>
      <c r="B1384" t="str">
        <f t="shared" si="147"/>
        <v>OK</v>
      </c>
      <c r="C1384" t="s">
        <v>2866</v>
      </c>
      <c r="D1384" s="2">
        <v>38</v>
      </c>
      <c r="E1384">
        <f>IF(OR(D1384&lt;18, D1384&gt;100),AD1383,D1384)</f>
        <v>38</v>
      </c>
      <c r="F1384" t="s">
        <v>2992</v>
      </c>
      <c r="G1384" t="str">
        <f t="shared" si="148"/>
        <v>Female</v>
      </c>
      <c r="H1384" t="s">
        <v>2998</v>
      </c>
      <c r="I1384" t="s">
        <v>3020</v>
      </c>
      <c r="K1384" t="str">
        <f t="shared" si="149"/>
        <v>Self-Employed</v>
      </c>
      <c r="L1384">
        <v>4</v>
      </c>
      <c r="M1384">
        <v>1287054</v>
      </c>
      <c r="N1384">
        <f t="shared" si="150"/>
        <v>1287054</v>
      </c>
      <c r="O1384">
        <v>531760</v>
      </c>
      <c r="P1384">
        <v>13.04</v>
      </c>
      <c r="Q1384">
        <v>60</v>
      </c>
      <c r="R1384" t="s">
        <v>3049</v>
      </c>
      <c r="S1384" t="str">
        <f t="shared" si="151"/>
        <v>Business</v>
      </c>
      <c r="T1384">
        <v>735</v>
      </c>
      <c r="U1384">
        <f t="shared" si="152"/>
        <v>735</v>
      </c>
      <c r="V1384">
        <v>6</v>
      </c>
      <c r="W1384" t="s">
        <v>3056</v>
      </c>
      <c r="X1384" s="3" t="s">
        <v>3759</v>
      </c>
      <c r="Y1384" s="3">
        <f t="shared" si="153"/>
        <v>44284</v>
      </c>
      <c r="Z1384">
        <v>0.41320000000000001</v>
      </c>
    </row>
    <row r="1385" spans="1:26" x14ac:dyDescent="0.35">
      <c r="A1385" t="s">
        <v>1385</v>
      </c>
      <c r="B1385" t="str">
        <f t="shared" si="147"/>
        <v>OK</v>
      </c>
      <c r="C1385" t="s">
        <v>2867</v>
      </c>
      <c r="D1385" s="2">
        <v>52</v>
      </c>
      <c r="E1385">
        <f>IF(OR(D1385&lt;18, D1385&gt;100),AD1384,D1385)</f>
        <v>52</v>
      </c>
      <c r="F1385" t="s">
        <v>2990</v>
      </c>
      <c r="G1385" t="str">
        <f t="shared" si="148"/>
        <v>Male</v>
      </c>
      <c r="H1385" t="s">
        <v>2998</v>
      </c>
      <c r="I1385" t="s">
        <v>3018</v>
      </c>
      <c r="K1385" t="str">
        <f t="shared" si="149"/>
        <v>Business Owner</v>
      </c>
      <c r="L1385">
        <v>20</v>
      </c>
      <c r="M1385">
        <v>881692</v>
      </c>
      <c r="N1385">
        <f t="shared" si="150"/>
        <v>881692</v>
      </c>
      <c r="O1385">
        <v>728175</v>
      </c>
      <c r="P1385">
        <v>17.96</v>
      </c>
      <c r="Q1385">
        <v>24</v>
      </c>
      <c r="R1385" t="s">
        <v>3048</v>
      </c>
      <c r="S1385" t="str">
        <f t="shared" si="151"/>
        <v>Home Improvement</v>
      </c>
      <c r="T1385">
        <v>374</v>
      </c>
      <c r="U1385">
        <f t="shared" si="152"/>
        <v>374</v>
      </c>
      <c r="V1385">
        <v>5</v>
      </c>
      <c r="W1385" t="s">
        <v>3053</v>
      </c>
      <c r="X1385" s="3" t="s">
        <v>3793</v>
      </c>
      <c r="Y1385" s="3">
        <f t="shared" si="153"/>
        <v>44079</v>
      </c>
      <c r="Z1385">
        <v>0.82589999999999997</v>
      </c>
    </row>
    <row r="1386" spans="1:26" x14ac:dyDescent="0.35">
      <c r="A1386" t="s">
        <v>1386</v>
      </c>
      <c r="B1386" t="str">
        <f t="shared" si="147"/>
        <v>OK</v>
      </c>
      <c r="C1386" t="s">
        <v>2868</v>
      </c>
      <c r="D1386" s="2">
        <v>48</v>
      </c>
      <c r="E1386">
        <f>IF(OR(D1386&lt;18, D1386&gt;100),AD1385,D1386)</f>
        <v>48</v>
      </c>
      <c r="F1386" t="s">
        <v>2990</v>
      </c>
      <c r="G1386" t="str">
        <f t="shared" si="148"/>
        <v>Male</v>
      </c>
      <c r="H1386" t="s">
        <v>3002</v>
      </c>
      <c r="I1386" t="s">
        <v>3019</v>
      </c>
      <c r="K1386" t="str">
        <f t="shared" si="149"/>
        <v>Employed</v>
      </c>
      <c r="L1386">
        <v>25</v>
      </c>
      <c r="M1386">
        <v>243037</v>
      </c>
      <c r="N1386">
        <f t="shared" si="150"/>
        <v>243037</v>
      </c>
      <c r="O1386">
        <v>792997</v>
      </c>
      <c r="P1386">
        <v>10.41</v>
      </c>
      <c r="Q1386">
        <v>60</v>
      </c>
      <c r="R1386" t="s">
        <v>3051</v>
      </c>
      <c r="S1386" t="str">
        <f t="shared" si="151"/>
        <v>Education</v>
      </c>
      <c r="T1386">
        <v>849</v>
      </c>
      <c r="U1386">
        <f t="shared" si="152"/>
        <v>849</v>
      </c>
      <c r="V1386">
        <v>6</v>
      </c>
      <c r="W1386" t="s">
        <v>3053</v>
      </c>
      <c r="X1386" s="3" t="s">
        <v>3552</v>
      </c>
      <c r="Y1386" s="3">
        <f t="shared" si="153"/>
        <v>44311</v>
      </c>
      <c r="Z1386">
        <v>3.2629000000000001</v>
      </c>
    </row>
    <row r="1387" spans="1:26" x14ac:dyDescent="0.35">
      <c r="A1387" t="s">
        <v>1387</v>
      </c>
      <c r="B1387" t="str">
        <f t="shared" si="147"/>
        <v>OK</v>
      </c>
      <c r="C1387" t="s">
        <v>2869</v>
      </c>
      <c r="D1387" s="2">
        <v>49</v>
      </c>
      <c r="E1387">
        <f>IF(OR(D1387&lt;18, D1387&gt;100),AD1386,D1387)</f>
        <v>49</v>
      </c>
      <c r="F1387" t="s">
        <v>2990</v>
      </c>
      <c r="G1387" t="str">
        <f t="shared" si="148"/>
        <v>Male</v>
      </c>
      <c r="H1387" t="s">
        <v>3000</v>
      </c>
      <c r="I1387" t="s">
        <v>3019</v>
      </c>
      <c r="K1387" t="str">
        <f t="shared" si="149"/>
        <v>Employed</v>
      </c>
      <c r="L1387">
        <v>24</v>
      </c>
      <c r="M1387">
        <v>735655</v>
      </c>
      <c r="N1387">
        <f t="shared" si="150"/>
        <v>735655</v>
      </c>
      <c r="O1387">
        <v>131435</v>
      </c>
      <c r="P1387">
        <v>20.63</v>
      </c>
      <c r="Q1387">
        <v>60</v>
      </c>
      <c r="S1387" t="str">
        <f t="shared" si="151"/>
        <v>Unknown</v>
      </c>
      <c r="T1387">
        <v>341</v>
      </c>
      <c r="U1387">
        <f t="shared" si="152"/>
        <v>341</v>
      </c>
      <c r="V1387">
        <v>5</v>
      </c>
      <c r="W1387" t="s">
        <v>3056</v>
      </c>
      <c r="X1387" s="3" t="s">
        <v>3165</v>
      </c>
      <c r="Y1387" s="3">
        <f t="shared" si="153"/>
        <v>44374</v>
      </c>
      <c r="Z1387">
        <v>0.1787</v>
      </c>
    </row>
    <row r="1388" spans="1:26" x14ac:dyDescent="0.35">
      <c r="A1388" t="s">
        <v>1388</v>
      </c>
      <c r="B1388" t="str">
        <f t="shared" si="147"/>
        <v>OK</v>
      </c>
      <c r="C1388" t="s">
        <v>2870</v>
      </c>
      <c r="D1388" s="2">
        <v>31</v>
      </c>
      <c r="E1388">
        <f>IF(OR(D1388&lt;18, D1388&gt;100),AD1387,D1388)</f>
        <v>31</v>
      </c>
      <c r="F1388" t="s">
        <v>2992</v>
      </c>
      <c r="G1388" t="str">
        <f t="shared" si="148"/>
        <v>Female</v>
      </c>
      <c r="H1388" t="s">
        <v>3004</v>
      </c>
      <c r="I1388" t="s">
        <v>3021</v>
      </c>
      <c r="K1388" t="str">
        <f t="shared" si="149"/>
        <v>Unemployed</v>
      </c>
      <c r="L1388">
        <v>12</v>
      </c>
      <c r="M1388">
        <v>935678</v>
      </c>
      <c r="N1388">
        <f t="shared" si="150"/>
        <v>935678</v>
      </c>
      <c r="O1388">
        <v>657938</v>
      </c>
      <c r="P1388">
        <v>8.4499999999999993</v>
      </c>
      <c r="Q1388">
        <v>48</v>
      </c>
      <c r="R1388" t="s">
        <v>3049</v>
      </c>
      <c r="S1388" t="str">
        <f t="shared" si="151"/>
        <v>Business</v>
      </c>
      <c r="T1388">
        <v>765</v>
      </c>
      <c r="U1388">
        <f t="shared" si="152"/>
        <v>765</v>
      </c>
      <c r="V1388">
        <v>4</v>
      </c>
      <c r="W1388" t="s">
        <v>3053</v>
      </c>
      <c r="X1388" s="3" t="s">
        <v>3113</v>
      </c>
      <c r="Y1388" s="3">
        <f t="shared" si="153"/>
        <v>44792</v>
      </c>
      <c r="Z1388">
        <v>0.70320000000000005</v>
      </c>
    </row>
    <row r="1389" spans="1:26" x14ac:dyDescent="0.35">
      <c r="A1389" t="s">
        <v>1389</v>
      </c>
      <c r="B1389" t="str">
        <f t="shared" si="147"/>
        <v>OK</v>
      </c>
      <c r="C1389" t="s">
        <v>2871</v>
      </c>
      <c r="D1389" s="2">
        <v>48</v>
      </c>
      <c r="E1389">
        <f>IF(OR(D1389&lt;18, D1389&gt;100),AD1388,D1389)</f>
        <v>48</v>
      </c>
      <c r="F1389" t="s">
        <v>2992</v>
      </c>
      <c r="G1389" t="str">
        <f t="shared" si="148"/>
        <v>Female</v>
      </c>
      <c r="H1389" t="s">
        <v>3000</v>
      </c>
      <c r="I1389" t="s">
        <v>3019</v>
      </c>
      <c r="K1389" t="str">
        <f t="shared" si="149"/>
        <v>Employed</v>
      </c>
      <c r="L1389">
        <v>20</v>
      </c>
      <c r="M1389">
        <v>773586</v>
      </c>
      <c r="N1389">
        <f t="shared" si="150"/>
        <v>773586</v>
      </c>
      <c r="O1389">
        <v>77134</v>
      </c>
      <c r="P1389">
        <v>11.69</v>
      </c>
      <c r="Q1389">
        <v>48</v>
      </c>
      <c r="R1389" t="s">
        <v>3047</v>
      </c>
      <c r="S1389" t="str">
        <f t="shared" si="151"/>
        <v>Personal</v>
      </c>
      <c r="T1389">
        <v>695</v>
      </c>
      <c r="U1389">
        <f t="shared" si="152"/>
        <v>695</v>
      </c>
      <c r="V1389">
        <v>6</v>
      </c>
      <c r="W1389" t="s">
        <v>3057</v>
      </c>
      <c r="X1389" s="3" t="s">
        <v>4013</v>
      </c>
      <c r="Y1389" s="3">
        <f t="shared" si="153"/>
        <v>44721</v>
      </c>
      <c r="Z1389">
        <v>9.9699999999999997E-2</v>
      </c>
    </row>
    <row r="1390" spans="1:26" x14ac:dyDescent="0.35">
      <c r="A1390" t="s">
        <v>1390</v>
      </c>
      <c r="B1390" t="str">
        <f t="shared" si="147"/>
        <v>OK</v>
      </c>
      <c r="C1390" t="s">
        <v>2872</v>
      </c>
      <c r="D1390" s="2">
        <v>38</v>
      </c>
      <c r="E1390">
        <f>IF(OR(D1390&lt;18, D1390&gt;100),AD1389,D1390)</f>
        <v>38</v>
      </c>
      <c r="F1390" t="s">
        <v>2992</v>
      </c>
      <c r="G1390" t="str">
        <f t="shared" si="148"/>
        <v>Female</v>
      </c>
      <c r="H1390" t="s">
        <v>3001</v>
      </c>
      <c r="K1390" t="str">
        <f t="shared" si="149"/>
        <v>Unknown</v>
      </c>
      <c r="L1390">
        <v>27</v>
      </c>
      <c r="M1390">
        <v>772632</v>
      </c>
      <c r="N1390">
        <f t="shared" si="150"/>
        <v>772632</v>
      </c>
      <c r="O1390">
        <v>267908</v>
      </c>
      <c r="P1390">
        <v>12.23</v>
      </c>
      <c r="Q1390">
        <v>48</v>
      </c>
      <c r="R1390" t="s">
        <v>3047</v>
      </c>
      <c r="S1390" t="str">
        <f t="shared" si="151"/>
        <v>Personal</v>
      </c>
      <c r="T1390">
        <v>568</v>
      </c>
      <c r="U1390">
        <f t="shared" si="152"/>
        <v>568</v>
      </c>
      <c r="V1390">
        <v>6</v>
      </c>
      <c r="W1390" t="s">
        <v>3055</v>
      </c>
      <c r="X1390" s="3" t="s">
        <v>4014</v>
      </c>
      <c r="Y1390" s="3">
        <f t="shared" si="153"/>
        <v>44741</v>
      </c>
      <c r="Z1390">
        <v>0.34670000000000001</v>
      </c>
    </row>
    <row r="1391" spans="1:26" x14ac:dyDescent="0.35">
      <c r="A1391" t="s">
        <v>1391</v>
      </c>
      <c r="B1391" t="str">
        <f t="shared" si="147"/>
        <v>OK</v>
      </c>
      <c r="C1391" t="s">
        <v>2873</v>
      </c>
      <c r="D1391" s="2">
        <v>51</v>
      </c>
      <c r="E1391">
        <f>IF(OR(D1391&lt;18, D1391&gt;100),AD1390,D1391)</f>
        <v>51</v>
      </c>
      <c r="F1391" t="s">
        <v>2992</v>
      </c>
      <c r="G1391" t="str">
        <f t="shared" si="148"/>
        <v>Female</v>
      </c>
      <c r="H1391" t="s">
        <v>3006</v>
      </c>
      <c r="I1391" t="s">
        <v>3018</v>
      </c>
      <c r="K1391" t="str">
        <f t="shared" si="149"/>
        <v>Business Owner</v>
      </c>
      <c r="L1391">
        <v>5</v>
      </c>
      <c r="M1391">
        <v>919290</v>
      </c>
      <c r="N1391">
        <f t="shared" si="150"/>
        <v>919290</v>
      </c>
      <c r="O1391">
        <v>388760</v>
      </c>
      <c r="P1391">
        <v>19.510000000000002</v>
      </c>
      <c r="Q1391">
        <v>24</v>
      </c>
      <c r="R1391" t="s">
        <v>3048</v>
      </c>
      <c r="S1391" t="str">
        <f t="shared" si="151"/>
        <v>Home Improvement</v>
      </c>
      <c r="T1391">
        <v>509</v>
      </c>
      <c r="U1391">
        <f t="shared" si="152"/>
        <v>509</v>
      </c>
      <c r="V1391">
        <v>1</v>
      </c>
      <c r="W1391" t="s">
        <v>3054</v>
      </c>
      <c r="X1391" s="3" t="s">
        <v>4015</v>
      </c>
      <c r="Y1391" s="3">
        <f t="shared" si="153"/>
        <v>44303</v>
      </c>
      <c r="Z1391">
        <v>0.4229</v>
      </c>
    </row>
    <row r="1392" spans="1:26" x14ac:dyDescent="0.35">
      <c r="A1392" t="s">
        <v>1392</v>
      </c>
      <c r="B1392" t="str">
        <f t="shared" si="147"/>
        <v>OK</v>
      </c>
      <c r="C1392" t="s">
        <v>2874</v>
      </c>
      <c r="D1392" s="2">
        <v>61</v>
      </c>
      <c r="E1392">
        <f>IF(OR(D1392&lt;18, D1392&gt;100),AD1391,D1392)</f>
        <v>61</v>
      </c>
      <c r="F1392" t="s">
        <v>2992</v>
      </c>
      <c r="G1392" t="str">
        <f t="shared" si="148"/>
        <v>Female</v>
      </c>
      <c r="H1392" t="s">
        <v>2998</v>
      </c>
      <c r="I1392" t="s">
        <v>3020</v>
      </c>
      <c r="K1392" t="str">
        <f t="shared" si="149"/>
        <v>Self-Employed</v>
      </c>
      <c r="L1392">
        <v>23</v>
      </c>
      <c r="M1392">
        <v>373783</v>
      </c>
      <c r="N1392">
        <f t="shared" si="150"/>
        <v>373783</v>
      </c>
      <c r="O1392">
        <v>510238</v>
      </c>
      <c r="P1392">
        <v>19.87</v>
      </c>
      <c r="Q1392">
        <v>36</v>
      </c>
      <c r="R1392" t="s">
        <v>3048</v>
      </c>
      <c r="S1392" t="str">
        <f t="shared" si="151"/>
        <v>Home Improvement</v>
      </c>
      <c r="T1392">
        <v>576</v>
      </c>
      <c r="U1392">
        <f t="shared" si="152"/>
        <v>576</v>
      </c>
      <c r="V1392">
        <v>2</v>
      </c>
      <c r="W1392" t="s">
        <v>3053</v>
      </c>
      <c r="X1392" s="3" t="s">
        <v>4016</v>
      </c>
      <c r="Y1392" s="3">
        <f t="shared" si="153"/>
        <v>44869</v>
      </c>
      <c r="Z1392">
        <v>1.3651</v>
      </c>
    </row>
    <row r="1393" spans="1:26" x14ac:dyDescent="0.35">
      <c r="A1393" t="s">
        <v>1393</v>
      </c>
      <c r="B1393" t="str">
        <f t="shared" si="147"/>
        <v>OK</v>
      </c>
      <c r="C1393" t="s">
        <v>2875</v>
      </c>
      <c r="D1393" s="2">
        <v>38</v>
      </c>
      <c r="E1393">
        <f>IF(OR(D1393&lt;18, D1393&gt;100),AD1392,D1393)</f>
        <v>38</v>
      </c>
      <c r="F1393" t="s">
        <v>2992</v>
      </c>
      <c r="G1393" t="str">
        <f t="shared" si="148"/>
        <v>Female</v>
      </c>
      <c r="H1393" t="s">
        <v>3005</v>
      </c>
      <c r="I1393" t="s">
        <v>3018</v>
      </c>
      <c r="K1393" t="str">
        <f t="shared" si="149"/>
        <v>Business Owner</v>
      </c>
      <c r="L1393">
        <v>10</v>
      </c>
      <c r="M1393">
        <v>806045</v>
      </c>
      <c r="N1393">
        <f t="shared" si="150"/>
        <v>806045</v>
      </c>
      <c r="O1393">
        <v>522367</v>
      </c>
      <c r="P1393">
        <v>10.37</v>
      </c>
      <c r="Q1393">
        <v>24</v>
      </c>
      <c r="R1393" t="s">
        <v>3047</v>
      </c>
      <c r="S1393" t="str">
        <f t="shared" si="151"/>
        <v>Personal</v>
      </c>
      <c r="T1393">
        <v>835</v>
      </c>
      <c r="U1393">
        <f t="shared" si="152"/>
        <v>835</v>
      </c>
      <c r="V1393">
        <v>0</v>
      </c>
      <c r="W1393" t="s">
        <v>3054</v>
      </c>
      <c r="X1393" s="3" t="s">
        <v>4017</v>
      </c>
      <c r="Y1393" s="3">
        <f t="shared" si="153"/>
        <v>44883</v>
      </c>
      <c r="Z1393">
        <v>0.64810000000000001</v>
      </c>
    </row>
    <row r="1394" spans="1:26" x14ac:dyDescent="0.35">
      <c r="A1394" t="s">
        <v>1394</v>
      </c>
      <c r="B1394" t="str">
        <f t="shared" si="147"/>
        <v>OK</v>
      </c>
      <c r="C1394" t="s">
        <v>2876</v>
      </c>
      <c r="D1394" s="2">
        <v>60</v>
      </c>
      <c r="E1394">
        <f>IF(OR(D1394&lt;18, D1394&gt;100),AD1393,D1394)</f>
        <v>60</v>
      </c>
      <c r="F1394" t="s">
        <v>2992</v>
      </c>
      <c r="G1394" t="str">
        <f t="shared" si="148"/>
        <v>Female</v>
      </c>
      <c r="H1394" t="s">
        <v>2998</v>
      </c>
      <c r="I1394" t="s">
        <v>3020</v>
      </c>
      <c r="K1394" t="str">
        <f t="shared" si="149"/>
        <v>Self-Employed</v>
      </c>
      <c r="L1394">
        <v>13</v>
      </c>
      <c r="M1394">
        <v>305991</v>
      </c>
      <c r="N1394">
        <f t="shared" si="150"/>
        <v>305991</v>
      </c>
      <c r="O1394">
        <v>756265</v>
      </c>
      <c r="P1394">
        <v>19.43</v>
      </c>
      <c r="Q1394">
        <v>24</v>
      </c>
      <c r="S1394" t="str">
        <f t="shared" si="151"/>
        <v>Unknown</v>
      </c>
      <c r="T1394">
        <v>534</v>
      </c>
      <c r="U1394">
        <f t="shared" si="152"/>
        <v>534</v>
      </c>
      <c r="V1394">
        <v>4</v>
      </c>
      <c r="W1394" t="s">
        <v>3052</v>
      </c>
      <c r="X1394" s="3" t="s">
        <v>3530</v>
      </c>
      <c r="Y1394" s="3">
        <f t="shared" si="153"/>
        <v>43896</v>
      </c>
      <c r="Z1394">
        <v>2.4714999999999998</v>
      </c>
    </row>
    <row r="1395" spans="1:26" x14ac:dyDescent="0.35">
      <c r="A1395" t="s">
        <v>1395</v>
      </c>
      <c r="B1395" t="str">
        <f t="shared" si="147"/>
        <v>OK</v>
      </c>
      <c r="C1395" t="s">
        <v>2877</v>
      </c>
      <c r="D1395" s="2">
        <v>57</v>
      </c>
      <c r="E1395">
        <f>IF(OR(D1395&lt;18, D1395&gt;100),AD1394,D1395)</f>
        <v>57</v>
      </c>
      <c r="F1395" t="s">
        <v>2992</v>
      </c>
      <c r="G1395" t="str">
        <f t="shared" si="148"/>
        <v>Female</v>
      </c>
      <c r="H1395" t="s">
        <v>2999</v>
      </c>
      <c r="I1395" t="s">
        <v>3018</v>
      </c>
      <c r="K1395" t="str">
        <f t="shared" si="149"/>
        <v>Business Owner</v>
      </c>
      <c r="L1395">
        <v>6</v>
      </c>
      <c r="M1395">
        <v>1320234</v>
      </c>
      <c r="N1395">
        <f t="shared" si="150"/>
        <v>1320234</v>
      </c>
      <c r="O1395">
        <v>491017</v>
      </c>
      <c r="P1395">
        <v>19.88</v>
      </c>
      <c r="Q1395">
        <v>36</v>
      </c>
      <c r="R1395" t="s">
        <v>3051</v>
      </c>
      <c r="S1395" t="str">
        <f t="shared" si="151"/>
        <v>Education</v>
      </c>
      <c r="T1395">
        <v>752</v>
      </c>
      <c r="U1395">
        <f t="shared" si="152"/>
        <v>752</v>
      </c>
      <c r="V1395">
        <v>4</v>
      </c>
      <c r="W1395" t="s">
        <v>3053</v>
      </c>
      <c r="X1395" s="3" t="s">
        <v>3581</v>
      </c>
      <c r="Y1395" s="3">
        <f t="shared" si="153"/>
        <v>44794</v>
      </c>
      <c r="Z1395">
        <v>0.37190000000000001</v>
      </c>
    </row>
    <row r="1396" spans="1:26" x14ac:dyDescent="0.35">
      <c r="A1396" t="s">
        <v>1396</v>
      </c>
      <c r="B1396" t="str">
        <f t="shared" si="147"/>
        <v>OK</v>
      </c>
      <c r="C1396" t="s">
        <v>2878</v>
      </c>
      <c r="D1396" s="2">
        <v>49</v>
      </c>
      <c r="E1396">
        <f>IF(OR(D1396&lt;18, D1396&gt;100),AD1395,D1396)</f>
        <v>49</v>
      </c>
      <c r="F1396" t="s">
        <v>2990</v>
      </c>
      <c r="G1396" t="str">
        <f t="shared" si="148"/>
        <v>Male</v>
      </c>
      <c r="H1396" t="s">
        <v>3004</v>
      </c>
      <c r="I1396" t="s">
        <v>3018</v>
      </c>
      <c r="K1396" t="str">
        <f t="shared" si="149"/>
        <v>Business Owner</v>
      </c>
      <c r="L1396">
        <v>5</v>
      </c>
      <c r="M1396">
        <v>1760932</v>
      </c>
      <c r="N1396">
        <f t="shared" si="150"/>
        <v>1760932</v>
      </c>
      <c r="O1396">
        <v>603158</v>
      </c>
      <c r="P1396">
        <v>26.45</v>
      </c>
      <c r="Q1396">
        <v>24</v>
      </c>
      <c r="R1396" t="s">
        <v>3047</v>
      </c>
      <c r="S1396" t="str">
        <f t="shared" si="151"/>
        <v>Personal</v>
      </c>
      <c r="T1396">
        <v>388</v>
      </c>
      <c r="U1396">
        <f t="shared" si="152"/>
        <v>388</v>
      </c>
      <c r="V1396">
        <v>7</v>
      </c>
      <c r="W1396" t="s">
        <v>3054</v>
      </c>
      <c r="X1396" s="3" t="s">
        <v>3215</v>
      </c>
      <c r="Y1396" s="3">
        <f t="shared" si="153"/>
        <v>43883</v>
      </c>
      <c r="Z1396">
        <v>0.34250000000000003</v>
      </c>
    </row>
    <row r="1397" spans="1:26" x14ac:dyDescent="0.35">
      <c r="A1397" t="s">
        <v>1397</v>
      </c>
      <c r="B1397" t="str">
        <f t="shared" si="147"/>
        <v>OK</v>
      </c>
      <c r="C1397" t="s">
        <v>2879</v>
      </c>
      <c r="D1397" s="2">
        <v>24</v>
      </c>
      <c r="E1397">
        <f>IF(OR(D1397&lt;18, D1397&gt;100),AD1396,D1397)</f>
        <v>24</v>
      </c>
      <c r="F1397" t="s">
        <v>2992</v>
      </c>
      <c r="G1397" t="str">
        <f t="shared" si="148"/>
        <v>Female</v>
      </c>
      <c r="H1397" t="s">
        <v>2998</v>
      </c>
      <c r="I1397" t="s">
        <v>3020</v>
      </c>
      <c r="K1397" t="str">
        <f t="shared" si="149"/>
        <v>Self-Employed</v>
      </c>
      <c r="L1397">
        <v>2</v>
      </c>
      <c r="M1397">
        <v>1386751</v>
      </c>
      <c r="N1397">
        <f t="shared" si="150"/>
        <v>1386751</v>
      </c>
      <c r="O1397">
        <v>197597</v>
      </c>
      <c r="P1397">
        <v>20.34</v>
      </c>
      <c r="Q1397">
        <v>24</v>
      </c>
      <c r="R1397" t="s">
        <v>3049</v>
      </c>
      <c r="S1397" t="str">
        <f t="shared" si="151"/>
        <v>Business</v>
      </c>
      <c r="T1397">
        <v>772</v>
      </c>
      <c r="U1397">
        <f t="shared" si="152"/>
        <v>772</v>
      </c>
      <c r="V1397">
        <v>2</v>
      </c>
      <c r="W1397" t="s">
        <v>3057</v>
      </c>
      <c r="X1397" s="3" t="s">
        <v>3192</v>
      </c>
      <c r="Y1397" s="3">
        <f t="shared" si="153"/>
        <v>43874</v>
      </c>
      <c r="Z1397">
        <v>0.14249999999999999</v>
      </c>
    </row>
    <row r="1398" spans="1:26" x14ac:dyDescent="0.35">
      <c r="A1398" t="s">
        <v>1398</v>
      </c>
      <c r="B1398" t="str">
        <f t="shared" si="147"/>
        <v>OK</v>
      </c>
      <c r="C1398" t="s">
        <v>2880</v>
      </c>
      <c r="D1398" s="2">
        <v>26</v>
      </c>
      <c r="E1398">
        <f>IF(OR(D1398&lt;18, D1398&gt;100),AD1397,D1398)</f>
        <v>26</v>
      </c>
      <c r="F1398" t="s">
        <v>2992</v>
      </c>
      <c r="G1398" t="str">
        <f t="shared" si="148"/>
        <v>Female</v>
      </c>
      <c r="H1398" t="s">
        <v>2999</v>
      </c>
      <c r="I1398" t="s">
        <v>3021</v>
      </c>
      <c r="K1398" t="str">
        <f t="shared" si="149"/>
        <v>Unemployed</v>
      </c>
      <c r="L1398">
        <v>17</v>
      </c>
      <c r="N1398">
        <f t="shared" si="150"/>
        <v>1333224</v>
      </c>
      <c r="O1398">
        <v>243492</v>
      </c>
      <c r="P1398">
        <v>16.59</v>
      </c>
      <c r="Q1398">
        <v>48</v>
      </c>
      <c r="R1398" t="s">
        <v>3048</v>
      </c>
      <c r="S1398" t="str">
        <f t="shared" si="151"/>
        <v>Home Improvement</v>
      </c>
      <c r="T1398">
        <v>612</v>
      </c>
      <c r="U1398">
        <f t="shared" si="152"/>
        <v>612</v>
      </c>
      <c r="V1398">
        <v>7</v>
      </c>
      <c r="W1398" t="s">
        <v>3052</v>
      </c>
      <c r="X1398" s="3" t="s">
        <v>4018</v>
      </c>
      <c r="Y1398" s="3">
        <f t="shared" si="153"/>
        <v>44348</v>
      </c>
      <c r="Z1398">
        <v>0.29060000000000002</v>
      </c>
    </row>
    <row r="1399" spans="1:26" x14ac:dyDescent="0.35">
      <c r="A1399" t="s">
        <v>1399</v>
      </c>
      <c r="B1399" t="str">
        <f t="shared" si="147"/>
        <v>OK</v>
      </c>
      <c r="C1399" t="s">
        <v>2881</v>
      </c>
      <c r="D1399" s="2">
        <v>30</v>
      </c>
      <c r="E1399">
        <f>IF(OR(D1399&lt;18, D1399&gt;100),AD1398,D1399)</f>
        <v>30</v>
      </c>
      <c r="F1399" t="s">
        <v>2990</v>
      </c>
      <c r="G1399" t="str">
        <f t="shared" si="148"/>
        <v>Male</v>
      </c>
      <c r="H1399" t="s">
        <v>3002</v>
      </c>
      <c r="I1399" t="s">
        <v>3018</v>
      </c>
      <c r="K1399" t="str">
        <f t="shared" si="149"/>
        <v>Business Owner</v>
      </c>
      <c r="L1399">
        <v>1</v>
      </c>
      <c r="M1399">
        <v>1664209</v>
      </c>
      <c r="N1399">
        <f t="shared" si="150"/>
        <v>1664209</v>
      </c>
      <c r="O1399">
        <v>418237</v>
      </c>
      <c r="P1399">
        <v>15.03</v>
      </c>
      <c r="Q1399">
        <v>36</v>
      </c>
      <c r="R1399" t="s">
        <v>3048</v>
      </c>
      <c r="S1399" t="str">
        <f t="shared" si="151"/>
        <v>Home Improvement</v>
      </c>
      <c r="T1399">
        <v>789</v>
      </c>
      <c r="U1399">
        <f t="shared" si="152"/>
        <v>789</v>
      </c>
      <c r="V1399">
        <v>0</v>
      </c>
      <c r="W1399" t="s">
        <v>3057</v>
      </c>
      <c r="X1399" s="3" t="s">
        <v>4019</v>
      </c>
      <c r="Y1399" s="3">
        <f t="shared" si="153"/>
        <v>44167</v>
      </c>
      <c r="Z1399">
        <v>0.25130000000000002</v>
      </c>
    </row>
    <row r="1400" spans="1:26" x14ac:dyDescent="0.35">
      <c r="A1400" t="s">
        <v>1400</v>
      </c>
      <c r="B1400" t="str">
        <f t="shared" si="147"/>
        <v>OK</v>
      </c>
      <c r="C1400" t="s">
        <v>2882</v>
      </c>
      <c r="D1400" s="2">
        <v>37</v>
      </c>
      <c r="E1400">
        <f>IF(OR(D1400&lt;18, D1400&gt;100),AD1399,D1400)</f>
        <v>37</v>
      </c>
      <c r="F1400" t="s">
        <v>2990</v>
      </c>
      <c r="G1400" t="str">
        <f t="shared" si="148"/>
        <v>Male</v>
      </c>
      <c r="H1400" t="s">
        <v>3007</v>
      </c>
      <c r="I1400" t="s">
        <v>3019</v>
      </c>
      <c r="K1400" t="str">
        <f t="shared" si="149"/>
        <v>Employed</v>
      </c>
      <c r="L1400">
        <v>2</v>
      </c>
      <c r="M1400">
        <v>357912</v>
      </c>
      <c r="N1400">
        <f t="shared" si="150"/>
        <v>357912</v>
      </c>
      <c r="O1400">
        <v>448395</v>
      </c>
      <c r="P1400">
        <v>21.27</v>
      </c>
      <c r="Q1400">
        <v>36</v>
      </c>
      <c r="R1400" t="s">
        <v>3048</v>
      </c>
      <c r="S1400" t="str">
        <f t="shared" si="151"/>
        <v>Home Improvement</v>
      </c>
      <c r="T1400">
        <v>307</v>
      </c>
      <c r="U1400">
        <f t="shared" si="152"/>
        <v>307</v>
      </c>
      <c r="V1400">
        <v>6</v>
      </c>
      <c r="W1400" t="s">
        <v>3055</v>
      </c>
      <c r="X1400" s="3" t="s">
        <v>3603</v>
      </c>
      <c r="Y1400" s="3">
        <f t="shared" si="153"/>
        <v>44667</v>
      </c>
      <c r="Z1400">
        <v>1.2527999999999999</v>
      </c>
    </row>
    <row r="1401" spans="1:26" x14ac:dyDescent="0.35">
      <c r="A1401" t="s">
        <v>1401</v>
      </c>
      <c r="B1401" t="str">
        <f t="shared" si="147"/>
        <v>OK</v>
      </c>
      <c r="C1401" t="s">
        <v>2883</v>
      </c>
      <c r="D1401" s="2">
        <v>51</v>
      </c>
      <c r="E1401">
        <f>IF(OR(D1401&lt;18, D1401&gt;100),AD1400,D1401)</f>
        <v>51</v>
      </c>
      <c r="F1401" t="s">
        <v>2990</v>
      </c>
      <c r="G1401" t="str">
        <f t="shared" si="148"/>
        <v>Male</v>
      </c>
      <c r="H1401" t="s">
        <v>3005</v>
      </c>
      <c r="I1401" t="s">
        <v>3018</v>
      </c>
      <c r="K1401" t="str">
        <f t="shared" si="149"/>
        <v>Business Owner</v>
      </c>
      <c r="L1401">
        <v>11</v>
      </c>
      <c r="M1401">
        <v>1431775</v>
      </c>
      <c r="N1401">
        <f t="shared" si="150"/>
        <v>1431775</v>
      </c>
      <c r="O1401">
        <v>45517</v>
      </c>
      <c r="P1401">
        <v>16.670000000000002</v>
      </c>
      <c r="Q1401">
        <v>36</v>
      </c>
      <c r="R1401" t="s">
        <v>3050</v>
      </c>
      <c r="S1401" t="str">
        <f t="shared" si="151"/>
        <v>Agriculture</v>
      </c>
      <c r="T1401">
        <v>383</v>
      </c>
      <c r="U1401">
        <f t="shared" si="152"/>
        <v>383</v>
      </c>
      <c r="V1401">
        <v>3</v>
      </c>
      <c r="W1401" t="s">
        <v>3053</v>
      </c>
      <c r="X1401" s="3" t="s">
        <v>3781</v>
      </c>
      <c r="Y1401" s="3">
        <f t="shared" si="153"/>
        <v>44790</v>
      </c>
      <c r="Z1401">
        <v>3.1800000000000002E-2</v>
      </c>
    </row>
    <row r="1402" spans="1:26" x14ac:dyDescent="0.35">
      <c r="A1402" t="s">
        <v>1402</v>
      </c>
      <c r="B1402" t="str">
        <f t="shared" ref="B1402:B1464" si="154">IF(A1402="", "MISSING", "OK")</f>
        <v>OK</v>
      </c>
      <c r="C1402" t="s">
        <v>2884</v>
      </c>
      <c r="D1402" s="2">
        <v>62</v>
      </c>
      <c r="E1402">
        <f>IF(OR(D1402&lt;18, D1402&gt;100),AD1401,D1402)</f>
        <v>62</v>
      </c>
      <c r="F1402" t="s">
        <v>2990</v>
      </c>
      <c r="G1402" t="str">
        <f t="shared" si="148"/>
        <v>Male</v>
      </c>
      <c r="H1402" t="s">
        <v>3006</v>
      </c>
      <c r="I1402" t="s">
        <v>3018</v>
      </c>
      <c r="K1402" t="str">
        <f t="shared" si="149"/>
        <v>Business Owner</v>
      </c>
      <c r="L1402">
        <v>25</v>
      </c>
      <c r="M1402">
        <v>664814</v>
      </c>
      <c r="N1402">
        <f t="shared" si="150"/>
        <v>664814</v>
      </c>
      <c r="O1402">
        <v>24138</v>
      </c>
      <c r="P1402">
        <v>20.91</v>
      </c>
      <c r="Q1402">
        <v>12</v>
      </c>
      <c r="R1402" t="s">
        <v>3048</v>
      </c>
      <c r="S1402" t="str">
        <f t="shared" si="151"/>
        <v>Home Improvement</v>
      </c>
      <c r="T1402">
        <v>701</v>
      </c>
      <c r="U1402">
        <f t="shared" si="152"/>
        <v>701</v>
      </c>
      <c r="V1402">
        <v>5</v>
      </c>
      <c r="W1402" t="s">
        <v>3055</v>
      </c>
      <c r="X1402" s="3" t="s">
        <v>3913</v>
      </c>
      <c r="Y1402" s="3">
        <f t="shared" si="153"/>
        <v>43856</v>
      </c>
      <c r="Z1402">
        <v>3.6299999999999999E-2</v>
      </c>
    </row>
    <row r="1403" spans="1:26" x14ac:dyDescent="0.35">
      <c r="A1403" t="s">
        <v>1403</v>
      </c>
      <c r="B1403" t="str">
        <f t="shared" si="154"/>
        <v>OK</v>
      </c>
      <c r="C1403" t="s">
        <v>2885</v>
      </c>
      <c r="D1403" s="2">
        <v>29</v>
      </c>
      <c r="E1403">
        <f>IF(OR(D1403&lt;18, D1403&gt;100),AD1402,D1403)</f>
        <v>29</v>
      </c>
      <c r="F1403" t="s">
        <v>2990</v>
      </c>
      <c r="G1403" t="str">
        <f t="shared" si="148"/>
        <v>Male</v>
      </c>
      <c r="H1403" t="s">
        <v>3004</v>
      </c>
      <c r="I1403" t="s">
        <v>3018</v>
      </c>
      <c r="K1403" t="str">
        <f t="shared" si="149"/>
        <v>Business Owner</v>
      </c>
      <c r="L1403">
        <v>28</v>
      </c>
      <c r="M1403">
        <v>338056</v>
      </c>
      <c r="N1403">
        <f t="shared" si="150"/>
        <v>338056</v>
      </c>
      <c r="O1403">
        <v>431236</v>
      </c>
      <c r="P1403">
        <v>27.49</v>
      </c>
      <c r="Q1403">
        <v>48</v>
      </c>
      <c r="R1403" t="s">
        <v>3050</v>
      </c>
      <c r="S1403" t="str">
        <f t="shared" si="151"/>
        <v>Agriculture</v>
      </c>
      <c r="T1403">
        <v>753</v>
      </c>
      <c r="U1403">
        <f t="shared" si="152"/>
        <v>753</v>
      </c>
      <c r="V1403">
        <v>3</v>
      </c>
      <c r="W1403" t="s">
        <v>3056</v>
      </c>
      <c r="X1403" s="3" t="s">
        <v>4020</v>
      </c>
      <c r="Y1403" s="3">
        <f t="shared" si="153"/>
        <v>44474</v>
      </c>
      <c r="Z1403">
        <v>1.2756000000000001</v>
      </c>
    </row>
    <row r="1404" spans="1:26" x14ac:dyDescent="0.35">
      <c r="A1404" t="s">
        <v>1404</v>
      </c>
      <c r="B1404" t="str">
        <f t="shared" si="154"/>
        <v>OK</v>
      </c>
      <c r="C1404" t="s">
        <v>2886</v>
      </c>
      <c r="D1404" s="2">
        <v>32</v>
      </c>
      <c r="E1404">
        <f>IF(OR(D1404&lt;18, D1404&gt;100),AD1403,D1404)</f>
        <v>32</v>
      </c>
      <c r="F1404" t="s">
        <v>2992</v>
      </c>
      <c r="G1404" t="str">
        <f t="shared" si="148"/>
        <v>Female</v>
      </c>
      <c r="H1404" t="s">
        <v>3000</v>
      </c>
      <c r="I1404" t="s">
        <v>3019</v>
      </c>
      <c r="K1404" t="str">
        <f t="shared" si="149"/>
        <v>Employed</v>
      </c>
      <c r="L1404">
        <v>5</v>
      </c>
      <c r="M1404">
        <v>1884581</v>
      </c>
      <c r="N1404">
        <f t="shared" si="150"/>
        <v>1884581</v>
      </c>
      <c r="O1404">
        <v>359679</v>
      </c>
      <c r="P1404">
        <v>11.37</v>
      </c>
      <c r="Q1404">
        <v>36</v>
      </c>
      <c r="R1404" t="s">
        <v>3047</v>
      </c>
      <c r="S1404" t="str">
        <f t="shared" si="151"/>
        <v>Personal</v>
      </c>
      <c r="T1404">
        <v>504</v>
      </c>
      <c r="U1404">
        <f t="shared" si="152"/>
        <v>504</v>
      </c>
      <c r="V1404">
        <v>1</v>
      </c>
      <c r="W1404" t="s">
        <v>3053</v>
      </c>
      <c r="X1404" s="3" t="s">
        <v>3603</v>
      </c>
      <c r="Y1404" s="3">
        <f t="shared" si="153"/>
        <v>44667</v>
      </c>
      <c r="Z1404">
        <v>0.19089999999999999</v>
      </c>
    </row>
    <row r="1405" spans="1:26" x14ac:dyDescent="0.35">
      <c r="A1405" t="s">
        <v>1405</v>
      </c>
      <c r="B1405" t="str">
        <f t="shared" si="154"/>
        <v>OK</v>
      </c>
      <c r="C1405" t="s">
        <v>2887</v>
      </c>
      <c r="D1405" s="2">
        <v>43</v>
      </c>
      <c r="E1405">
        <f>IF(OR(D1405&lt;18, D1405&gt;100),AD1404,D1405)</f>
        <v>43</v>
      </c>
      <c r="F1405" t="s">
        <v>2992</v>
      </c>
      <c r="G1405" t="str">
        <f t="shared" si="148"/>
        <v>Female</v>
      </c>
      <c r="H1405" t="s">
        <v>3005</v>
      </c>
      <c r="I1405" t="s">
        <v>3020</v>
      </c>
      <c r="K1405" t="str">
        <f t="shared" si="149"/>
        <v>Self-Employed</v>
      </c>
      <c r="L1405">
        <v>7</v>
      </c>
      <c r="M1405">
        <v>1858687</v>
      </c>
      <c r="N1405">
        <f t="shared" si="150"/>
        <v>1858687</v>
      </c>
      <c r="O1405">
        <v>316208</v>
      </c>
      <c r="P1405">
        <v>11.62</v>
      </c>
      <c r="Q1405">
        <v>48</v>
      </c>
      <c r="R1405" t="s">
        <v>3050</v>
      </c>
      <c r="S1405" t="str">
        <f t="shared" si="151"/>
        <v>Agriculture</v>
      </c>
      <c r="T1405">
        <v>440</v>
      </c>
      <c r="U1405">
        <f t="shared" si="152"/>
        <v>440</v>
      </c>
      <c r="V1405">
        <v>4</v>
      </c>
      <c r="W1405" t="s">
        <v>3052</v>
      </c>
      <c r="X1405" s="3" t="s">
        <v>4021</v>
      </c>
      <c r="Y1405" s="3">
        <f t="shared" si="153"/>
        <v>43970</v>
      </c>
      <c r="Z1405">
        <v>0.1701</v>
      </c>
    </row>
    <row r="1406" spans="1:26" x14ac:dyDescent="0.35">
      <c r="A1406" t="s">
        <v>1406</v>
      </c>
      <c r="B1406" t="str">
        <f t="shared" si="154"/>
        <v>OK</v>
      </c>
      <c r="C1406" t="s">
        <v>2888</v>
      </c>
      <c r="D1406" s="2">
        <v>53</v>
      </c>
      <c r="E1406">
        <f>IF(OR(D1406&lt;18, D1406&gt;100),AD1405,D1406)</f>
        <v>53</v>
      </c>
      <c r="F1406" t="s">
        <v>2992</v>
      </c>
      <c r="G1406" t="str">
        <f t="shared" si="148"/>
        <v>Female</v>
      </c>
      <c r="H1406" t="s">
        <v>3002</v>
      </c>
      <c r="I1406" t="s">
        <v>3020</v>
      </c>
      <c r="K1406" t="str">
        <f t="shared" si="149"/>
        <v>Self-Employed</v>
      </c>
      <c r="L1406">
        <v>21</v>
      </c>
      <c r="M1406">
        <v>2105544</v>
      </c>
      <c r="N1406">
        <f t="shared" si="150"/>
        <v>2105544</v>
      </c>
      <c r="O1406">
        <v>730205</v>
      </c>
      <c r="P1406">
        <v>19.899999999999999</v>
      </c>
      <c r="Q1406">
        <v>12</v>
      </c>
      <c r="R1406" t="s">
        <v>3048</v>
      </c>
      <c r="S1406" t="str">
        <f t="shared" si="151"/>
        <v>Home Improvement</v>
      </c>
      <c r="T1406">
        <v>512</v>
      </c>
      <c r="U1406">
        <f t="shared" si="152"/>
        <v>512</v>
      </c>
      <c r="V1406">
        <v>6</v>
      </c>
      <c r="W1406" t="s">
        <v>3060</v>
      </c>
      <c r="X1406" s="3" t="s">
        <v>4022</v>
      </c>
      <c r="Y1406" s="3">
        <f t="shared" si="153"/>
        <v>45066</v>
      </c>
      <c r="Z1406">
        <v>0.3468</v>
      </c>
    </row>
    <row r="1407" spans="1:26" x14ac:dyDescent="0.35">
      <c r="A1407" t="s">
        <v>1407</v>
      </c>
      <c r="B1407" t="str">
        <f t="shared" si="154"/>
        <v>OK</v>
      </c>
      <c r="C1407" t="s">
        <v>2889</v>
      </c>
      <c r="D1407" s="2">
        <v>35</v>
      </c>
      <c r="E1407">
        <f>IF(OR(D1407&lt;18, D1407&gt;100),AD1406,D1407)</f>
        <v>35</v>
      </c>
      <c r="F1407" t="s">
        <v>2992</v>
      </c>
      <c r="G1407" t="str">
        <f t="shared" si="148"/>
        <v>Female</v>
      </c>
      <c r="H1407" t="s">
        <v>3004</v>
      </c>
      <c r="I1407" t="s">
        <v>3021</v>
      </c>
      <c r="K1407" t="str">
        <f t="shared" si="149"/>
        <v>Unemployed</v>
      </c>
      <c r="L1407">
        <v>16</v>
      </c>
      <c r="M1407">
        <v>2201770</v>
      </c>
      <c r="N1407">
        <f t="shared" si="150"/>
        <v>2201770</v>
      </c>
      <c r="O1407">
        <v>46616</v>
      </c>
      <c r="P1407">
        <v>14.56</v>
      </c>
      <c r="Q1407">
        <v>36</v>
      </c>
      <c r="R1407" t="s">
        <v>3047</v>
      </c>
      <c r="S1407" t="str">
        <f t="shared" si="151"/>
        <v>Personal</v>
      </c>
      <c r="T1407">
        <v>805</v>
      </c>
      <c r="U1407">
        <f t="shared" si="152"/>
        <v>805</v>
      </c>
      <c r="V1407">
        <v>6</v>
      </c>
      <c r="W1407" t="s">
        <v>3054</v>
      </c>
      <c r="X1407" s="3" t="s">
        <v>3135</v>
      </c>
      <c r="Y1407" s="3">
        <f t="shared" si="153"/>
        <v>45204</v>
      </c>
      <c r="Z1407">
        <v>2.12E-2</v>
      </c>
    </row>
    <row r="1408" spans="1:26" x14ac:dyDescent="0.35">
      <c r="A1408" t="s">
        <v>1408</v>
      </c>
      <c r="B1408" t="str">
        <f t="shared" si="154"/>
        <v>OK</v>
      </c>
      <c r="C1408" t="s">
        <v>2890</v>
      </c>
      <c r="D1408" s="2">
        <v>35</v>
      </c>
      <c r="E1408">
        <f>IF(OR(D1408&lt;18, D1408&gt;100),AD1407,D1408)</f>
        <v>35</v>
      </c>
      <c r="F1408" t="s">
        <v>2990</v>
      </c>
      <c r="G1408" t="str">
        <f t="shared" si="148"/>
        <v>Male</v>
      </c>
      <c r="H1408" t="s">
        <v>2999</v>
      </c>
      <c r="I1408" t="s">
        <v>3018</v>
      </c>
      <c r="K1408" t="str">
        <f t="shared" si="149"/>
        <v>Business Owner</v>
      </c>
      <c r="L1408">
        <v>14</v>
      </c>
      <c r="M1408">
        <v>2286230</v>
      </c>
      <c r="N1408">
        <f t="shared" si="150"/>
        <v>2286230</v>
      </c>
      <c r="O1408">
        <v>384662</v>
      </c>
      <c r="P1408">
        <v>14.54</v>
      </c>
      <c r="Q1408">
        <v>24</v>
      </c>
      <c r="R1408" t="s">
        <v>3049</v>
      </c>
      <c r="S1408" t="str">
        <f t="shared" si="151"/>
        <v>Business</v>
      </c>
      <c r="T1408">
        <v>345</v>
      </c>
      <c r="U1408">
        <f t="shared" si="152"/>
        <v>345</v>
      </c>
      <c r="V1408">
        <v>0</v>
      </c>
      <c r="W1408" t="s">
        <v>3056</v>
      </c>
      <c r="X1408" s="3" t="s">
        <v>3936</v>
      </c>
      <c r="Y1408" s="3">
        <f t="shared" si="153"/>
        <v>44060</v>
      </c>
      <c r="Z1408">
        <v>0.16830000000000001</v>
      </c>
    </row>
    <row r="1409" spans="1:26" x14ac:dyDescent="0.35">
      <c r="A1409" t="s">
        <v>1409</v>
      </c>
      <c r="B1409" t="str">
        <f t="shared" si="154"/>
        <v>OK</v>
      </c>
      <c r="C1409" t="s">
        <v>2891</v>
      </c>
      <c r="D1409" s="2">
        <v>48</v>
      </c>
      <c r="E1409">
        <f>IF(OR(D1409&lt;18, D1409&gt;100),AD1408,D1409)</f>
        <v>48</v>
      </c>
      <c r="F1409" t="s">
        <v>2990</v>
      </c>
      <c r="G1409" t="str">
        <f t="shared" si="148"/>
        <v>Male</v>
      </c>
      <c r="H1409" t="s">
        <v>3004</v>
      </c>
      <c r="I1409" t="s">
        <v>3018</v>
      </c>
      <c r="K1409" t="str">
        <f t="shared" si="149"/>
        <v>Business Owner</v>
      </c>
      <c r="L1409">
        <v>26</v>
      </c>
      <c r="M1409">
        <v>2394387</v>
      </c>
      <c r="N1409">
        <f t="shared" si="150"/>
        <v>2394387</v>
      </c>
      <c r="O1409">
        <v>505001</v>
      </c>
      <c r="P1409">
        <v>9.9700000000000006</v>
      </c>
      <c r="Q1409">
        <v>12</v>
      </c>
      <c r="R1409" t="s">
        <v>3051</v>
      </c>
      <c r="S1409" t="str">
        <f t="shared" si="151"/>
        <v>Education</v>
      </c>
      <c r="T1409">
        <v>556</v>
      </c>
      <c r="U1409">
        <f t="shared" si="152"/>
        <v>556</v>
      </c>
      <c r="V1409">
        <v>3</v>
      </c>
      <c r="W1409" t="s">
        <v>3054</v>
      </c>
      <c r="X1409" s="3" t="s">
        <v>3321</v>
      </c>
      <c r="Y1409" s="3">
        <f t="shared" si="153"/>
        <v>44782</v>
      </c>
      <c r="Z1409">
        <v>0.2109</v>
      </c>
    </row>
    <row r="1410" spans="1:26" x14ac:dyDescent="0.35">
      <c r="A1410" t="s">
        <v>1410</v>
      </c>
      <c r="B1410" t="str">
        <f t="shared" si="154"/>
        <v>OK</v>
      </c>
      <c r="C1410" t="s">
        <v>2892</v>
      </c>
      <c r="D1410" s="2">
        <v>35</v>
      </c>
      <c r="E1410">
        <f>IF(OR(D1410&lt;18, D1410&gt;100),AD1409,D1410)</f>
        <v>35</v>
      </c>
      <c r="F1410" t="s">
        <v>2992</v>
      </c>
      <c r="G1410" t="str">
        <f t="shared" si="148"/>
        <v>Female</v>
      </c>
      <c r="H1410" t="s">
        <v>3001</v>
      </c>
      <c r="I1410" t="s">
        <v>3019</v>
      </c>
      <c r="K1410" t="str">
        <f t="shared" si="149"/>
        <v>Employed</v>
      </c>
      <c r="L1410">
        <v>21</v>
      </c>
      <c r="M1410">
        <v>1895880</v>
      </c>
      <c r="N1410">
        <f t="shared" si="150"/>
        <v>1895880</v>
      </c>
      <c r="O1410">
        <v>443350</v>
      </c>
      <c r="P1410">
        <v>21.33</v>
      </c>
      <c r="Q1410">
        <v>24</v>
      </c>
      <c r="R1410" t="s">
        <v>3047</v>
      </c>
      <c r="S1410" t="str">
        <f t="shared" si="151"/>
        <v>Personal</v>
      </c>
      <c r="T1410">
        <v>422</v>
      </c>
      <c r="U1410">
        <f t="shared" si="152"/>
        <v>422</v>
      </c>
      <c r="V1410">
        <v>6</v>
      </c>
      <c r="W1410" t="s">
        <v>3052</v>
      </c>
      <c r="X1410" s="3" t="s">
        <v>3088</v>
      </c>
      <c r="Y1410" s="3">
        <f t="shared" si="153"/>
        <v>43971</v>
      </c>
      <c r="Z1410">
        <v>0.23380000000000001</v>
      </c>
    </row>
    <row r="1411" spans="1:26" x14ac:dyDescent="0.35">
      <c r="A1411" t="s">
        <v>1411</v>
      </c>
      <c r="B1411" t="str">
        <f t="shared" si="154"/>
        <v>OK</v>
      </c>
      <c r="C1411" t="s">
        <v>2893</v>
      </c>
      <c r="D1411" s="2">
        <v>36</v>
      </c>
      <c r="E1411">
        <f>IF(OR(D1411&lt;18, D1411&gt;100),AD1410,D1411)</f>
        <v>36</v>
      </c>
      <c r="F1411" t="s">
        <v>2990</v>
      </c>
      <c r="G1411" t="str">
        <f t="shared" ref="G1411:G1474" si="155">IF(F1411="", "Unknown", IF(OR(F1411="F", F1411="FEMALE", F1411="Female"), "Female", IF(OR(F1411="M", F1411="MALE", F1411="Male"), "Male", "Other")))</f>
        <v>Male</v>
      </c>
      <c r="H1411" t="s">
        <v>3003</v>
      </c>
      <c r="I1411" t="s">
        <v>3019</v>
      </c>
      <c r="K1411" t="str">
        <f t="shared" ref="K1411:K1474" si="156">IF(I1411="", "Unknown", I1411)</f>
        <v>Employed</v>
      </c>
      <c r="L1411">
        <v>4</v>
      </c>
      <c r="M1411">
        <v>888521</v>
      </c>
      <c r="N1411">
        <f t="shared" ref="N1411:N1474" si="157">IF(OR(M1411="",M1411&lt;0),$AD$3,M1411)</f>
        <v>888521</v>
      </c>
      <c r="O1411">
        <v>504282</v>
      </c>
      <c r="P1411">
        <v>20.46</v>
      </c>
      <c r="Q1411">
        <v>36</v>
      </c>
      <c r="R1411" t="s">
        <v>3047</v>
      </c>
      <c r="S1411" t="str">
        <f t="shared" ref="S1411:S1474" si="158">IF(R1411="", "Unknown", R1411)</f>
        <v>Personal</v>
      </c>
      <c r="T1411">
        <v>739</v>
      </c>
      <c r="U1411">
        <f t="shared" ref="U1411:U1474" si="159">IF(OR(T1411="",T1411&gt;999),$AD$2,T1411)</f>
        <v>739</v>
      </c>
      <c r="V1411">
        <v>3</v>
      </c>
      <c r="W1411" t="s">
        <v>3055</v>
      </c>
      <c r="X1411" s="3" t="s">
        <v>4023</v>
      </c>
      <c r="Y1411" s="3">
        <v>45212</v>
      </c>
      <c r="Z1411">
        <v>0.56759999999999999</v>
      </c>
    </row>
    <row r="1412" spans="1:26" x14ac:dyDescent="0.35">
      <c r="A1412" t="s">
        <v>1412</v>
      </c>
      <c r="B1412" t="str">
        <f t="shared" si="154"/>
        <v>OK</v>
      </c>
      <c r="C1412" t="s">
        <v>2894</v>
      </c>
      <c r="D1412" s="2">
        <v>26</v>
      </c>
      <c r="E1412">
        <f>IF(OR(D1412&lt;18, D1412&gt;100),AD1411,D1412)</f>
        <v>26</v>
      </c>
      <c r="F1412" t="s">
        <v>2997</v>
      </c>
      <c r="G1412" t="str">
        <f t="shared" si="155"/>
        <v>Male</v>
      </c>
      <c r="H1412" t="s">
        <v>3003</v>
      </c>
      <c r="I1412" t="s">
        <v>3019</v>
      </c>
      <c r="K1412" t="str">
        <f t="shared" si="156"/>
        <v>Employed</v>
      </c>
      <c r="L1412">
        <v>21</v>
      </c>
      <c r="M1412">
        <v>354023</v>
      </c>
      <c r="N1412">
        <f t="shared" si="157"/>
        <v>354023</v>
      </c>
      <c r="O1412">
        <v>442132</v>
      </c>
      <c r="P1412">
        <v>16.11</v>
      </c>
      <c r="Q1412">
        <v>60</v>
      </c>
      <c r="R1412" t="s">
        <v>3049</v>
      </c>
      <c r="S1412" t="str">
        <f t="shared" si="158"/>
        <v>Business</v>
      </c>
      <c r="T1412">
        <v>510</v>
      </c>
      <c r="U1412">
        <f t="shared" si="159"/>
        <v>510</v>
      </c>
      <c r="V1412">
        <v>5</v>
      </c>
      <c r="W1412" t="s">
        <v>3055</v>
      </c>
      <c r="X1412" s="3" t="s">
        <v>3346</v>
      </c>
      <c r="Y1412" s="3">
        <f t="shared" ref="Y1412:Y1474" si="160">IF(ISNUMBER(X1412), X1412, DATEVALUE(X1412))</f>
        <v>44946</v>
      </c>
      <c r="Z1412">
        <v>1.2488999999999999</v>
      </c>
    </row>
    <row r="1413" spans="1:26" x14ac:dyDescent="0.35">
      <c r="A1413" t="s">
        <v>1413</v>
      </c>
      <c r="B1413" t="str">
        <f t="shared" si="154"/>
        <v>OK</v>
      </c>
      <c r="C1413" t="s">
        <v>2895</v>
      </c>
      <c r="D1413" s="2">
        <v>44</v>
      </c>
      <c r="E1413">
        <f>IF(OR(D1413&lt;18, D1413&gt;100),AD1412,D1413)</f>
        <v>44</v>
      </c>
      <c r="F1413" t="s">
        <v>2992</v>
      </c>
      <c r="G1413" t="str">
        <f t="shared" si="155"/>
        <v>Female</v>
      </c>
      <c r="H1413" t="s">
        <v>3003</v>
      </c>
      <c r="I1413" t="s">
        <v>3019</v>
      </c>
      <c r="K1413" t="str">
        <f t="shared" si="156"/>
        <v>Employed</v>
      </c>
      <c r="L1413">
        <v>13</v>
      </c>
      <c r="M1413">
        <v>1803911</v>
      </c>
      <c r="N1413">
        <f t="shared" si="157"/>
        <v>1803911</v>
      </c>
      <c r="O1413">
        <v>358384</v>
      </c>
      <c r="P1413">
        <v>24.02</v>
      </c>
      <c r="Q1413">
        <v>24</v>
      </c>
      <c r="R1413" t="s">
        <v>3046</v>
      </c>
      <c r="S1413" t="str">
        <f t="shared" si="158"/>
        <v>Medical</v>
      </c>
      <c r="T1413">
        <v>678</v>
      </c>
      <c r="U1413">
        <f t="shared" si="159"/>
        <v>678</v>
      </c>
      <c r="V1413">
        <v>6</v>
      </c>
      <c r="W1413" t="s">
        <v>3052</v>
      </c>
      <c r="X1413" s="3" t="s">
        <v>4024</v>
      </c>
      <c r="Y1413" s="3">
        <f t="shared" si="160"/>
        <v>44321</v>
      </c>
      <c r="Z1413">
        <v>0.19869999999999999</v>
      </c>
    </row>
    <row r="1414" spans="1:26" x14ac:dyDescent="0.35">
      <c r="A1414" t="s">
        <v>1414</v>
      </c>
      <c r="B1414" t="str">
        <f t="shared" si="154"/>
        <v>OK</v>
      </c>
      <c r="C1414" t="s">
        <v>2896</v>
      </c>
      <c r="D1414" s="2">
        <v>29</v>
      </c>
      <c r="E1414">
        <f>IF(OR(D1414&lt;18, D1414&gt;100),AD1413,D1414)</f>
        <v>29</v>
      </c>
      <c r="F1414" t="s">
        <v>2992</v>
      </c>
      <c r="G1414" t="str">
        <f t="shared" si="155"/>
        <v>Female</v>
      </c>
      <c r="H1414" t="s">
        <v>3007</v>
      </c>
      <c r="I1414" t="s">
        <v>3019</v>
      </c>
      <c r="K1414" t="str">
        <f t="shared" si="156"/>
        <v>Employed</v>
      </c>
      <c r="L1414">
        <v>27</v>
      </c>
      <c r="M1414">
        <v>431351</v>
      </c>
      <c r="N1414">
        <f t="shared" si="157"/>
        <v>431351</v>
      </c>
      <c r="O1414">
        <v>457805</v>
      </c>
      <c r="P1414">
        <v>9.6300000000000008</v>
      </c>
      <c r="Q1414">
        <v>60</v>
      </c>
      <c r="R1414" t="s">
        <v>3049</v>
      </c>
      <c r="S1414" t="str">
        <f t="shared" si="158"/>
        <v>Business</v>
      </c>
      <c r="T1414">
        <v>382</v>
      </c>
      <c r="U1414">
        <f t="shared" si="159"/>
        <v>382</v>
      </c>
      <c r="V1414">
        <v>2</v>
      </c>
      <c r="W1414" t="s">
        <v>3054</v>
      </c>
      <c r="X1414" s="3" t="s">
        <v>4025</v>
      </c>
      <c r="Y1414" s="3">
        <f t="shared" si="160"/>
        <v>44983</v>
      </c>
      <c r="Z1414">
        <v>1.0612999999999999</v>
      </c>
    </row>
    <row r="1415" spans="1:26" x14ac:dyDescent="0.35">
      <c r="A1415" t="s">
        <v>1415</v>
      </c>
      <c r="B1415" t="str">
        <f t="shared" si="154"/>
        <v>OK</v>
      </c>
      <c r="C1415" t="s">
        <v>2897</v>
      </c>
      <c r="D1415" s="2">
        <v>55</v>
      </c>
      <c r="E1415">
        <f>IF(OR(D1415&lt;18, D1415&gt;100),AD1414,D1415)</f>
        <v>55</v>
      </c>
      <c r="F1415" t="s">
        <v>2992</v>
      </c>
      <c r="G1415" t="str">
        <f t="shared" si="155"/>
        <v>Female</v>
      </c>
      <c r="H1415" t="s">
        <v>3005</v>
      </c>
      <c r="I1415" t="s">
        <v>3019</v>
      </c>
      <c r="K1415" t="str">
        <f t="shared" si="156"/>
        <v>Employed</v>
      </c>
      <c r="L1415">
        <v>14</v>
      </c>
      <c r="M1415">
        <v>2091627</v>
      </c>
      <c r="N1415">
        <f t="shared" si="157"/>
        <v>2091627</v>
      </c>
      <c r="O1415">
        <v>529850</v>
      </c>
      <c r="P1415">
        <v>22.63</v>
      </c>
      <c r="Q1415">
        <v>24</v>
      </c>
      <c r="R1415" t="s">
        <v>3050</v>
      </c>
      <c r="S1415" t="str">
        <f t="shared" si="158"/>
        <v>Agriculture</v>
      </c>
      <c r="T1415">
        <v>658</v>
      </c>
      <c r="U1415">
        <f t="shared" si="159"/>
        <v>658</v>
      </c>
      <c r="V1415">
        <v>3</v>
      </c>
      <c r="W1415" t="s">
        <v>3054</v>
      </c>
      <c r="X1415" s="3" t="s">
        <v>4026</v>
      </c>
      <c r="Y1415" s="3">
        <f t="shared" si="160"/>
        <v>44738</v>
      </c>
      <c r="Z1415">
        <v>0.25330000000000003</v>
      </c>
    </row>
    <row r="1416" spans="1:26" x14ac:dyDescent="0.35">
      <c r="A1416" t="s">
        <v>1416</v>
      </c>
      <c r="B1416" t="str">
        <f t="shared" si="154"/>
        <v>OK</v>
      </c>
      <c r="C1416" t="s">
        <v>2898</v>
      </c>
      <c r="D1416" s="2">
        <v>50</v>
      </c>
      <c r="E1416">
        <f>IF(OR(D1416&lt;18, D1416&gt;100),AD1415,D1416)</f>
        <v>50</v>
      </c>
      <c r="F1416" t="s">
        <v>2990</v>
      </c>
      <c r="G1416" t="str">
        <f t="shared" si="155"/>
        <v>Male</v>
      </c>
      <c r="H1416" t="s">
        <v>3006</v>
      </c>
      <c r="I1416" t="s">
        <v>3018</v>
      </c>
      <c r="K1416" t="str">
        <f t="shared" si="156"/>
        <v>Business Owner</v>
      </c>
      <c r="L1416">
        <v>3</v>
      </c>
      <c r="M1416">
        <v>1089245</v>
      </c>
      <c r="N1416">
        <f t="shared" si="157"/>
        <v>1089245</v>
      </c>
      <c r="O1416">
        <v>733340</v>
      </c>
      <c r="P1416">
        <v>18.71</v>
      </c>
      <c r="Q1416">
        <v>36</v>
      </c>
      <c r="R1416" t="s">
        <v>3049</v>
      </c>
      <c r="S1416" t="str">
        <f t="shared" si="158"/>
        <v>Business</v>
      </c>
      <c r="T1416">
        <v>840</v>
      </c>
      <c r="U1416">
        <f t="shared" si="159"/>
        <v>840</v>
      </c>
      <c r="V1416">
        <v>4</v>
      </c>
      <c r="W1416" t="s">
        <v>3055</v>
      </c>
      <c r="X1416" s="3" t="s">
        <v>3279</v>
      </c>
      <c r="Y1416" s="3">
        <f t="shared" si="160"/>
        <v>44589</v>
      </c>
      <c r="Z1416">
        <v>0.67330000000000001</v>
      </c>
    </row>
    <row r="1417" spans="1:26" x14ac:dyDescent="0.35">
      <c r="A1417" t="s">
        <v>1417</v>
      </c>
      <c r="B1417" t="str">
        <f t="shared" si="154"/>
        <v>OK</v>
      </c>
      <c r="C1417" t="s">
        <v>2899</v>
      </c>
      <c r="D1417" s="2">
        <v>26</v>
      </c>
      <c r="E1417">
        <f>IF(OR(D1417&lt;18, D1417&gt;100),AD1416,D1417)</f>
        <v>26</v>
      </c>
      <c r="F1417" t="s">
        <v>2992</v>
      </c>
      <c r="G1417" t="str">
        <f t="shared" si="155"/>
        <v>Female</v>
      </c>
      <c r="H1417" t="s">
        <v>3007</v>
      </c>
      <c r="I1417" t="s">
        <v>3018</v>
      </c>
      <c r="K1417" t="str">
        <f t="shared" si="156"/>
        <v>Business Owner</v>
      </c>
      <c r="L1417">
        <v>12</v>
      </c>
      <c r="M1417">
        <v>2057971</v>
      </c>
      <c r="N1417">
        <f t="shared" si="157"/>
        <v>2057971</v>
      </c>
      <c r="O1417">
        <v>795107</v>
      </c>
      <c r="P1417">
        <v>17.760000000000002</v>
      </c>
      <c r="Q1417">
        <v>48</v>
      </c>
      <c r="R1417" t="s">
        <v>3049</v>
      </c>
      <c r="S1417" t="str">
        <f t="shared" si="158"/>
        <v>Business</v>
      </c>
      <c r="T1417">
        <v>552</v>
      </c>
      <c r="U1417">
        <f t="shared" si="159"/>
        <v>552</v>
      </c>
      <c r="V1417">
        <v>7</v>
      </c>
      <c r="W1417" t="s">
        <v>3052</v>
      </c>
      <c r="X1417" s="3" t="s">
        <v>4027</v>
      </c>
      <c r="Y1417" s="3">
        <f t="shared" si="160"/>
        <v>44228</v>
      </c>
      <c r="Z1417">
        <v>0.38640000000000002</v>
      </c>
    </row>
    <row r="1418" spans="1:26" x14ac:dyDescent="0.35">
      <c r="A1418" t="s">
        <v>1418</v>
      </c>
      <c r="B1418" t="str">
        <f t="shared" si="154"/>
        <v>OK</v>
      </c>
      <c r="C1418" t="s">
        <v>2900</v>
      </c>
      <c r="D1418" s="2">
        <v>48</v>
      </c>
      <c r="E1418">
        <f>IF(OR(D1418&lt;18, D1418&gt;100),AD1417,D1418)</f>
        <v>48</v>
      </c>
      <c r="F1418" t="s">
        <v>2990</v>
      </c>
      <c r="G1418" t="str">
        <f t="shared" si="155"/>
        <v>Male</v>
      </c>
      <c r="H1418" t="s">
        <v>3002</v>
      </c>
      <c r="I1418" t="s">
        <v>3018</v>
      </c>
      <c r="K1418" t="str">
        <f t="shared" si="156"/>
        <v>Business Owner</v>
      </c>
      <c r="L1418">
        <v>15</v>
      </c>
      <c r="M1418">
        <v>1539507</v>
      </c>
      <c r="N1418">
        <f t="shared" si="157"/>
        <v>1539507</v>
      </c>
      <c r="O1418">
        <v>194037</v>
      </c>
      <c r="P1418">
        <v>18.63</v>
      </c>
      <c r="Q1418">
        <v>24</v>
      </c>
      <c r="R1418" t="s">
        <v>3046</v>
      </c>
      <c r="S1418" t="str">
        <f t="shared" si="158"/>
        <v>Medical</v>
      </c>
      <c r="T1418">
        <v>726</v>
      </c>
      <c r="U1418">
        <f t="shared" si="159"/>
        <v>726</v>
      </c>
      <c r="V1418">
        <v>4</v>
      </c>
      <c r="W1418" t="s">
        <v>3053</v>
      </c>
      <c r="X1418" s="3" t="s">
        <v>3660</v>
      </c>
      <c r="Y1418" s="3">
        <f t="shared" si="160"/>
        <v>44196</v>
      </c>
      <c r="Z1418">
        <v>0.126</v>
      </c>
    </row>
    <row r="1419" spans="1:26" x14ac:dyDescent="0.35">
      <c r="A1419" t="s">
        <v>1419</v>
      </c>
      <c r="B1419" t="str">
        <f t="shared" si="154"/>
        <v>OK</v>
      </c>
      <c r="C1419" t="s">
        <v>2901</v>
      </c>
      <c r="D1419" s="2">
        <v>22</v>
      </c>
      <c r="E1419">
        <f>IF(OR(D1419&lt;18, D1419&gt;100),AD1418,D1419)</f>
        <v>22</v>
      </c>
      <c r="F1419" t="s">
        <v>2990</v>
      </c>
      <c r="G1419" t="str">
        <f t="shared" si="155"/>
        <v>Male</v>
      </c>
      <c r="H1419" t="s">
        <v>3004</v>
      </c>
      <c r="I1419" t="s">
        <v>3020</v>
      </c>
      <c r="K1419" t="str">
        <f t="shared" si="156"/>
        <v>Self-Employed</v>
      </c>
      <c r="L1419">
        <v>27</v>
      </c>
      <c r="M1419">
        <v>1687630</v>
      </c>
      <c r="N1419">
        <f t="shared" si="157"/>
        <v>1687630</v>
      </c>
      <c r="O1419">
        <v>458458</v>
      </c>
      <c r="P1419">
        <v>10</v>
      </c>
      <c r="Q1419">
        <v>36</v>
      </c>
      <c r="R1419" t="s">
        <v>3050</v>
      </c>
      <c r="S1419" t="str">
        <f t="shared" si="158"/>
        <v>Agriculture</v>
      </c>
      <c r="T1419">
        <v>476</v>
      </c>
      <c r="U1419">
        <f t="shared" si="159"/>
        <v>476</v>
      </c>
      <c r="V1419">
        <v>0</v>
      </c>
      <c r="W1419" t="s">
        <v>3052</v>
      </c>
      <c r="X1419" s="3" t="s">
        <v>3933</v>
      </c>
      <c r="Y1419" s="3">
        <f t="shared" si="160"/>
        <v>45177</v>
      </c>
      <c r="Z1419">
        <v>0.2717</v>
      </c>
    </row>
    <row r="1420" spans="1:26" x14ac:dyDescent="0.35">
      <c r="A1420" t="s">
        <v>1420</v>
      </c>
      <c r="B1420" t="str">
        <f t="shared" si="154"/>
        <v>OK</v>
      </c>
      <c r="C1420" t="s">
        <v>2902</v>
      </c>
      <c r="D1420" s="2">
        <v>53</v>
      </c>
      <c r="E1420">
        <f>IF(OR(D1420&lt;18, D1420&gt;100),AD1419,D1420)</f>
        <v>53</v>
      </c>
      <c r="F1420" t="s">
        <v>2992</v>
      </c>
      <c r="G1420" t="str">
        <f t="shared" si="155"/>
        <v>Female</v>
      </c>
      <c r="H1420" t="s">
        <v>3005</v>
      </c>
      <c r="I1420" t="s">
        <v>3020</v>
      </c>
      <c r="K1420" t="str">
        <f t="shared" si="156"/>
        <v>Self-Employed</v>
      </c>
      <c r="L1420">
        <v>4</v>
      </c>
      <c r="M1420">
        <v>206155</v>
      </c>
      <c r="N1420">
        <f t="shared" si="157"/>
        <v>206155</v>
      </c>
      <c r="O1420">
        <v>378402</v>
      </c>
      <c r="P1420">
        <v>24.49</v>
      </c>
      <c r="Q1420">
        <v>60</v>
      </c>
      <c r="R1420" t="s">
        <v>3050</v>
      </c>
      <c r="S1420" t="str">
        <f t="shared" si="158"/>
        <v>Agriculture</v>
      </c>
      <c r="U1420">
        <f t="shared" si="159"/>
        <v>556</v>
      </c>
      <c r="V1420">
        <v>5</v>
      </c>
      <c r="W1420" t="s">
        <v>3053</v>
      </c>
      <c r="X1420" s="3" t="s">
        <v>4028</v>
      </c>
      <c r="Y1420" s="3">
        <f t="shared" si="160"/>
        <v>44652</v>
      </c>
      <c r="Z1420">
        <v>1.8354999999999999</v>
      </c>
    </row>
    <row r="1421" spans="1:26" x14ac:dyDescent="0.35">
      <c r="A1421" t="s">
        <v>1421</v>
      </c>
      <c r="B1421" t="str">
        <f t="shared" si="154"/>
        <v>OK</v>
      </c>
      <c r="C1421" t="s">
        <v>2903</v>
      </c>
      <c r="D1421" s="2">
        <v>56</v>
      </c>
      <c r="E1421">
        <f>IF(OR(D1421&lt;18, D1421&gt;100),AD1420,D1421)</f>
        <v>56</v>
      </c>
      <c r="F1421" t="s">
        <v>2992</v>
      </c>
      <c r="G1421" t="str">
        <f t="shared" si="155"/>
        <v>Female</v>
      </c>
      <c r="H1421" t="s">
        <v>3000</v>
      </c>
      <c r="I1421" t="s">
        <v>3021</v>
      </c>
      <c r="K1421" t="str">
        <f t="shared" si="156"/>
        <v>Unemployed</v>
      </c>
      <c r="L1421">
        <v>3</v>
      </c>
      <c r="M1421">
        <v>1451300</v>
      </c>
      <c r="N1421">
        <f t="shared" si="157"/>
        <v>1451300</v>
      </c>
      <c r="O1421">
        <v>722495</v>
      </c>
      <c r="P1421">
        <v>21.24</v>
      </c>
      <c r="Q1421">
        <v>36</v>
      </c>
      <c r="R1421" t="s">
        <v>3046</v>
      </c>
      <c r="S1421" t="str">
        <f t="shared" si="158"/>
        <v>Medical</v>
      </c>
      <c r="T1421">
        <v>821</v>
      </c>
      <c r="U1421">
        <f t="shared" si="159"/>
        <v>821</v>
      </c>
      <c r="V1421">
        <v>6</v>
      </c>
      <c r="W1421" t="s">
        <v>3055</v>
      </c>
      <c r="X1421" s="3" t="s">
        <v>3342</v>
      </c>
      <c r="Y1421" s="3">
        <f t="shared" si="160"/>
        <v>44086</v>
      </c>
      <c r="Z1421">
        <v>0.49780000000000002</v>
      </c>
    </row>
    <row r="1422" spans="1:26" x14ac:dyDescent="0.35">
      <c r="A1422" t="s">
        <v>1422</v>
      </c>
      <c r="B1422" t="str">
        <f t="shared" si="154"/>
        <v>OK</v>
      </c>
      <c r="C1422" t="s">
        <v>2904</v>
      </c>
      <c r="D1422" s="2">
        <v>39</v>
      </c>
      <c r="E1422">
        <f>IF(OR(D1422&lt;18, D1422&gt;100),AD1421,D1422)</f>
        <v>39</v>
      </c>
      <c r="F1422" t="s">
        <v>2992</v>
      </c>
      <c r="G1422" t="str">
        <f t="shared" si="155"/>
        <v>Female</v>
      </c>
      <c r="H1422" t="s">
        <v>3004</v>
      </c>
      <c r="I1422" t="s">
        <v>3021</v>
      </c>
      <c r="K1422" t="str">
        <f t="shared" si="156"/>
        <v>Unemployed</v>
      </c>
      <c r="L1422">
        <v>26</v>
      </c>
      <c r="M1422">
        <v>2269271</v>
      </c>
      <c r="N1422">
        <f t="shared" si="157"/>
        <v>2269271</v>
      </c>
      <c r="O1422">
        <v>107265</v>
      </c>
      <c r="P1422">
        <v>17.329999999999998</v>
      </c>
      <c r="Q1422">
        <v>36</v>
      </c>
      <c r="R1422" t="s">
        <v>3046</v>
      </c>
      <c r="S1422" t="str">
        <f t="shared" si="158"/>
        <v>Medical</v>
      </c>
      <c r="T1422">
        <v>602</v>
      </c>
      <c r="U1422">
        <f t="shared" si="159"/>
        <v>602</v>
      </c>
      <c r="V1422">
        <v>4</v>
      </c>
      <c r="W1422" t="s">
        <v>3055</v>
      </c>
      <c r="X1422" s="3" t="s">
        <v>3571</v>
      </c>
      <c r="Y1422" s="3">
        <f t="shared" si="160"/>
        <v>44282</v>
      </c>
      <c r="Z1422">
        <v>4.7300000000000002E-2</v>
      </c>
    </row>
    <row r="1423" spans="1:26" x14ac:dyDescent="0.35">
      <c r="A1423" t="s">
        <v>1423</v>
      </c>
      <c r="B1423" t="str">
        <f t="shared" si="154"/>
        <v>OK</v>
      </c>
      <c r="C1423" t="s">
        <v>2905</v>
      </c>
      <c r="D1423" s="2">
        <v>38</v>
      </c>
      <c r="E1423">
        <f>IF(OR(D1423&lt;18, D1423&gt;100),AD1422,D1423)</f>
        <v>38</v>
      </c>
      <c r="F1423" t="s">
        <v>2992</v>
      </c>
      <c r="G1423" t="str">
        <f t="shared" si="155"/>
        <v>Female</v>
      </c>
      <c r="H1423" t="s">
        <v>2999</v>
      </c>
      <c r="I1423" t="s">
        <v>3020</v>
      </c>
      <c r="K1423" t="str">
        <f t="shared" si="156"/>
        <v>Self-Employed</v>
      </c>
      <c r="L1423">
        <v>7</v>
      </c>
      <c r="M1423">
        <v>1906470</v>
      </c>
      <c r="N1423">
        <f t="shared" si="157"/>
        <v>1906470</v>
      </c>
      <c r="O1423">
        <v>590442</v>
      </c>
      <c r="P1423">
        <v>13.83</v>
      </c>
      <c r="Q1423">
        <v>60</v>
      </c>
      <c r="R1423" t="s">
        <v>3047</v>
      </c>
      <c r="S1423" t="str">
        <f t="shared" si="158"/>
        <v>Personal</v>
      </c>
      <c r="T1423">
        <v>572</v>
      </c>
      <c r="U1423">
        <f t="shared" si="159"/>
        <v>572</v>
      </c>
      <c r="V1423">
        <v>4</v>
      </c>
      <c r="W1423" t="s">
        <v>3053</v>
      </c>
      <c r="X1423" s="3" t="s">
        <v>3573</v>
      </c>
      <c r="Y1423" s="3">
        <f t="shared" si="160"/>
        <v>44020</v>
      </c>
      <c r="Z1423">
        <v>0.30969999999999998</v>
      </c>
    </row>
    <row r="1424" spans="1:26" x14ac:dyDescent="0.35">
      <c r="A1424" t="s">
        <v>1424</v>
      </c>
      <c r="B1424" t="str">
        <f t="shared" si="154"/>
        <v>OK</v>
      </c>
      <c r="C1424" t="s">
        <v>2906</v>
      </c>
      <c r="D1424" s="2">
        <v>26</v>
      </c>
      <c r="E1424">
        <f>IF(OR(D1424&lt;18, D1424&gt;100),AD1423,D1424)</f>
        <v>26</v>
      </c>
      <c r="F1424" t="s">
        <v>2990</v>
      </c>
      <c r="G1424" t="str">
        <f t="shared" si="155"/>
        <v>Male</v>
      </c>
      <c r="H1424" t="s">
        <v>3007</v>
      </c>
      <c r="I1424" t="s">
        <v>3019</v>
      </c>
      <c r="K1424" t="str">
        <f t="shared" si="156"/>
        <v>Employed</v>
      </c>
      <c r="L1424">
        <v>29</v>
      </c>
      <c r="M1424">
        <v>470998</v>
      </c>
      <c r="N1424">
        <f t="shared" si="157"/>
        <v>470998</v>
      </c>
      <c r="O1424">
        <v>641781</v>
      </c>
      <c r="P1424">
        <v>15.92</v>
      </c>
      <c r="Q1424">
        <v>12</v>
      </c>
      <c r="R1424" t="s">
        <v>3051</v>
      </c>
      <c r="S1424" t="str">
        <f t="shared" si="158"/>
        <v>Education</v>
      </c>
      <c r="T1424">
        <v>493</v>
      </c>
      <c r="U1424">
        <f t="shared" si="159"/>
        <v>493</v>
      </c>
      <c r="V1424">
        <v>0</v>
      </c>
      <c r="W1424" t="s">
        <v>3057</v>
      </c>
      <c r="X1424" s="3" t="s">
        <v>3350</v>
      </c>
      <c r="Y1424" s="3">
        <f t="shared" si="160"/>
        <v>44586</v>
      </c>
      <c r="Z1424">
        <v>1.3626</v>
      </c>
    </row>
    <row r="1425" spans="1:26" x14ac:dyDescent="0.35">
      <c r="A1425" t="s">
        <v>1425</v>
      </c>
      <c r="B1425" t="str">
        <f t="shared" si="154"/>
        <v>OK</v>
      </c>
      <c r="C1425" t="s">
        <v>2907</v>
      </c>
      <c r="D1425" s="2">
        <v>47</v>
      </c>
      <c r="E1425">
        <f>IF(OR(D1425&lt;18, D1425&gt;100),AD1424,D1425)</f>
        <v>47</v>
      </c>
      <c r="F1425" t="s">
        <v>2992</v>
      </c>
      <c r="G1425" t="str">
        <f t="shared" si="155"/>
        <v>Female</v>
      </c>
      <c r="H1425" t="s">
        <v>3007</v>
      </c>
      <c r="I1425" t="s">
        <v>3019</v>
      </c>
      <c r="K1425" t="str">
        <f t="shared" si="156"/>
        <v>Employed</v>
      </c>
      <c r="L1425">
        <v>22</v>
      </c>
      <c r="M1425">
        <v>1298095</v>
      </c>
      <c r="N1425">
        <f t="shared" si="157"/>
        <v>1298095</v>
      </c>
      <c r="O1425">
        <v>573372</v>
      </c>
      <c r="P1425">
        <v>15.06</v>
      </c>
      <c r="Q1425">
        <v>48</v>
      </c>
      <c r="R1425" t="s">
        <v>3048</v>
      </c>
      <c r="S1425" t="str">
        <f t="shared" si="158"/>
        <v>Home Improvement</v>
      </c>
      <c r="T1425">
        <v>319</v>
      </c>
      <c r="U1425">
        <f t="shared" si="159"/>
        <v>319</v>
      </c>
      <c r="V1425">
        <v>4</v>
      </c>
      <c r="W1425" t="s">
        <v>3055</v>
      </c>
      <c r="X1425" s="3" t="s">
        <v>3162</v>
      </c>
      <c r="Y1425" s="3">
        <f t="shared" si="160"/>
        <v>44089</v>
      </c>
      <c r="Z1425">
        <v>0.44169999999999998</v>
      </c>
    </row>
    <row r="1426" spans="1:26" x14ac:dyDescent="0.35">
      <c r="A1426" t="s">
        <v>1426</v>
      </c>
      <c r="B1426" t="str">
        <f t="shared" si="154"/>
        <v>OK</v>
      </c>
      <c r="C1426" t="s">
        <v>2908</v>
      </c>
      <c r="D1426" s="2">
        <v>45</v>
      </c>
      <c r="E1426">
        <f>IF(OR(D1426&lt;18, D1426&gt;100),AD1425,D1426)</f>
        <v>45</v>
      </c>
      <c r="F1426" t="s">
        <v>2990</v>
      </c>
      <c r="G1426" t="str">
        <f t="shared" si="155"/>
        <v>Male</v>
      </c>
      <c r="H1426" t="s">
        <v>3007</v>
      </c>
      <c r="I1426" t="s">
        <v>3020</v>
      </c>
      <c r="K1426" t="str">
        <f t="shared" si="156"/>
        <v>Self-Employed</v>
      </c>
      <c r="L1426">
        <v>9</v>
      </c>
      <c r="M1426">
        <v>367771</v>
      </c>
      <c r="N1426">
        <f t="shared" si="157"/>
        <v>367771</v>
      </c>
      <c r="O1426">
        <v>589027</v>
      </c>
      <c r="P1426">
        <v>18.100000000000001</v>
      </c>
      <c r="Q1426">
        <v>60</v>
      </c>
      <c r="R1426" t="s">
        <v>3046</v>
      </c>
      <c r="S1426" t="str">
        <f t="shared" si="158"/>
        <v>Medical</v>
      </c>
      <c r="T1426">
        <v>462</v>
      </c>
      <c r="U1426">
        <f t="shared" si="159"/>
        <v>462</v>
      </c>
      <c r="V1426">
        <v>7</v>
      </c>
      <c r="W1426" t="s">
        <v>3052</v>
      </c>
      <c r="X1426" s="3" t="s">
        <v>3759</v>
      </c>
      <c r="Y1426" s="3">
        <f t="shared" si="160"/>
        <v>44284</v>
      </c>
      <c r="Z1426">
        <v>1.6015999999999999</v>
      </c>
    </row>
    <row r="1427" spans="1:26" x14ac:dyDescent="0.35">
      <c r="A1427" t="s">
        <v>1427</v>
      </c>
      <c r="B1427" t="str">
        <f t="shared" si="154"/>
        <v>OK</v>
      </c>
      <c r="C1427" t="s">
        <v>2909</v>
      </c>
      <c r="D1427" s="2">
        <v>53</v>
      </c>
      <c r="E1427">
        <f>IF(OR(D1427&lt;18, D1427&gt;100),AD1426,D1427)</f>
        <v>53</v>
      </c>
      <c r="F1427" t="s">
        <v>2992</v>
      </c>
      <c r="G1427" t="str">
        <f t="shared" si="155"/>
        <v>Female</v>
      </c>
      <c r="H1427" t="s">
        <v>2998</v>
      </c>
      <c r="I1427" t="s">
        <v>3021</v>
      </c>
      <c r="K1427" t="str">
        <f t="shared" si="156"/>
        <v>Unemployed</v>
      </c>
      <c r="L1427">
        <v>2</v>
      </c>
      <c r="M1427">
        <v>2086039</v>
      </c>
      <c r="N1427">
        <f t="shared" si="157"/>
        <v>2086039</v>
      </c>
      <c r="O1427">
        <v>330001</v>
      </c>
      <c r="P1427">
        <v>20.39</v>
      </c>
      <c r="Q1427">
        <v>60</v>
      </c>
      <c r="R1427" t="s">
        <v>3049</v>
      </c>
      <c r="S1427" t="str">
        <f t="shared" si="158"/>
        <v>Business</v>
      </c>
      <c r="T1427">
        <v>715</v>
      </c>
      <c r="U1427">
        <f t="shared" si="159"/>
        <v>715</v>
      </c>
      <c r="V1427">
        <v>0</v>
      </c>
      <c r="W1427" t="s">
        <v>3052</v>
      </c>
      <c r="X1427" s="3" t="s">
        <v>4029</v>
      </c>
      <c r="Y1427" s="3">
        <f t="shared" si="160"/>
        <v>44577</v>
      </c>
      <c r="Z1427">
        <v>0.15820000000000001</v>
      </c>
    </row>
    <row r="1428" spans="1:26" x14ac:dyDescent="0.35">
      <c r="A1428" t="s">
        <v>1428</v>
      </c>
      <c r="B1428" t="str">
        <f t="shared" si="154"/>
        <v>OK</v>
      </c>
      <c r="C1428" t="s">
        <v>2910</v>
      </c>
      <c r="D1428" s="2">
        <v>62</v>
      </c>
      <c r="E1428">
        <f>IF(OR(D1428&lt;18, D1428&gt;100),AD1427,D1428)</f>
        <v>62</v>
      </c>
      <c r="F1428" t="s">
        <v>2992</v>
      </c>
      <c r="G1428" t="str">
        <f t="shared" si="155"/>
        <v>Female</v>
      </c>
      <c r="H1428" t="s">
        <v>3004</v>
      </c>
      <c r="I1428" t="s">
        <v>3021</v>
      </c>
      <c r="K1428" t="str">
        <f t="shared" si="156"/>
        <v>Unemployed</v>
      </c>
      <c r="L1428">
        <v>2</v>
      </c>
      <c r="M1428">
        <v>668011</v>
      </c>
      <c r="N1428">
        <f t="shared" si="157"/>
        <v>668011</v>
      </c>
      <c r="O1428">
        <v>669969</v>
      </c>
      <c r="P1428">
        <v>21.23</v>
      </c>
      <c r="Q1428">
        <v>24</v>
      </c>
      <c r="R1428" t="s">
        <v>3049</v>
      </c>
      <c r="S1428" t="str">
        <f t="shared" si="158"/>
        <v>Business</v>
      </c>
      <c r="T1428">
        <v>356</v>
      </c>
      <c r="U1428">
        <f t="shared" si="159"/>
        <v>356</v>
      </c>
      <c r="V1428">
        <v>3</v>
      </c>
      <c r="W1428" t="s">
        <v>3057</v>
      </c>
      <c r="X1428" s="3" t="s">
        <v>4030</v>
      </c>
      <c r="Y1428" s="3">
        <f t="shared" si="160"/>
        <v>44988</v>
      </c>
      <c r="Z1428">
        <v>1.0028999999999999</v>
      </c>
    </row>
    <row r="1429" spans="1:26" x14ac:dyDescent="0.35">
      <c r="A1429" t="s">
        <v>1429</v>
      </c>
      <c r="B1429" t="str">
        <f t="shared" si="154"/>
        <v>OK</v>
      </c>
      <c r="C1429" t="s">
        <v>2911</v>
      </c>
      <c r="D1429" s="2">
        <v>29</v>
      </c>
      <c r="E1429">
        <f>IF(OR(D1429&lt;18, D1429&gt;100),AD1428,D1429)</f>
        <v>29</v>
      </c>
      <c r="F1429" t="s">
        <v>2990</v>
      </c>
      <c r="G1429" t="str">
        <f t="shared" si="155"/>
        <v>Male</v>
      </c>
      <c r="H1429" t="s">
        <v>3001</v>
      </c>
      <c r="I1429" t="s">
        <v>3020</v>
      </c>
      <c r="K1429" t="str">
        <f t="shared" si="156"/>
        <v>Self-Employed</v>
      </c>
      <c r="L1429">
        <v>13</v>
      </c>
      <c r="M1429">
        <v>1306825</v>
      </c>
      <c r="N1429">
        <f t="shared" si="157"/>
        <v>1306825</v>
      </c>
      <c r="O1429">
        <v>598526</v>
      </c>
      <c r="P1429">
        <v>17.36</v>
      </c>
      <c r="Q1429">
        <v>24</v>
      </c>
      <c r="R1429" t="s">
        <v>3049</v>
      </c>
      <c r="S1429" t="str">
        <f t="shared" si="158"/>
        <v>Business</v>
      </c>
      <c r="T1429">
        <v>308</v>
      </c>
      <c r="U1429">
        <f t="shared" si="159"/>
        <v>308</v>
      </c>
      <c r="V1429">
        <v>5</v>
      </c>
      <c r="W1429" t="s">
        <v>3052</v>
      </c>
      <c r="X1429" s="3" t="s">
        <v>3789</v>
      </c>
      <c r="Y1429" s="3">
        <f t="shared" si="160"/>
        <v>44535</v>
      </c>
      <c r="Z1429">
        <v>0.45800000000000002</v>
      </c>
    </row>
    <row r="1430" spans="1:26" x14ac:dyDescent="0.35">
      <c r="A1430" t="s">
        <v>1430</v>
      </c>
      <c r="B1430" t="str">
        <f t="shared" si="154"/>
        <v>OK</v>
      </c>
      <c r="C1430" t="s">
        <v>2912</v>
      </c>
      <c r="D1430" s="2">
        <v>34</v>
      </c>
      <c r="E1430">
        <f>IF(OR(D1430&lt;18, D1430&gt;100),AD1429,D1430)</f>
        <v>34</v>
      </c>
      <c r="F1430" t="s">
        <v>2992</v>
      </c>
      <c r="G1430" t="str">
        <f t="shared" si="155"/>
        <v>Female</v>
      </c>
      <c r="H1430" t="s">
        <v>3003</v>
      </c>
      <c r="I1430" t="s">
        <v>3018</v>
      </c>
      <c r="K1430" t="str">
        <f t="shared" si="156"/>
        <v>Business Owner</v>
      </c>
      <c r="L1430">
        <v>19</v>
      </c>
      <c r="M1430">
        <v>820473</v>
      </c>
      <c r="N1430">
        <f t="shared" si="157"/>
        <v>820473</v>
      </c>
      <c r="O1430">
        <v>129373</v>
      </c>
      <c r="P1430">
        <v>19.54</v>
      </c>
      <c r="Q1430">
        <v>36</v>
      </c>
      <c r="R1430" t="s">
        <v>3048</v>
      </c>
      <c r="S1430" t="str">
        <f t="shared" si="158"/>
        <v>Home Improvement</v>
      </c>
      <c r="T1430">
        <v>494</v>
      </c>
      <c r="U1430">
        <f t="shared" si="159"/>
        <v>494</v>
      </c>
      <c r="V1430">
        <v>4</v>
      </c>
      <c r="W1430" t="s">
        <v>3053</v>
      </c>
      <c r="X1430" s="3" t="s">
        <v>3348</v>
      </c>
      <c r="Y1430" s="3">
        <f t="shared" si="160"/>
        <v>45180</v>
      </c>
      <c r="Z1430">
        <v>0.15770000000000001</v>
      </c>
    </row>
    <row r="1431" spans="1:26" x14ac:dyDescent="0.35">
      <c r="A1431" t="s">
        <v>1431</v>
      </c>
      <c r="B1431" t="str">
        <f t="shared" si="154"/>
        <v>OK</v>
      </c>
      <c r="C1431" t="s">
        <v>2913</v>
      </c>
      <c r="D1431" s="2">
        <v>28</v>
      </c>
      <c r="E1431">
        <f>IF(OR(D1431&lt;18, D1431&gt;100),AD1430,D1431)</f>
        <v>28</v>
      </c>
      <c r="F1431" t="s">
        <v>2992</v>
      </c>
      <c r="G1431" t="str">
        <f t="shared" si="155"/>
        <v>Female</v>
      </c>
      <c r="H1431" t="s">
        <v>2999</v>
      </c>
      <c r="I1431" t="s">
        <v>3018</v>
      </c>
      <c r="K1431" t="str">
        <f t="shared" si="156"/>
        <v>Business Owner</v>
      </c>
      <c r="L1431">
        <v>3</v>
      </c>
      <c r="M1431">
        <v>2020634</v>
      </c>
      <c r="N1431">
        <f t="shared" si="157"/>
        <v>2020634</v>
      </c>
      <c r="O1431">
        <v>611202</v>
      </c>
      <c r="P1431">
        <v>25.7</v>
      </c>
      <c r="Q1431">
        <v>60</v>
      </c>
      <c r="R1431" t="s">
        <v>3046</v>
      </c>
      <c r="S1431" t="str">
        <f t="shared" si="158"/>
        <v>Medical</v>
      </c>
      <c r="T1431">
        <v>575</v>
      </c>
      <c r="U1431">
        <f t="shared" si="159"/>
        <v>575</v>
      </c>
      <c r="V1431">
        <v>7</v>
      </c>
      <c r="W1431" t="s">
        <v>3052</v>
      </c>
      <c r="X1431" s="3" t="s">
        <v>3877</v>
      </c>
      <c r="Y1431" s="3">
        <f t="shared" si="160"/>
        <v>44992</v>
      </c>
      <c r="Z1431">
        <v>0.30249999999999999</v>
      </c>
    </row>
    <row r="1432" spans="1:26" x14ac:dyDescent="0.35">
      <c r="A1432" t="s">
        <v>1432</v>
      </c>
      <c r="B1432" t="str">
        <f t="shared" si="154"/>
        <v>OK</v>
      </c>
      <c r="C1432" t="s">
        <v>2914</v>
      </c>
      <c r="D1432" s="2">
        <v>47</v>
      </c>
      <c r="E1432">
        <f>IF(OR(D1432&lt;18, D1432&gt;100),AD1431,D1432)</f>
        <v>47</v>
      </c>
      <c r="F1432" t="s">
        <v>2992</v>
      </c>
      <c r="G1432" t="str">
        <f t="shared" si="155"/>
        <v>Female</v>
      </c>
      <c r="H1432" t="s">
        <v>3002</v>
      </c>
      <c r="I1432" t="s">
        <v>3021</v>
      </c>
      <c r="K1432" t="str">
        <f t="shared" si="156"/>
        <v>Unemployed</v>
      </c>
      <c r="L1432">
        <v>23</v>
      </c>
      <c r="M1432">
        <v>670042</v>
      </c>
      <c r="N1432">
        <f t="shared" si="157"/>
        <v>670042</v>
      </c>
      <c r="O1432">
        <v>250604</v>
      </c>
      <c r="P1432">
        <v>8.01</v>
      </c>
      <c r="Q1432">
        <v>36</v>
      </c>
      <c r="R1432" t="s">
        <v>3049</v>
      </c>
      <c r="S1432" t="str">
        <f t="shared" si="158"/>
        <v>Business</v>
      </c>
      <c r="T1432">
        <v>601</v>
      </c>
      <c r="U1432">
        <f t="shared" si="159"/>
        <v>601</v>
      </c>
      <c r="V1432">
        <v>6</v>
      </c>
      <c r="W1432" t="s">
        <v>3057</v>
      </c>
      <c r="X1432" s="3" t="s">
        <v>4031</v>
      </c>
      <c r="Y1432" s="3">
        <f t="shared" si="160"/>
        <v>45037</v>
      </c>
      <c r="Z1432">
        <v>0.374</v>
      </c>
    </row>
    <row r="1433" spans="1:26" x14ac:dyDescent="0.35">
      <c r="A1433" t="s">
        <v>1433</v>
      </c>
      <c r="B1433" t="str">
        <f t="shared" si="154"/>
        <v>OK</v>
      </c>
      <c r="C1433" t="s">
        <v>2915</v>
      </c>
      <c r="D1433" s="2">
        <v>62</v>
      </c>
      <c r="E1433">
        <f>IF(OR(D1433&lt;18, D1433&gt;100),AD1432,D1433)</f>
        <v>62</v>
      </c>
      <c r="F1433" t="s">
        <v>2992</v>
      </c>
      <c r="G1433" t="str">
        <f t="shared" si="155"/>
        <v>Female</v>
      </c>
      <c r="H1433" t="s">
        <v>3001</v>
      </c>
      <c r="I1433" t="s">
        <v>3018</v>
      </c>
      <c r="K1433" t="str">
        <f t="shared" si="156"/>
        <v>Business Owner</v>
      </c>
      <c r="L1433">
        <v>4</v>
      </c>
      <c r="M1433">
        <v>230861</v>
      </c>
      <c r="N1433">
        <f t="shared" si="157"/>
        <v>230861</v>
      </c>
      <c r="O1433">
        <v>243461</v>
      </c>
      <c r="P1433">
        <v>21.14</v>
      </c>
      <c r="Q1433">
        <v>12</v>
      </c>
      <c r="R1433" t="s">
        <v>3049</v>
      </c>
      <c r="S1433" t="str">
        <f t="shared" si="158"/>
        <v>Business</v>
      </c>
      <c r="T1433">
        <v>613</v>
      </c>
      <c r="U1433">
        <f t="shared" si="159"/>
        <v>613</v>
      </c>
      <c r="V1433">
        <v>5</v>
      </c>
      <c r="W1433" t="s">
        <v>3054</v>
      </c>
      <c r="X1433" s="3" t="s">
        <v>3375</v>
      </c>
      <c r="Y1433" s="3">
        <f t="shared" si="160"/>
        <v>44494</v>
      </c>
      <c r="Z1433">
        <v>1.0546</v>
      </c>
    </row>
    <row r="1434" spans="1:26" x14ac:dyDescent="0.35">
      <c r="A1434" t="s">
        <v>1434</v>
      </c>
      <c r="B1434" t="str">
        <f t="shared" si="154"/>
        <v>OK</v>
      </c>
      <c r="C1434" t="s">
        <v>2916</v>
      </c>
      <c r="D1434" s="2">
        <v>41</v>
      </c>
      <c r="E1434">
        <f>IF(OR(D1434&lt;18, D1434&gt;100),AD1433,D1434)</f>
        <v>41</v>
      </c>
      <c r="F1434" t="s">
        <v>2990</v>
      </c>
      <c r="G1434" t="str">
        <f t="shared" si="155"/>
        <v>Male</v>
      </c>
      <c r="H1434" t="s">
        <v>3006</v>
      </c>
      <c r="I1434" t="s">
        <v>3019</v>
      </c>
      <c r="K1434" t="str">
        <f t="shared" si="156"/>
        <v>Employed</v>
      </c>
      <c r="L1434">
        <v>0</v>
      </c>
      <c r="M1434">
        <v>1713854</v>
      </c>
      <c r="N1434">
        <f t="shared" si="157"/>
        <v>1713854</v>
      </c>
      <c r="O1434">
        <v>549274</v>
      </c>
      <c r="P1434">
        <v>21.79</v>
      </c>
      <c r="Q1434">
        <v>48</v>
      </c>
      <c r="R1434" t="s">
        <v>3051</v>
      </c>
      <c r="S1434" t="str">
        <f t="shared" si="158"/>
        <v>Education</v>
      </c>
      <c r="T1434">
        <v>427</v>
      </c>
      <c r="U1434">
        <f t="shared" si="159"/>
        <v>427</v>
      </c>
      <c r="V1434">
        <v>1</v>
      </c>
      <c r="W1434" t="s">
        <v>3053</v>
      </c>
      <c r="X1434" s="3" t="s">
        <v>4032</v>
      </c>
      <c r="Y1434" s="3">
        <f t="shared" si="160"/>
        <v>44765</v>
      </c>
      <c r="Z1434">
        <v>0.32050000000000001</v>
      </c>
    </row>
    <row r="1435" spans="1:26" x14ac:dyDescent="0.35">
      <c r="A1435" t="s">
        <v>1435</v>
      </c>
      <c r="B1435" t="str">
        <f t="shared" si="154"/>
        <v>OK</v>
      </c>
      <c r="C1435" t="s">
        <v>2917</v>
      </c>
      <c r="D1435" s="2">
        <v>21</v>
      </c>
      <c r="E1435">
        <f>IF(OR(D1435&lt;18, D1435&gt;100),AD1434,D1435)</f>
        <v>21</v>
      </c>
      <c r="F1435" t="s">
        <v>2990</v>
      </c>
      <c r="G1435" t="str">
        <f t="shared" si="155"/>
        <v>Male</v>
      </c>
      <c r="H1435" t="s">
        <v>2999</v>
      </c>
      <c r="I1435" t="s">
        <v>3019</v>
      </c>
      <c r="K1435" t="str">
        <f t="shared" si="156"/>
        <v>Employed</v>
      </c>
      <c r="L1435">
        <v>17</v>
      </c>
      <c r="M1435">
        <v>822613</v>
      </c>
      <c r="N1435">
        <f t="shared" si="157"/>
        <v>822613</v>
      </c>
      <c r="O1435">
        <v>465150</v>
      </c>
      <c r="P1435">
        <v>23.24</v>
      </c>
      <c r="Q1435">
        <v>24</v>
      </c>
      <c r="R1435" t="s">
        <v>3048</v>
      </c>
      <c r="S1435" t="str">
        <f t="shared" si="158"/>
        <v>Home Improvement</v>
      </c>
      <c r="T1435">
        <v>557</v>
      </c>
      <c r="U1435">
        <f t="shared" si="159"/>
        <v>557</v>
      </c>
      <c r="V1435">
        <v>3</v>
      </c>
      <c r="W1435" t="s">
        <v>3054</v>
      </c>
      <c r="X1435" s="3" t="s">
        <v>3579</v>
      </c>
      <c r="Y1435" s="3">
        <f t="shared" si="160"/>
        <v>44088</v>
      </c>
      <c r="Z1435">
        <v>0.5655</v>
      </c>
    </row>
    <row r="1436" spans="1:26" x14ac:dyDescent="0.35">
      <c r="A1436" t="s">
        <v>1436</v>
      </c>
      <c r="B1436" t="str">
        <f t="shared" si="154"/>
        <v>OK</v>
      </c>
      <c r="C1436" t="s">
        <v>2919</v>
      </c>
      <c r="D1436" s="2">
        <v>61</v>
      </c>
      <c r="E1436">
        <f>IF(OR(D1436&lt;18, D1436&gt;100),AD1435,D1436)</f>
        <v>61</v>
      </c>
      <c r="F1436" t="s">
        <v>2990</v>
      </c>
      <c r="G1436" t="str">
        <f t="shared" si="155"/>
        <v>Male</v>
      </c>
      <c r="H1436" t="s">
        <v>3005</v>
      </c>
      <c r="I1436" t="s">
        <v>3020</v>
      </c>
      <c r="K1436" t="str">
        <f t="shared" si="156"/>
        <v>Self-Employed</v>
      </c>
      <c r="L1436">
        <v>26</v>
      </c>
      <c r="M1436">
        <v>1281844</v>
      </c>
      <c r="N1436">
        <f t="shared" si="157"/>
        <v>1281844</v>
      </c>
      <c r="O1436">
        <v>493958</v>
      </c>
      <c r="P1436">
        <v>21.57</v>
      </c>
      <c r="Q1436">
        <v>12</v>
      </c>
      <c r="R1436" t="s">
        <v>3050</v>
      </c>
      <c r="S1436" t="str">
        <f t="shared" si="158"/>
        <v>Agriculture</v>
      </c>
      <c r="T1436">
        <v>583</v>
      </c>
      <c r="U1436">
        <f t="shared" si="159"/>
        <v>583</v>
      </c>
      <c r="V1436">
        <v>1</v>
      </c>
      <c r="W1436" t="s">
        <v>3054</v>
      </c>
      <c r="X1436" s="3" t="s">
        <v>4028</v>
      </c>
      <c r="Y1436" s="3">
        <f t="shared" si="160"/>
        <v>44652</v>
      </c>
      <c r="Z1436">
        <v>0.38529999999999998</v>
      </c>
    </row>
    <row r="1437" spans="1:26" x14ac:dyDescent="0.35">
      <c r="A1437" t="s">
        <v>1437</v>
      </c>
      <c r="B1437" t="str">
        <f t="shared" si="154"/>
        <v>OK</v>
      </c>
      <c r="C1437" t="s">
        <v>2920</v>
      </c>
      <c r="D1437" s="2">
        <v>26</v>
      </c>
      <c r="E1437">
        <f>IF(OR(D1437&lt;18, D1437&gt;100),AD1436,D1437)</f>
        <v>26</v>
      </c>
      <c r="F1437" t="s">
        <v>2992</v>
      </c>
      <c r="G1437" t="str">
        <f t="shared" si="155"/>
        <v>Female</v>
      </c>
      <c r="H1437" t="s">
        <v>2998</v>
      </c>
      <c r="I1437" t="s">
        <v>3018</v>
      </c>
      <c r="K1437" t="str">
        <f t="shared" si="156"/>
        <v>Business Owner</v>
      </c>
      <c r="L1437">
        <v>15</v>
      </c>
      <c r="M1437">
        <v>1407165</v>
      </c>
      <c r="N1437">
        <f t="shared" si="157"/>
        <v>1407165</v>
      </c>
      <c r="O1437">
        <v>222346</v>
      </c>
      <c r="P1437">
        <v>18.21</v>
      </c>
      <c r="Q1437">
        <v>24</v>
      </c>
      <c r="S1437" t="str">
        <f t="shared" si="158"/>
        <v>Unknown</v>
      </c>
      <c r="T1437">
        <v>532</v>
      </c>
      <c r="U1437">
        <f t="shared" si="159"/>
        <v>532</v>
      </c>
      <c r="V1437">
        <v>1</v>
      </c>
      <c r="W1437" t="s">
        <v>3054</v>
      </c>
      <c r="X1437" s="3" t="s">
        <v>4034</v>
      </c>
      <c r="Y1437" s="3">
        <f t="shared" si="160"/>
        <v>44224</v>
      </c>
      <c r="Z1437">
        <v>0.158</v>
      </c>
    </row>
    <row r="1438" spans="1:26" x14ac:dyDescent="0.35">
      <c r="A1438" t="s">
        <v>1438</v>
      </c>
      <c r="B1438" t="str">
        <f t="shared" si="154"/>
        <v>OK</v>
      </c>
      <c r="C1438" t="s">
        <v>2921</v>
      </c>
      <c r="D1438" s="2">
        <v>56</v>
      </c>
      <c r="E1438">
        <f>IF(OR(D1438&lt;18, D1438&gt;100),AD1437,D1438)</f>
        <v>56</v>
      </c>
      <c r="F1438" t="s">
        <v>2992</v>
      </c>
      <c r="G1438" t="str">
        <f t="shared" si="155"/>
        <v>Female</v>
      </c>
      <c r="H1438" t="s">
        <v>2999</v>
      </c>
      <c r="I1438" t="s">
        <v>3021</v>
      </c>
      <c r="K1438" t="str">
        <f t="shared" si="156"/>
        <v>Unemployed</v>
      </c>
      <c r="L1438">
        <v>20</v>
      </c>
      <c r="M1438">
        <v>1718112</v>
      </c>
      <c r="N1438">
        <f t="shared" si="157"/>
        <v>1718112</v>
      </c>
      <c r="O1438">
        <v>629312</v>
      </c>
      <c r="P1438">
        <v>21.16</v>
      </c>
      <c r="Q1438">
        <v>24</v>
      </c>
      <c r="R1438" t="s">
        <v>3046</v>
      </c>
      <c r="S1438" t="str">
        <f t="shared" si="158"/>
        <v>Medical</v>
      </c>
      <c r="T1438">
        <v>319</v>
      </c>
      <c r="U1438">
        <f t="shared" si="159"/>
        <v>319</v>
      </c>
      <c r="V1438">
        <v>4</v>
      </c>
      <c r="W1438" t="s">
        <v>3057</v>
      </c>
      <c r="X1438" s="3" t="s">
        <v>4035</v>
      </c>
      <c r="Y1438" s="3">
        <f t="shared" si="160"/>
        <v>44304</v>
      </c>
      <c r="Z1438">
        <v>0.36630000000000001</v>
      </c>
    </row>
    <row r="1439" spans="1:26" x14ac:dyDescent="0.35">
      <c r="A1439" t="s">
        <v>1439</v>
      </c>
      <c r="B1439" t="str">
        <f t="shared" si="154"/>
        <v>OK</v>
      </c>
      <c r="C1439" t="s">
        <v>2922</v>
      </c>
      <c r="D1439" s="2">
        <v>38</v>
      </c>
      <c r="E1439">
        <f>IF(OR(D1439&lt;18, D1439&gt;100),AD1438,D1439)</f>
        <v>38</v>
      </c>
      <c r="F1439" t="s">
        <v>2992</v>
      </c>
      <c r="G1439" t="str">
        <f t="shared" si="155"/>
        <v>Female</v>
      </c>
      <c r="H1439" t="s">
        <v>3001</v>
      </c>
      <c r="I1439" t="s">
        <v>3018</v>
      </c>
      <c r="K1439" t="str">
        <f t="shared" si="156"/>
        <v>Business Owner</v>
      </c>
      <c r="L1439">
        <v>28</v>
      </c>
      <c r="M1439">
        <v>1645744</v>
      </c>
      <c r="N1439">
        <f t="shared" si="157"/>
        <v>1645744</v>
      </c>
      <c r="O1439">
        <v>336463</v>
      </c>
      <c r="P1439">
        <v>16.3</v>
      </c>
      <c r="Q1439">
        <v>12</v>
      </c>
      <c r="R1439" t="s">
        <v>3046</v>
      </c>
      <c r="S1439" t="str">
        <f t="shared" si="158"/>
        <v>Medical</v>
      </c>
      <c r="T1439">
        <v>546</v>
      </c>
      <c r="U1439">
        <f t="shared" si="159"/>
        <v>546</v>
      </c>
      <c r="V1439">
        <v>5</v>
      </c>
      <c r="W1439" t="s">
        <v>3056</v>
      </c>
      <c r="X1439" s="3" t="s">
        <v>4024</v>
      </c>
      <c r="Y1439" s="3">
        <f t="shared" si="160"/>
        <v>44321</v>
      </c>
      <c r="Z1439">
        <v>0.2044</v>
      </c>
    </row>
    <row r="1440" spans="1:26" x14ac:dyDescent="0.35">
      <c r="A1440" t="s">
        <v>1440</v>
      </c>
      <c r="B1440" t="str">
        <f t="shared" si="154"/>
        <v>OK</v>
      </c>
      <c r="C1440" t="s">
        <v>2923</v>
      </c>
      <c r="D1440" s="2">
        <v>43</v>
      </c>
      <c r="E1440">
        <f>IF(OR(D1440&lt;18, D1440&gt;100),AD1439,D1440)</f>
        <v>43</v>
      </c>
      <c r="F1440" t="s">
        <v>2992</v>
      </c>
      <c r="G1440" t="str">
        <f t="shared" si="155"/>
        <v>Female</v>
      </c>
      <c r="H1440" t="s">
        <v>2999</v>
      </c>
      <c r="I1440" t="s">
        <v>3018</v>
      </c>
      <c r="K1440" t="str">
        <f t="shared" si="156"/>
        <v>Business Owner</v>
      </c>
      <c r="L1440">
        <v>2</v>
      </c>
      <c r="M1440">
        <v>1022186</v>
      </c>
      <c r="N1440">
        <f t="shared" si="157"/>
        <v>1022186</v>
      </c>
      <c r="O1440">
        <v>285976</v>
      </c>
      <c r="P1440">
        <v>20.12</v>
      </c>
      <c r="Q1440">
        <v>36</v>
      </c>
      <c r="R1440" t="s">
        <v>3049</v>
      </c>
      <c r="S1440" t="str">
        <f t="shared" si="158"/>
        <v>Business</v>
      </c>
      <c r="T1440">
        <v>662</v>
      </c>
      <c r="U1440">
        <f t="shared" si="159"/>
        <v>662</v>
      </c>
      <c r="V1440">
        <v>6</v>
      </c>
      <c r="W1440" t="s">
        <v>3052</v>
      </c>
      <c r="X1440" s="3" t="s">
        <v>3695</v>
      </c>
      <c r="Y1440" s="3">
        <f t="shared" si="160"/>
        <v>44402</v>
      </c>
      <c r="Z1440">
        <v>0.27979999999999999</v>
      </c>
    </row>
    <row r="1441" spans="1:26" x14ac:dyDescent="0.35">
      <c r="A1441" t="s">
        <v>1441</v>
      </c>
      <c r="B1441" t="str">
        <f t="shared" si="154"/>
        <v>OK</v>
      </c>
      <c r="C1441" t="s">
        <v>2924</v>
      </c>
      <c r="D1441" s="2">
        <v>39</v>
      </c>
      <c r="E1441">
        <f>IF(OR(D1441&lt;18, D1441&gt;100),AD1440,D1441)</f>
        <v>39</v>
      </c>
      <c r="F1441" t="s">
        <v>2990</v>
      </c>
      <c r="G1441" t="str">
        <f t="shared" si="155"/>
        <v>Male</v>
      </c>
      <c r="H1441" t="s">
        <v>2999</v>
      </c>
      <c r="I1441" t="s">
        <v>3019</v>
      </c>
      <c r="K1441" t="str">
        <f t="shared" si="156"/>
        <v>Employed</v>
      </c>
      <c r="L1441">
        <v>21</v>
      </c>
      <c r="M1441">
        <v>1477076</v>
      </c>
      <c r="N1441">
        <f t="shared" si="157"/>
        <v>1477076</v>
      </c>
      <c r="O1441">
        <v>79234</v>
      </c>
      <c r="P1441">
        <v>8.1300000000000008</v>
      </c>
      <c r="Q1441">
        <v>36</v>
      </c>
      <c r="R1441" t="s">
        <v>3047</v>
      </c>
      <c r="S1441" t="str">
        <f t="shared" si="158"/>
        <v>Personal</v>
      </c>
      <c r="T1441">
        <v>569</v>
      </c>
      <c r="U1441">
        <f t="shared" si="159"/>
        <v>569</v>
      </c>
      <c r="V1441">
        <v>1</v>
      </c>
      <c r="W1441" t="s">
        <v>3052</v>
      </c>
      <c r="X1441" s="3" t="s">
        <v>4036</v>
      </c>
      <c r="Y1441" s="3">
        <f t="shared" si="160"/>
        <v>44276</v>
      </c>
      <c r="Z1441">
        <v>5.3600000000000002E-2</v>
      </c>
    </row>
    <row r="1442" spans="1:26" x14ac:dyDescent="0.35">
      <c r="A1442" t="s">
        <v>1442</v>
      </c>
      <c r="B1442" t="str">
        <f t="shared" si="154"/>
        <v>OK</v>
      </c>
      <c r="C1442" t="s">
        <v>2925</v>
      </c>
      <c r="D1442" s="2">
        <v>43</v>
      </c>
      <c r="E1442">
        <f>IF(OR(D1442&lt;18, D1442&gt;100),AD1441,D1442)</f>
        <v>43</v>
      </c>
      <c r="F1442" t="s">
        <v>2992</v>
      </c>
      <c r="G1442" t="str">
        <f t="shared" si="155"/>
        <v>Female</v>
      </c>
      <c r="H1442" t="s">
        <v>3001</v>
      </c>
      <c r="I1442" t="s">
        <v>3018</v>
      </c>
      <c r="K1442" t="str">
        <f t="shared" si="156"/>
        <v>Business Owner</v>
      </c>
      <c r="L1442">
        <v>12</v>
      </c>
      <c r="M1442">
        <v>542462</v>
      </c>
      <c r="N1442">
        <f t="shared" si="157"/>
        <v>542462</v>
      </c>
      <c r="O1442">
        <v>231144</v>
      </c>
      <c r="P1442">
        <v>22.81</v>
      </c>
      <c r="Q1442">
        <v>12</v>
      </c>
      <c r="R1442" t="s">
        <v>3051</v>
      </c>
      <c r="S1442" t="str">
        <f t="shared" si="158"/>
        <v>Education</v>
      </c>
      <c r="T1442">
        <v>499</v>
      </c>
      <c r="U1442">
        <f t="shared" si="159"/>
        <v>499</v>
      </c>
      <c r="V1442">
        <v>4</v>
      </c>
      <c r="W1442" t="s">
        <v>3055</v>
      </c>
      <c r="X1442" s="3" t="s">
        <v>4037</v>
      </c>
      <c r="Y1442" s="3">
        <f t="shared" si="160"/>
        <v>43938</v>
      </c>
      <c r="Z1442">
        <v>0.42609999999999998</v>
      </c>
    </row>
    <row r="1443" spans="1:26" x14ac:dyDescent="0.35">
      <c r="A1443" t="s">
        <v>1443</v>
      </c>
      <c r="B1443" t="str">
        <f t="shared" si="154"/>
        <v>OK</v>
      </c>
      <c r="C1443" t="s">
        <v>2926</v>
      </c>
      <c r="D1443" s="2">
        <v>45</v>
      </c>
      <c r="E1443">
        <f>IF(OR(D1443&lt;18, D1443&gt;100),AD1442,D1443)</f>
        <v>45</v>
      </c>
      <c r="F1443" t="s">
        <v>2990</v>
      </c>
      <c r="G1443" t="str">
        <f t="shared" si="155"/>
        <v>Male</v>
      </c>
      <c r="H1443" t="s">
        <v>3003</v>
      </c>
      <c r="I1443" t="s">
        <v>3020</v>
      </c>
      <c r="K1443" t="str">
        <f t="shared" si="156"/>
        <v>Self-Employed</v>
      </c>
      <c r="L1443">
        <v>26</v>
      </c>
      <c r="M1443">
        <v>538690</v>
      </c>
      <c r="N1443">
        <f t="shared" si="157"/>
        <v>538690</v>
      </c>
      <c r="O1443">
        <v>75841</v>
      </c>
      <c r="P1443">
        <v>9.01</v>
      </c>
      <c r="Q1443">
        <v>60</v>
      </c>
      <c r="R1443" t="s">
        <v>3046</v>
      </c>
      <c r="S1443" t="str">
        <f t="shared" si="158"/>
        <v>Medical</v>
      </c>
      <c r="T1443">
        <v>591</v>
      </c>
      <c r="U1443">
        <f t="shared" si="159"/>
        <v>591</v>
      </c>
      <c r="V1443">
        <v>1</v>
      </c>
      <c r="W1443" t="s">
        <v>3057</v>
      </c>
      <c r="X1443" s="3" t="s">
        <v>4038</v>
      </c>
      <c r="Y1443" s="3">
        <f t="shared" si="160"/>
        <v>44414</v>
      </c>
      <c r="Z1443">
        <v>0.14080000000000001</v>
      </c>
    </row>
    <row r="1444" spans="1:26" x14ac:dyDescent="0.35">
      <c r="A1444" t="s">
        <v>1444</v>
      </c>
      <c r="B1444" t="str">
        <f t="shared" si="154"/>
        <v>OK</v>
      </c>
      <c r="C1444" t="s">
        <v>2927</v>
      </c>
      <c r="D1444" s="2">
        <v>36</v>
      </c>
      <c r="E1444">
        <f>IF(OR(D1444&lt;18, D1444&gt;100),AD1443,D1444)</f>
        <v>36</v>
      </c>
      <c r="F1444" t="s">
        <v>2990</v>
      </c>
      <c r="G1444" t="str">
        <f t="shared" si="155"/>
        <v>Male</v>
      </c>
      <c r="H1444" t="s">
        <v>2999</v>
      </c>
      <c r="I1444" t="s">
        <v>3019</v>
      </c>
      <c r="K1444" t="str">
        <f t="shared" si="156"/>
        <v>Employed</v>
      </c>
      <c r="L1444">
        <v>18</v>
      </c>
      <c r="M1444">
        <v>324539</v>
      </c>
      <c r="N1444">
        <f t="shared" si="157"/>
        <v>324539</v>
      </c>
      <c r="O1444">
        <v>0</v>
      </c>
      <c r="P1444">
        <v>12.6</v>
      </c>
      <c r="Q1444">
        <v>24</v>
      </c>
      <c r="R1444" t="s">
        <v>3049</v>
      </c>
      <c r="S1444" t="str">
        <f t="shared" si="158"/>
        <v>Business</v>
      </c>
      <c r="T1444">
        <v>681</v>
      </c>
      <c r="U1444">
        <f t="shared" si="159"/>
        <v>681</v>
      </c>
      <c r="V1444">
        <v>2</v>
      </c>
      <c r="W1444" t="s">
        <v>3055</v>
      </c>
      <c r="X1444" s="3" t="s">
        <v>4039</v>
      </c>
      <c r="Y1444" s="3">
        <f t="shared" si="160"/>
        <v>44098</v>
      </c>
      <c r="Z1444">
        <v>0.54730000000000001</v>
      </c>
    </row>
    <row r="1445" spans="1:26" x14ac:dyDescent="0.35">
      <c r="A1445" t="s">
        <v>1445</v>
      </c>
      <c r="B1445" t="str">
        <f t="shared" si="154"/>
        <v>OK</v>
      </c>
      <c r="C1445" t="s">
        <v>2928</v>
      </c>
      <c r="D1445" s="2">
        <v>23</v>
      </c>
      <c r="E1445">
        <f>IF(OR(D1445&lt;18, D1445&gt;100),AD1444,D1445)</f>
        <v>23</v>
      </c>
      <c r="F1445" t="s">
        <v>2990</v>
      </c>
      <c r="G1445" t="str">
        <f t="shared" si="155"/>
        <v>Male</v>
      </c>
      <c r="H1445" t="s">
        <v>3001</v>
      </c>
      <c r="I1445" t="s">
        <v>3019</v>
      </c>
      <c r="K1445" t="str">
        <f t="shared" si="156"/>
        <v>Employed</v>
      </c>
      <c r="L1445">
        <v>9</v>
      </c>
      <c r="M1445">
        <v>1252358</v>
      </c>
      <c r="N1445">
        <f t="shared" si="157"/>
        <v>1252358</v>
      </c>
      <c r="O1445">
        <v>689260</v>
      </c>
      <c r="P1445">
        <v>10.36</v>
      </c>
      <c r="Q1445">
        <v>48</v>
      </c>
      <c r="R1445" t="s">
        <v>3049</v>
      </c>
      <c r="S1445" t="str">
        <f t="shared" si="158"/>
        <v>Business</v>
      </c>
      <c r="T1445">
        <v>796</v>
      </c>
      <c r="U1445">
        <f t="shared" si="159"/>
        <v>796</v>
      </c>
      <c r="V1445">
        <v>2</v>
      </c>
      <c r="W1445" t="s">
        <v>3054</v>
      </c>
      <c r="X1445" s="3" t="s">
        <v>4040</v>
      </c>
      <c r="Y1445" s="3">
        <f t="shared" si="160"/>
        <v>43894</v>
      </c>
      <c r="Z1445">
        <v>0.5504</v>
      </c>
    </row>
    <row r="1446" spans="1:26" x14ac:dyDescent="0.35">
      <c r="A1446" t="s">
        <v>1446</v>
      </c>
      <c r="B1446" t="str">
        <f t="shared" si="154"/>
        <v>OK</v>
      </c>
      <c r="C1446" t="s">
        <v>2929</v>
      </c>
      <c r="D1446" s="2">
        <v>56</v>
      </c>
      <c r="E1446">
        <f>IF(OR(D1446&lt;18, D1446&gt;100),AD1445,D1446)</f>
        <v>56</v>
      </c>
      <c r="F1446" t="s">
        <v>2990</v>
      </c>
      <c r="G1446" t="str">
        <f t="shared" si="155"/>
        <v>Male</v>
      </c>
      <c r="H1446" t="s">
        <v>3002</v>
      </c>
      <c r="I1446" t="s">
        <v>3020</v>
      </c>
      <c r="K1446" t="str">
        <f t="shared" si="156"/>
        <v>Self-Employed</v>
      </c>
      <c r="L1446">
        <v>1</v>
      </c>
      <c r="M1446">
        <v>2167755</v>
      </c>
      <c r="N1446">
        <f t="shared" si="157"/>
        <v>2167755</v>
      </c>
      <c r="O1446">
        <v>94601</v>
      </c>
      <c r="P1446">
        <v>17.350000000000001</v>
      </c>
      <c r="Q1446">
        <v>48</v>
      </c>
      <c r="R1446" t="s">
        <v>3051</v>
      </c>
      <c r="S1446" t="str">
        <f t="shared" si="158"/>
        <v>Education</v>
      </c>
      <c r="T1446">
        <v>730</v>
      </c>
      <c r="U1446">
        <f t="shared" si="159"/>
        <v>730</v>
      </c>
      <c r="V1446">
        <v>6</v>
      </c>
      <c r="W1446" t="s">
        <v>3052</v>
      </c>
      <c r="X1446" s="3" t="s">
        <v>4041</v>
      </c>
      <c r="Y1446" s="3">
        <f t="shared" si="160"/>
        <v>44462</v>
      </c>
      <c r="Z1446">
        <v>4.36E-2</v>
      </c>
    </row>
    <row r="1447" spans="1:26" x14ac:dyDescent="0.35">
      <c r="A1447" t="s">
        <v>1447</v>
      </c>
      <c r="B1447" t="str">
        <f t="shared" si="154"/>
        <v>OK</v>
      </c>
      <c r="C1447" t="s">
        <v>2930</v>
      </c>
      <c r="D1447" s="2">
        <v>40</v>
      </c>
      <c r="E1447">
        <f>IF(OR(D1447&lt;18, D1447&gt;100),AD1446,D1447)</f>
        <v>40</v>
      </c>
      <c r="F1447" t="s">
        <v>2992</v>
      </c>
      <c r="G1447" t="str">
        <f t="shared" si="155"/>
        <v>Female</v>
      </c>
      <c r="H1447" t="s">
        <v>2998</v>
      </c>
      <c r="I1447" t="s">
        <v>3019</v>
      </c>
      <c r="K1447" t="str">
        <f t="shared" si="156"/>
        <v>Employed</v>
      </c>
      <c r="L1447">
        <v>25</v>
      </c>
      <c r="M1447">
        <v>1416180</v>
      </c>
      <c r="N1447">
        <f t="shared" si="157"/>
        <v>1416180</v>
      </c>
      <c r="O1447">
        <v>237813</v>
      </c>
      <c r="P1447">
        <v>10.3</v>
      </c>
      <c r="Q1447">
        <v>12</v>
      </c>
      <c r="R1447" t="s">
        <v>3049</v>
      </c>
      <c r="S1447" t="str">
        <f t="shared" si="158"/>
        <v>Business</v>
      </c>
      <c r="T1447">
        <v>330</v>
      </c>
      <c r="U1447">
        <f t="shared" si="159"/>
        <v>330</v>
      </c>
      <c r="V1447">
        <v>7</v>
      </c>
      <c r="W1447" t="s">
        <v>3052</v>
      </c>
      <c r="X1447" s="3" t="s">
        <v>3413</v>
      </c>
      <c r="Y1447" s="3">
        <f t="shared" si="160"/>
        <v>44269</v>
      </c>
      <c r="Z1447">
        <v>0.16789999999999999</v>
      </c>
    </row>
    <row r="1448" spans="1:26" x14ac:dyDescent="0.35">
      <c r="A1448" t="s">
        <v>1448</v>
      </c>
      <c r="B1448" t="str">
        <f t="shared" si="154"/>
        <v>OK</v>
      </c>
      <c r="C1448" t="s">
        <v>2931</v>
      </c>
      <c r="D1448" s="2">
        <v>25</v>
      </c>
      <c r="E1448">
        <f>IF(OR(D1448&lt;18, D1448&gt;100),AD1447,D1448)</f>
        <v>25</v>
      </c>
      <c r="F1448" t="s">
        <v>2992</v>
      </c>
      <c r="G1448" t="str">
        <f t="shared" si="155"/>
        <v>Female</v>
      </c>
      <c r="H1448" t="s">
        <v>3006</v>
      </c>
      <c r="I1448" t="s">
        <v>3019</v>
      </c>
      <c r="K1448" t="str">
        <f t="shared" si="156"/>
        <v>Employed</v>
      </c>
      <c r="L1448">
        <v>27</v>
      </c>
      <c r="M1448">
        <v>1004143</v>
      </c>
      <c r="N1448">
        <f t="shared" si="157"/>
        <v>1004143</v>
      </c>
      <c r="O1448">
        <v>584430</v>
      </c>
      <c r="P1448">
        <v>23.29</v>
      </c>
      <c r="Q1448">
        <v>24</v>
      </c>
      <c r="R1448" t="s">
        <v>3048</v>
      </c>
      <c r="S1448" t="str">
        <f t="shared" si="158"/>
        <v>Home Improvement</v>
      </c>
      <c r="T1448">
        <v>507</v>
      </c>
      <c r="U1448">
        <f t="shared" si="159"/>
        <v>507</v>
      </c>
      <c r="V1448">
        <v>1</v>
      </c>
      <c r="W1448" t="s">
        <v>3055</v>
      </c>
      <c r="X1448" s="3" t="s">
        <v>4042</v>
      </c>
      <c r="Y1448" s="3">
        <f t="shared" si="160"/>
        <v>44842</v>
      </c>
      <c r="Z1448">
        <v>0.58199999999999996</v>
      </c>
    </row>
    <row r="1449" spans="1:26" x14ac:dyDescent="0.35">
      <c r="A1449" t="s">
        <v>1449</v>
      </c>
      <c r="B1449" t="str">
        <f t="shared" si="154"/>
        <v>OK</v>
      </c>
      <c r="C1449" t="s">
        <v>2932</v>
      </c>
      <c r="D1449" s="2">
        <v>28</v>
      </c>
      <c r="E1449">
        <f>IF(OR(D1449&lt;18, D1449&gt;100),AD1448,D1449)</f>
        <v>28</v>
      </c>
      <c r="F1449" t="s">
        <v>2992</v>
      </c>
      <c r="G1449" t="str">
        <f t="shared" si="155"/>
        <v>Female</v>
      </c>
      <c r="H1449" t="s">
        <v>3007</v>
      </c>
      <c r="I1449" t="s">
        <v>3020</v>
      </c>
      <c r="K1449" t="str">
        <f t="shared" si="156"/>
        <v>Self-Employed</v>
      </c>
      <c r="L1449">
        <v>16</v>
      </c>
      <c r="M1449">
        <v>1727261</v>
      </c>
      <c r="N1449">
        <f t="shared" si="157"/>
        <v>1727261</v>
      </c>
      <c r="O1449">
        <v>433090</v>
      </c>
      <c r="P1449">
        <v>15.66</v>
      </c>
      <c r="Q1449">
        <v>12</v>
      </c>
      <c r="R1449" t="s">
        <v>3050</v>
      </c>
      <c r="S1449" t="str">
        <f t="shared" si="158"/>
        <v>Agriculture</v>
      </c>
      <c r="T1449">
        <v>375</v>
      </c>
      <c r="U1449">
        <f t="shared" si="159"/>
        <v>375</v>
      </c>
      <c r="V1449">
        <v>0</v>
      </c>
      <c r="W1449" t="s">
        <v>3057</v>
      </c>
      <c r="X1449" s="3" t="s">
        <v>3739</v>
      </c>
      <c r="Y1449" s="3">
        <f t="shared" si="160"/>
        <v>45258</v>
      </c>
      <c r="Z1449">
        <v>0.25069999999999998</v>
      </c>
    </row>
    <row r="1450" spans="1:26" x14ac:dyDescent="0.35">
      <c r="A1450" t="s">
        <v>1450</v>
      </c>
      <c r="B1450" t="str">
        <f t="shared" si="154"/>
        <v>OK</v>
      </c>
      <c r="C1450" t="s">
        <v>2933</v>
      </c>
      <c r="D1450" s="2">
        <v>56</v>
      </c>
      <c r="E1450">
        <f>IF(OR(D1450&lt;18, D1450&gt;100),AD1449,D1450)</f>
        <v>56</v>
      </c>
      <c r="F1450" t="s">
        <v>2992</v>
      </c>
      <c r="G1450" t="str">
        <f t="shared" si="155"/>
        <v>Female</v>
      </c>
      <c r="H1450" t="s">
        <v>3005</v>
      </c>
      <c r="I1450" t="s">
        <v>3018</v>
      </c>
      <c r="K1450" t="str">
        <f t="shared" si="156"/>
        <v>Business Owner</v>
      </c>
      <c r="L1450">
        <v>8</v>
      </c>
      <c r="M1450">
        <v>2196411</v>
      </c>
      <c r="N1450">
        <f t="shared" si="157"/>
        <v>2196411</v>
      </c>
      <c r="O1450">
        <v>47798</v>
      </c>
      <c r="P1450">
        <v>24.2</v>
      </c>
      <c r="Q1450">
        <v>24</v>
      </c>
      <c r="R1450" t="s">
        <v>3049</v>
      </c>
      <c r="S1450" t="str">
        <f t="shared" si="158"/>
        <v>Business</v>
      </c>
      <c r="T1450">
        <v>725</v>
      </c>
      <c r="U1450">
        <f t="shared" si="159"/>
        <v>725</v>
      </c>
      <c r="V1450">
        <v>1</v>
      </c>
      <c r="W1450" t="s">
        <v>3063</v>
      </c>
      <c r="X1450" s="3" t="s">
        <v>4043</v>
      </c>
      <c r="Y1450" s="3">
        <f t="shared" si="160"/>
        <v>44975</v>
      </c>
      <c r="Z1450">
        <v>2.18E-2</v>
      </c>
    </row>
    <row r="1451" spans="1:26" x14ac:dyDescent="0.35">
      <c r="A1451" t="s">
        <v>1451</v>
      </c>
      <c r="B1451" t="str">
        <f t="shared" si="154"/>
        <v>OK</v>
      </c>
      <c r="C1451" t="s">
        <v>2934</v>
      </c>
      <c r="D1451" s="2">
        <v>37</v>
      </c>
      <c r="E1451">
        <f>IF(OR(D1451&lt;18, D1451&gt;100),AD1450,D1451)</f>
        <v>37</v>
      </c>
      <c r="F1451" t="s">
        <v>2990</v>
      </c>
      <c r="G1451" t="str">
        <f t="shared" si="155"/>
        <v>Male</v>
      </c>
      <c r="H1451" t="s">
        <v>3006</v>
      </c>
      <c r="I1451" t="s">
        <v>3020</v>
      </c>
      <c r="K1451" t="str">
        <f t="shared" si="156"/>
        <v>Self-Employed</v>
      </c>
      <c r="L1451">
        <v>11</v>
      </c>
      <c r="M1451">
        <v>398401</v>
      </c>
      <c r="N1451">
        <f t="shared" si="157"/>
        <v>398401</v>
      </c>
      <c r="O1451">
        <v>344934</v>
      </c>
      <c r="P1451">
        <v>17.670000000000002</v>
      </c>
      <c r="Q1451">
        <v>48</v>
      </c>
      <c r="R1451" t="s">
        <v>3047</v>
      </c>
      <c r="S1451" t="str">
        <f t="shared" si="158"/>
        <v>Personal</v>
      </c>
      <c r="T1451">
        <v>652</v>
      </c>
      <c r="U1451">
        <f t="shared" si="159"/>
        <v>652</v>
      </c>
      <c r="V1451">
        <v>5</v>
      </c>
      <c r="W1451" t="s">
        <v>3053</v>
      </c>
      <c r="X1451" s="3" t="s">
        <v>4044</v>
      </c>
      <c r="Y1451" s="3">
        <f t="shared" si="160"/>
        <v>44749</v>
      </c>
      <c r="Z1451">
        <v>0.86580000000000001</v>
      </c>
    </row>
    <row r="1452" spans="1:26" x14ac:dyDescent="0.35">
      <c r="A1452" t="s">
        <v>1452</v>
      </c>
      <c r="B1452" t="str">
        <f t="shared" si="154"/>
        <v>OK</v>
      </c>
      <c r="C1452" t="s">
        <v>2935</v>
      </c>
      <c r="D1452" s="2">
        <v>63</v>
      </c>
      <c r="E1452">
        <f>IF(OR(D1452&lt;18, D1452&gt;100),AD1451,D1452)</f>
        <v>63</v>
      </c>
      <c r="F1452" t="s">
        <v>2992</v>
      </c>
      <c r="G1452" t="str">
        <f t="shared" si="155"/>
        <v>Female</v>
      </c>
      <c r="H1452" t="s">
        <v>3000</v>
      </c>
      <c r="I1452" t="s">
        <v>3020</v>
      </c>
      <c r="K1452" t="str">
        <f t="shared" si="156"/>
        <v>Self-Employed</v>
      </c>
      <c r="L1452">
        <v>25</v>
      </c>
      <c r="M1452">
        <v>1803154</v>
      </c>
      <c r="N1452">
        <f t="shared" si="157"/>
        <v>1803154</v>
      </c>
      <c r="O1452">
        <v>351119</v>
      </c>
      <c r="P1452" t="s">
        <v>3043</v>
      </c>
      <c r="Q1452">
        <v>36</v>
      </c>
      <c r="R1452" t="s">
        <v>3050</v>
      </c>
      <c r="S1452" t="str">
        <f t="shared" si="158"/>
        <v>Agriculture</v>
      </c>
      <c r="T1452">
        <v>364</v>
      </c>
      <c r="U1452">
        <f t="shared" si="159"/>
        <v>364</v>
      </c>
      <c r="V1452">
        <v>4</v>
      </c>
      <c r="W1452" t="s">
        <v>3056</v>
      </c>
      <c r="X1452" s="3" t="s">
        <v>3403</v>
      </c>
      <c r="Y1452" s="3">
        <f t="shared" si="160"/>
        <v>43859</v>
      </c>
      <c r="Z1452">
        <v>0.19470000000000001</v>
      </c>
    </row>
    <row r="1453" spans="1:26" x14ac:dyDescent="0.35">
      <c r="A1453" t="s">
        <v>1453</v>
      </c>
      <c r="B1453" t="str">
        <f t="shared" si="154"/>
        <v>OK</v>
      </c>
      <c r="C1453" t="s">
        <v>2936</v>
      </c>
      <c r="D1453" s="2">
        <v>52</v>
      </c>
      <c r="E1453">
        <f>IF(OR(D1453&lt;18, D1453&gt;100),AD1452,D1453)</f>
        <v>52</v>
      </c>
      <c r="F1453" t="s">
        <v>2992</v>
      </c>
      <c r="G1453" t="str">
        <f t="shared" si="155"/>
        <v>Female</v>
      </c>
      <c r="H1453" t="s">
        <v>3003</v>
      </c>
      <c r="I1453" t="s">
        <v>3018</v>
      </c>
      <c r="K1453" t="str">
        <f t="shared" si="156"/>
        <v>Business Owner</v>
      </c>
      <c r="L1453">
        <v>11</v>
      </c>
      <c r="M1453">
        <v>1705842</v>
      </c>
      <c r="N1453">
        <f t="shared" si="157"/>
        <v>1705842</v>
      </c>
      <c r="O1453">
        <v>695887</v>
      </c>
      <c r="P1453">
        <v>10.119999999999999</v>
      </c>
      <c r="Q1453">
        <v>12</v>
      </c>
      <c r="R1453" t="s">
        <v>3048</v>
      </c>
      <c r="S1453" t="str">
        <f t="shared" si="158"/>
        <v>Home Improvement</v>
      </c>
      <c r="U1453">
        <f t="shared" si="159"/>
        <v>556</v>
      </c>
      <c r="V1453">
        <v>7</v>
      </c>
      <c r="W1453" t="s">
        <v>3055</v>
      </c>
      <c r="X1453" s="3" t="s">
        <v>4045</v>
      </c>
      <c r="Y1453" s="3">
        <f t="shared" si="160"/>
        <v>45046</v>
      </c>
      <c r="Z1453">
        <v>0.40789999999999998</v>
      </c>
    </row>
    <row r="1454" spans="1:26" x14ac:dyDescent="0.35">
      <c r="A1454" t="s">
        <v>1454</v>
      </c>
      <c r="B1454" t="str">
        <f t="shared" si="154"/>
        <v>OK</v>
      </c>
      <c r="C1454" t="s">
        <v>2937</v>
      </c>
      <c r="D1454" s="2">
        <v>45</v>
      </c>
      <c r="E1454">
        <f>IF(OR(D1454&lt;18, D1454&gt;100),AD1453,D1454)</f>
        <v>45</v>
      </c>
      <c r="F1454" t="s">
        <v>2990</v>
      </c>
      <c r="G1454" t="str">
        <f t="shared" si="155"/>
        <v>Male</v>
      </c>
      <c r="H1454" t="s">
        <v>3000</v>
      </c>
      <c r="I1454" t="s">
        <v>3019</v>
      </c>
      <c r="K1454" t="str">
        <f t="shared" si="156"/>
        <v>Employed</v>
      </c>
      <c r="L1454">
        <v>3</v>
      </c>
      <c r="M1454">
        <v>2155608</v>
      </c>
      <c r="N1454">
        <f t="shared" si="157"/>
        <v>2155608</v>
      </c>
      <c r="O1454">
        <v>676030</v>
      </c>
      <c r="P1454">
        <v>10.77</v>
      </c>
      <c r="Q1454">
        <v>12</v>
      </c>
      <c r="R1454" t="s">
        <v>3051</v>
      </c>
      <c r="S1454" t="str">
        <f t="shared" si="158"/>
        <v>Education</v>
      </c>
      <c r="T1454">
        <v>592</v>
      </c>
      <c r="U1454">
        <f t="shared" si="159"/>
        <v>592</v>
      </c>
      <c r="V1454">
        <v>1</v>
      </c>
      <c r="W1454" t="s">
        <v>3053</v>
      </c>
      <c r="X1454" s="3" t="s">
        <v>4046</v>
      </c>
      <c r="Y1454" s="3">
        <f t="shared" si="160"/>
        <v>45261</v>
      </c>
      <c r="Z1454">
        <v>0.31359999999999999</v>
      </c>
    </row>
    <row r="1455" spans="1:26" x14ac:dyDescent="0.35">
      <c r="A1455" t="s">
        <v>1455</v>
      </c>
      <c r="B1455" t="str">
        <f t="shared" si="154"/>
        <v>OK</v>
      </c>
      <c r="C1455" t="s">
        <v>2938</v>
      </c>
      <c r="D1455" s="2">
        <v>53</v>
      </c>
      <c r="E1455">
        <f>IF(OR(D1455&lt;18, D1455&gt;100),AD1454,D1455)</f>
        <v>53</v>
      </c>
      <c r="F1455" t="s">
        <v>2990</v>
      </c>
      <c r="G1455" t="str">
        <f t="shared" si="155"/>
        <v>Male</v>
      </c>
      <c r="H1455" t="s">
        <v>2998</v>
      </c>
      <c r="I1455" t="s">
        <v>3021</v>
      </c>
      <c r="K1455" t="str">
        <f t="shared" si="156"/>
        <v>Unemployed</v>
      </c>
      <c r="L1455">
        <v>19</v>
      </c>
      <c r="M1455">
        <v>2378611</v>
      </c>
      <c r="N1455">
        <f t="shared" si="157"/>
        <v>2378611</v>
      </c>
      <c r="O1455">
        <v>43091</v>
      </c>
      <c r="P1455">
        <v>15.1</v>
      </c>
      <c r="Q1455">
        <v>48</v>
      </c>
      <c r="R1455" t="s">
        <v>3046</v>
      </c>
      <c r="S1455" t="str">
        <f t="shared" si="158"/>
        <v>Medical</v>
      </c>
      <c r="T1455">
        <v>612</v>
      </c>
      <c r="U1455">
        <f t="shared" si="159"/>
        <v>612</v>
      </c>
      <c r="V1455">
        <v>4</v>
      </c>
      <c r="W1455" t="s">
        <v>3054</v>
      </c>
      <c r="X1455" s="3" t="s">
        <v>3076</v>
      </c>
      <c r="Y1455" s="3">
        <f t="shared" si="160"/>
        <v>43955</v>
      </c>
      <c r="Z1455">
        <v>1.8100000000000002E-2</v>
      </c>
    </row>
    <row r="1456" spans="1:26" x14ac:dyDescent="0.35">
      <c r="A1456" t="s">
        <v>1456</v>
      </c>
      <c r="B1456" t="str">
        <f t="shared" si="154"/>
        <v>OK</v>
      </c>
      <c r="C1456" t="s">
        <v>2939</v>
      </c>
      <c r="D1456" s="2">
        <v>30</v>
      </c>
      <c r="E1456">
        <f>IF(OR(D1456&lt;18, D1456&gt;100),AD1455,D1456)</f>
        <v>30</v>
      </c>
      <c r="F1456" t="s">
        <v>2990</v>
      </c>
      <c r="G1456" t="str">
        <f t="shared" si="155"/>
        <v>Male</v>
      </c>
      <c r="H1456" t="s">
        <v>3000</v>
      </c>
      <c r="I1456" t="s">
        <v>3020</v>
      </c>
      <c r="K1456" t="str">
        <f t="shared" si="156"/>
        <v>Self-Employed</v>
      </c>
      <c r="L1456">
        <v>29</v>
      </c>
      <c r="M1456">
        <v>985113</v>
      </c>
      <c r="N1456">
        <f t="shared" si="157"/>
        <v>985113</v>
      </c>
      <c r="O1456">
        <v>446070</v>
      </c>
      <c r="P1456">
        <v>23</v>
      </c>
      <c r="Q1456">
        <v>48</v>
      </c>
      <c r="R1456" t="s">
        <v>3048</v>
      </c>
      <c r="S1456" t="str">
        <f t="shared" si="158"/>
        <v>Home Improvement</v>
      </c>
      <c r="U1456">
        <f t="shared" si="159"/>
        <v>556</v>
      </c>
      <c r="V1456">
        <v>2</v>
      </c>
      <c r="W1456" t="s">
        <v>3053</v>
      </c>
      <c r="X1456" s="3" t="s">
        <v>4047</v>
      </c>
      <c r="Y1456" s="3">
        <f t="shared" si="160"/>
        <v>44809</v>
      </c>
      <c r="Z1456">
        <v>0.45279999999999998</v>
      </c>
    </row>
    <row r="1457" spans="1:26" x14ac:dyDescent="0.35">
      <c r="A1457" t="s">
        <v>1457</v>
      </c>
      <c r="B1457" t="str">
        <f t="shared" si="154"/>
        <v>OK</v>
      </c>
      <c r="C1457" t="s">
        <v>2940</v>
      </c>
      <c r="D1457" s="2">
        <v>60</v>
      </c>
      <c r="E1457">
        <f>IF(OR(D1457&lt;18, D1457&gt;100),AD1456,D1457)</f>
        <v>60</v>
      </c>
      <c r="F1457" t="s">
        <v>2992</v>
      </c>
      <c r="G1457" t="str">
        <f t="shared" si="155"/>
        <v>Female</v>
      </c>
      <c r="H1457" t="s">
        <v>3001</v>
      </c>
      <c r="I1457" t="s">
        <v>3020</v>
      </c>
      <c r="K1457" t="str">
        <f t="shared" si="156"/>
        <v>Self-Employed</v>
      </c>
      <c r="L1457">
        <v>7</v>
      </c>
      <c r="M1457">
        <v>1537453</v>
      </c>
      <c r="N1457">
        <f t="shared" si="157"/>
        <v>1537453</v>
      </c>
      <c r="O1457">
        <v>218237</v>
      </c>
      <c r="P1457">
        <v>12.65</v>
      </c>
      <c r="Q1457">
        <v>24</v>
      </c>
      <c r="R1457" t="s">
        <v>3049</v>
      </c>
      <c r="S1457" t="str">
        <f t="shared" si="158"/>
        <v>Business</v>
      </c>
      <c r="T1457">
        <v>635</v>
      </c>
      <c r="U1457">
        <f t="shared" si="159"/>
        <v>635</v>
      </c>
      <c r="V1457">
        <v>6</v>
      </c>
      <c r="W1457" t="s">
        <v>3052</v>
      </c>
      <c r="X1457" s="3" t="s">
        <v>3872</v>
      </c>
      <c r="Y1457" s="3">
        <f t="shared" si="160"/>
        <v>44442</v>
      </c>
      <c r="Z1457">
        <v>0.1419</v>
      </c>
    </row>
    <row r="1458" spans="1:26" x14ac:dyDescent="0.35">
      <c r="A1458" t="s">
        <v>1458</v>
      </c>
      <c r="B1458" t="str">
        <f t="shared" si="154"/>
        <v>OK</v>
      </c>
      <c r="C1458" t="s">
        <v>2941</v>
      </c>
      <c r="D1458" s="2">
        <v>60</v>
      </c>
      <c r="E1458">
        <f>IF(OR(D1458&lt;18, D1458&gt;100),AD1457,D1458)</f>
        <v>60</v>
      </c>
      <c r="F1458" t="s">
        <v>2997</v>
      </c>
      <c r="G1458" t="str">
        <f t="shared" si="155"/>
        <v>Male</v>
      </c>
      <c r="H1458" t="s">
        <v>3006</v>
      </c>
      <c r="I1458" t="s">
        <v>3021</v>
      </c>
      <c r="K1458" t="str">
        <f t="shared" si="156"/>
        <v>Unemployed</v>
      </c>
      <c r="L1458">
        <v>9</v>
      </c>
      <c r="M1458">
        <v>-879539</v>
      </c>
      <c r="N1458">
        <f t="shared" si="157"/>
        <v>1333224</v>
      </c>
      <c r="O1458">
        <v>518843</v>
      </c>
      <c r="P1458">
        <v>23.2</v>
      </c>
      <c r="Q1458">
        <v>36</v>
      </c>
      <c r="R1458" t="s">
        <v>3049</v>
      </c>
      <c r="S1458" t="str">
        <f t="shared" si="158"/>
        <v>Business</v>
      </c>
      <c r="T1458">
        <v>320</v>
      </c>
      <c r="U1458">
        <f t="shared" si="159"/>
        <v>320</v>
      </c>
      <c r="V1458">
        <v>7</v>
      </c>
      <c r="W1458" t="s">
        <v>3055</v>
      </c>
      <c r="X1458" s="3" t="s">
        <v>4005</v>
      </c>
      <c r="Y1458" s="3">
        <f t="shared" si="160"/>
        <v>44733</v>
      </c>
      <c r="Z1458">
        <v>0.58989999999999998</v>
      </c>
    </row>
    <row r="1459" spans="1:26" x14ac:dyDescent="0.35">
      <c r="A1459" t="s">
        <v>1459</v>
      </c>
      <c r="B1459" t="str">
        <f t="shared" si="154"/>
        <v>OK</v>
      </c>
      <c r="C1459" t="s">
        <v>2942</v>
      </c>
      <c r="D1459" s="2">
        <v>53</v>
      </c>
      <c r="E1459">
        <f>IF(OR(D1459&lt;18, D1459&gt;100),AD1458,D1459)</f>
        <v>53</v>
      </c>
      <c r="F1459" t="s">
        <v>2990</v>
      </c>
      <c r="G1459" t="str">
        <f t="shared" si="155"/>
        <v>Male</v>
      </c>
      <c r="H1459" t="s">
        <v>3001</v>
      </c>
      <c r="I1459" t="s">
        <v>3021</v>
      </c>
      <c r="K1459" t="str">
        <f t="shared" si="156"/>
        <v>Unemployed</v>
      </c>
      <c r="L1459">
        <v>12</v>
      </c>
      <c r="M1459">
        <v>-1493379</v>
      </c>
      <c r="N1459">
        <f t="shared" si="157"/>
        <v>1333224</v>
      </c>
      <c r="O1459">
        <v>302140</v>
      </c>
      <c r="P1459">
        <v>19.920000000000002</v>
      </c>
      <c r="Q1459">
        <v>12</v>
      </c>
      <c r="R1459" t="s">
        <v>3047</v>
      </c>
      <c r="S1459" t="str">
        <f t="shared" si="158"/>
        <v>Personal</v>
      </c>
      <c r="T1459">
        <v>513</v>
      </c>
      <c r="U1459">
        <f t="shared" si="159"/>
        <v>513</v>
      </c>
      <c r="V1459">
        <v>6</v>
      </c>
      <c r="W1459" t="s">
        <v>3054</v>
      </c>
      <c r="X1459" s="3" t="s">
        <v>4048</v>
      </c>
      <c r="Y1459" s="3">
        <f t="shared" si="160"/>
        <v>44071</v>
      </c>
      <c r="Z1459">
        <v>0.20230000000000001</v>
      </c>
    </row>
    <row r="1460" spans="1:26" x14ac:dyDescent="0.35">
      <c r="A1460" t="s">
        <v>1460</v>
      </c>
      <c r="B1460" t="str">
        <f t="shared" si="154"/>
        <v>OK</v>
      </c>
      <c r="C1460" t="s">
        <v>2943</v>
      </c>
      <c r="D1460" s="2">
        <v>44</v>
      </c>
      <c r="E1460">
        <f>IF(OR(D1460&lt;18, D1460&gt;100),AD1459,D1460)</f>
        <v>44</v>
      </c>
      <c r="F1460" t="s">
        <v>2992</v>
      </c>
      <c r="G1460" t="str">
        <f t="shared" si="155"/>
        <v>Female</v>
      </c>
      <c r="H1460" t="s">
        <v>3000</v>
      </c>
      <c r="I1460" t="s">
        <v>3020</v>
      </c>
      <c r="K1460" t="str">
        <f t="shared" si="156"/>
        <v>Self-Employed</v>
      </c>
      <c r="L1460">
        <v>0</v>
      </c>
      <c r="M1460">
        <v>583119</v>
      </c>
      <c r="N1460">
        <f t="shared" si="157"/>
        <v>583119</v>
      </c>
      <c r="O1460">
        <v>582621</v>
      </c>
      <c r="P1460">
        <v>26.54</v>
      </c>
      <c r="Q1460">
        <v>48</v>
      </c>
      <c r="R1460" t="s">
        <v>3048</v>
      </c>
      <c r="S1460" t="str">
        <f t="shared" si="158"/>
        <v>Home Improvement</v>
      </c>
      <c r="T1460">
        <v>454</v>
      </c>
      <c r="U1460">
        <f t="shared" si="159"/>
        <v>454</v>
      </c>
      <c r="V1460">
        <v>2</v>
      </c>
      <c r="W1460" t="s">
        <v>3054</v>
      </c>
      <c r="X1460" s="3" t="s">
        <v>4049</v>
      </c>
      <c r="Y1460" s="3">
        <f t="shared" si="160"/>
        <v>45040</v>
      </c>
      <c r="Z1460">
        <v>0.99909999999999999</v>
      </c>
    </row>
    <row r="1461" spans="1:26" x14ac:dyDescent="0.35">
      <c r="A1461" t="s">
        <v>1461</v>
      </c>
      <c r="B1461" t="str">
        <f t="shared" si="154"/>
        <v>OK</v>
      </c>
      <c r="C1461" t="s">
        <v>2944</v>
      </c>
      <c r="D1461" s="2">
        <v>57</v>
      </c>
      <c r="E1461">
        <f>IF(OR(D1461&lt;18, D1461&gt;100),AD1460,D1461)</f>
        <v>57</v>
      </c>
      <c r="F1461" t="s">
        <v>2990</v>
      </c>
      <c r="G1461" t="str">
        <f t="shared" si="155"/>
        <v>Male</v>
      </c>
      <c r="H1461" t="s">
        <v>2998</v>
      </c>
      <c r="I1461" t="s">
        <v>3019</v>
      </c>
      <c r="K1461" t="str">
        <f t="shared" si="156"/>
        <v>Employed</v>
      </c>
      <c r="L1461">
        <v>8</v>
      </c>
      <c r="N1461">
        <f t="shared" si="157"/>
        <v>1333224</v>
      </c>
      <c r="O1461">
        <v>143106</v>
      </c>
      <c r="P1461">
        <v>22.32</v>
      </c>
      <c r="Q1461">
        <v>24</v>
      </c>
      <c r="R1461" t="s">
        <v>3047</v>
      </c>
      <c r="S1461" t="str">
        <f t="shared" si="158"/>
        <v>Personal</v>
      </c>
      <c r="T1461">
        <v>384</v>
      </c>
      <c r="U1461">
        <f t="shared" si="159"/>
        <v>384</v>
      </c>
      <c r="V1461">
        <v>3</v>
      </c>
      <c r="W1461" t="s">
        <v>3055</v>
      </c>
      <c r="X1461" s="3" t="s">
        <v>3822</v>
      </c>
      <c r="Y1461" s="3">
        <f t="shared" si="160"/>
        <v>45147</v>
      </c>
      <c r="Z1461">
        <v>9.7600000000000006E-2</v>
      </c>
    </row>
    <row r="1462" spans="1:26" x14ac:dyDescent="0.35">
      <c r="A1462" t="s">
        <v>1462</v>
      </c>
      <c r="B1462" t="str">
        <f t="shared" si="154"/>
        <v>OK</v>
      </c>
      <c r="C1462" t="s">
        <v>2945</v>
      </c>
      <c r="D1462" s="2">
        <v>37</v>
      </c>
      <c r="E1462">
        <f>IF(OR(D1462&lt;18, D1462&gt;100),AD1461,D1462)</f>
        <v>37</v>
      </c>
      <c r="F1462" t="s">
        <v>2990</v>
      </c>
      <c r="G1462" t="str">
        <f t="shared" si="155"/>
        <v>Male</v>
      </c>
      <c r="H1462" t="s">
        <v>2998</v>
      </c>
      <c r="I1462" t="s">
        <v>3018</v>
      </c>
      <c r="K1462" t="str">
        <f t="shared" si="156"/>
        <v>Business Owner</v>
      </c>
      <c r="L1462">
        <v>11</v>
      </c>
      <c r="M1462">
        <v>1343490</v>
      </c>
      <c r="N1462">
        <f t="shared" si="157"/>
        <v>1343490</v>
      </c>
      <c r="O1462">
        <v>194875</v>
      </c>
      <c r="P1462">
        <v>25.49</v>
      </c>
      <c r="Q1462">
        <v>48</v>
      </c>
      <c r="R1462" t="s">
        <v>3047</v>
      </c>
      <c r="S1462" t="str">
        <f t="shared" si="158"/>
        <v>Personal</v>
      </c>
      <c r="T1462">
        <v>763</v>
      </c>
      <c r="U1462">
        <f t="shared" si="159"/>
        <v>763</v>
      </c>
      <c r="V1462">
        <v>5</v>
      </c>
      <c r="W1462" t="s">
        <v>3053</v>
      </c>
      <c r="X1462" s="3" t="s">
        <v>4050</v>
      </c>
      <c r="Y1462" s="3">
        <f t="shared" si="160"/>
        <v>43851</v>
      </c>
      <c r="Z1462">
        <v>0.14510000000000001</v>
      </c>
    </row>
    <row r="1463" spans="1:26" x14ac:dyDescent="0.35">
      <c r="A1463" t="s">
        <v>1463</v>
      </c>
      <c r="B1463" t="str">
        <f t="shared" si="154"/>
        <v>OK</v>
      </c>
      <c r="C1463" t="s">
        <v>2946</v>
      </c>
      <c r="D1463" s="2">
        <v>63</v>
      </c>
      <c r="E1463">
        <f>IF(OR(D1463&lt;18, D1463&gt;100),AD1462,D1463)</f>
        <v>63</v>
      </c>
      <c r="F1463" t="s">
        <v>2992</v>
      </c>
      <c r="G1463" t="str">
        <f t="shared" si="155"/>
        <v>Female</v>
      </c>
      <c r="H1463" t="s">
        <v>3006</v>
      </c>
      <c r="I1463" t="s">
        <v>3021</v>
      </c>
      <c r="K1463" t="str">
        <f t="shared" si="156"/>
        <v>Unemployed</v>
      </c>
      <c r="L1463">
        <v>9</v>
      </c>
      <c r="M1463">
        <v>1518530</v>
      </c>
      <c r="N1463">
        <f t="shared" si="157"/>
        <v>1518530</v>
      </c>
      <c r="O1463">
        <v>244021</v>
      </c>
      <c r="P1463">
        <v>18.39</v>
      </c>
      <c r="Q1463">
        <v>48</v>
      </c>
      <c r="R1463" t="s">
        <v>3047</v>
      </c>
      <c r="S1463" t="str">
        <f t="shared" si="158"/>
        <v>Personal</v>
      </c>
      <c r="T1463">
        <v>672</v>
      </c>
      <c r="U1463">
        <f t="shared" si="159"/>
        <v>672</v>
      </c>
      <c r="V1463">
        <v>3</v>
      </c>
      <c r="W1463" t="s">
        <v>3056</v>
      </c>
      <c r="X1463" s="3" t="s">
        <v>3227</v>
      </c>
      <c r="Y1463" s="3">
        <f t="shared" si="160"/>
        <v>44503</v>
      </c>
      <c r="Z1463">
        <v>0.16070000000000001</v>
      </c>
    </row>
    <row r="1464" spans="1:26" x14ac:dyDescent="0.35">
      <c r="A1464" t="s">
        <v>1464</v>
      </c>
      <c r="B1464" t="str">
        <f t="shared" si="154"/>
        <v>OK</v>
      </c>
      <c r="C1464" t="s">
        <v>2947</v>
      </c>
      <c r="D1464" s="2">
        <v>46</v>
      </c>
      <c r="E1464">
        <f>IF(OR(D1464&lt;18, D1464&gt;100),AD1463,D1464)</f>
        <v>46</v>
      </c>
      <c r="F1464" t="s">
        <v>2992</v>
      </c>
      <c r="G1464" t="str">
        <f t="shared" si="155"/>
        <v>Female</v>
      </c>
      <c r="H1464" t="s">
        <v>3001</v>
      </c>
      <c r="I1464" t="s">
        <v>3021</v>
      </c>
      <c r="K1464" t="str">
        <f t="shared" si="156"/>
        <v>Unemployed</v>
      </c>
      <c r="L1464">
        <v>16</v>
      </c>
      <c r="M1464">
        <v>864029</v>
      </c>
      <c r="N1464">
        <f t="shared" si="157"/>
        <v>864029</v>
      </c>
      <c r="O1464">
        <v>769450</v>
      </c>
      <c r="P1464">
        <v>15.25</v>
      </c>
      <c r="Q1464">
        <v>36</v>
      </c>
      <c r="R1464" t="s">
        <v>3049</v>
      </c>
      <c r="S1464" t="str">
        <f t="shared" si="158"/>
        <v>Business</v>
      </c>
      <c r="T1464">
        <v>769</v>
      </c>
      <c r="U1464">
        <f t="shared" si="159"/>
        <v>769</v>
      </c>
      <c r="V1464">
        <v>5</v>
      </c>
      <c r="W1464" t="s">
        <v>3056</v>
      </c>
      <c r="X1464" s="3" t="s">
        <v>4051</v>
      </c>
      <c r="Y1464" s="3">
        <f t="shared" si="160"/>
        <v>44618</v>
      </c>
      <c r="Z1464">
        <v>0.89049999999999996</v>
      </c>
    </row>
    <row r="1465" spans="1:26" x14ac:dyDescent="0.35">
      <c r="A1465" t="s">
        <v>1465</v>
      </c>
      <c r="B1465" t="str">
        <f t="shared" ref="B1465:B1507" si="161">IF(A1465="", "MISSING", "OK")</f>
        <v>OK</v>
      </c>
      <c r="C1465" t="s">
        <v>2948</v>
      </c>
      <c r="D1465" s="2">
        <v>37</v>
      </c>
      <c r="E1465">
        <f>IF(OR(D1465&lt;18, D1465&gt;100),AD1464,D1465)</f>
        <v>37</v>
      </c>
      <c r="F1465" t="s">
        <v>2990</v>
      </c>
      <c r="G1465" t="str">
        <f t="shared" si="155"/>
        <v>Male</v>
      </c>
      <c r="H1465" t="s">
        <v>3003</v>
      </c>
      <c r="I1465" t="s">
        <v>3021</v>
      </c>
      <c r="K1465" t="str">
        <f t="shared" si="156"/>
        <v>Unemployed</v>
      </c>
      <c r="L1465">
        <v>19</v>
      </c>
      <c r="M1465">
        <v>281376</v>
      </c>
      <c r="N1465">
        <f t="shared" si="157"/>
        <v>281376</v>
      </c>
      <c r="O1465">
        <v>178763</v>
      </c>
      <c r="P1465">
        <v>12.68</v>
      </c>
      <c r="Q1465">
        <v>36</v>
      </c>
      <c r="R1465" t="s">
        <v>3047</v>
      </c>
      <c r="S1465" t="str">
        <f t="shared" si="158"/>
        <v>Personal</v>
      </c>
      <c r="T1465">
        <v>501</v>
      </c>
      <c r="U1465">
        <f t="shared" si="159"/>
        <v>501</v>
      </c>
      <c r="V1465">
        <v>1</v>
      </c>
      <c r="W1465" t="s">
        <v>3055</v>
      </c>
      <c r="X1465" s="3" t="s">
        <v>3356</v>
      </c>
      <c r="Y1465" s="3">
        <f t="shared" si="160"/>
        <v>44365</v>
      </c>
      <c r="Z1465">
        <v>0.63529999999999998</v>
      </c>
    </row>
    <row r="1466" spans="1:26" x14ac:dyDescent="0.35">
      <c r="A1466" t="s">
        <v>1308</v>
      </c>
      <c r="B1466" t="str">
        <f t="shared" si="161"/>
        <v>OK</v>
      </c>
      <c r="C1466" t="s">
        <v>2791</v>
      </c>
      <c r="D1466" s="2">
        <v>43</v>
      </c>
      <c r="E1466">
        <f>IF(OR(D1466&lt;18, D1466&gt;100),AD1465,D1466)</f>
        <v>43</v>
      </c>
      <c r="F1466" t="s">
        <v>2990</v>
      </c>
      <c r="G1466" t="str">
        <f t="shared" si="155"/>
        <v>Male</v>
      </c>
      <c r="H1466" t="s">
        <v>3007</v>
      </c>
      <c r="I1466" t="s">
        <v>3018</v>
      </c>
      <c r="K1466" t="str">
        <f t="shared" si="156"/>
        <v>Business Owner</v>
      </c>
      <c r="L1466">
        <v>29</v>
      </c>
      <c r="M1466">
        <v>1123793</v>
      </c>
      <c r="N1466">
        <f t="shared" si="157"/>
        <v>1123793</v>
      </c>
      <c r="O1466">
        <v>443332</v>
      </c>
      <c r="P1466" t="s">
        <v>3044</v>
      </c>
      <c r="Q1466">
        <v>24</v>
      </c>
      <c r="R1466" t="s">
        <v>3049</v>
      </c>
      <c r="S1466" t="str">
        <f t="shared" si="158"/>
        <v>Business</v>
      </c>
      <c r="T1466">
        <v>412</v>
      </c>
      <c r="U1466">
        <f t="shared" si="159"/>
        <v>412</v>
      </c>
      <c r="V1466">
        <v>0</v>
      </c>
      <c r="W1466" t="s">
        <v>3055</v>
      </c>
      <c r="X1466" s="3" t="s">
        <v>3621</v>
      </c>
      <c r="Y1466" s="3">
        <f t="shared" si="160"/>
        <v>45182</v>
      </c>
      <c r="Z1466">
        <v>0.39450000000000002</v>
      </c>
    </row>
    <row r="1467" spans="1:26" x14ac:dyDescent="0.35">
      <c r="A1467" t="s">
        <v>1466</v>
      </c>
      <c r="B1467" t="str">
        <f t="shared" si="161"/>
        <v>OK</v>
      </c>
      <c r="C1467" t="s">
        <v>2949</v>
      </c>
      <c r="D1467" s="2">
        <v>31</v>
      </c>
      <c r="E1467">
        <f>IF(OR(D1467&lt;18, D1467&gt;100),AD1466,D1467)</f>
        <v>31</v>
      </c>
      <c r="F1467" t="s">
        <v>2990</v>
      </c>
      <c r="G1467" t="str">
        <f t="shared" si="155"/>
        <v>Male</v>
      </c>
      <c r="H1467" t="s">
        <v>3000</v>
      </c>
      <c r="I1467" t="s">
        <v>3018</v>
      </c>
      <c r="K1467" t="str">
        <f t="shared" si="156"/>
        <v>Business Owner</v>
      </c>
      <c r="L1467">
        <v>9</v>
      </c>
      <c r="M1467">
        <v>359830</v>
      </c>
      <c r="N1467">
        <f t="shared" si="157"/>
        <v>359830</v>
      </c>
      <c r="O1467">
        <v>437567</v>
      </c>
      <c r="P1467">
        <v>12.05</v>
      </c>
      <c r="Q1467">
        <v>48</v>
      </c>
      <c r="R1467" t="s">
        <v>3051</v>
      </c>
      <c r="S1467" t="str">
        <f t="shared" si="158"/>
        <v>Education</v>
      </c>
      <c r="T1467">
        <v>356</v>
      </c>
      <c r="U1467">
        <f t="shared" si="159"/>
        <v>356</v>
      </c>
      <c r="V1467">
        <v>3</v>
      </c>
      <c r="W1467" t="s">
        <v>3057</v>
      </c>
      <c r="X1467" s="3" t="s">
        <v>4052</v>
      </c>
      <c r="Y1467" s="3">
        <f t="shared" si="160"/>
        <v>43986</v>
      </c>
      <c r="Z1467">
        <v>1.216</v>
      </c>
    </row>
    <row r="1468" spans="1:26" x14ac:dyDescent="0.35">
      <c r="A1468" t="s">
        <v>1467</v>
      </c>
      <c r="B1468" t="str">
        <f t="shared" si="161"/>
        <v>OK</v>
      </c>
      <c r="C1468" t="s">
        <v>2950</v>
      </c>
      <c r="D1468" s="2">
        <v>61</v>
      </c>
      <c r="E1468">
        <f>IF(OR(D1468&lt;18, D1468&gt;100),AD1467,D1468)</f>
        <v>61</v>
      </c>
      <c r="F1468" t="s">
        <v>2992</v>
      </c>
      <c r="G1468" t="str">
        <f t="shared" si="155"/>
        <v>Female</v>
      </c>
      <c r="H1468" t="s">
        <v>3005</v>
      </c>
      <c r="I1468" t="s">
        <v>3019</v>
      </c>
      <c r="K1468" t="str">
        <f t="shared" si="156"/>
        <v>Employed</v>
      </c>
      <c r="L1468">
        <v>7</v>
      </c>
      <c r="M1468">
        <v>622939</v>
      </c>
      <c r="N1468">
        <f t="shared" si="157"/>
        <v>622939</v>
      </c>
      <c r="O1468">
        <v>249577</v>
      </c>
      <c r="P1468">
        <v>19.54</v>
      </c>
      <c r="Q1468">
        <v>60</v>
      </c>
      <c r="R1468" t="s">
        <v>3051</v>
      </c>
      <c r="S1468" t="str">
        <f t="shared" si="158"/>
        <v>Education</v>
      </c>
      <c r="T1468">
        <v>807</v>
      </c>
      <c r="U1468">
        <f t="shared" si="159"/>
        <v>807</v>
      </c>
      <c r="V1468">
        <v>5</v>
      </c>
      <c r="W1468" t="s">
        <v>3052</v>
      </c>
      <c r="X1468" s="3" t="s">
        <v>3724</v>
      </c>
      <c r="Y1468" s="3">
        <f t="shared" si="160"/>
        <v>44830</v>
      </c>
      <c r="Z1468">
        <v>0.40060000000000001</v>
      </c>
    </row>
    <row r="1469" spans="1:26" x14ac:dyDescent="0.35">
      <c r="A1469" t="s">
        <v>1468</v>
      </c>
      <c r="B1469" t="str">
        <f t="shared" si="161"/>
        <v>OK</v>
      </c>
      <c r="C1469" t="s">
        <v>2951</v>
      </c>
      <c r="D1469" s="2">
        <v>39</v>
      </c>
      <c r="E1469">
        <f>IF(OR(D1469&lt;18, D1469&gt;100),AD1468,D1469)</f>
        <v>39</v>
      </c>
      <c r="F1469" t="s">
        <v>2990</v>
      </c>
      <c r="G1469" t="str">
        <f t="shared" si="155"/>
        <v>Male</v>
      </c>
      <c r="H1469" t="s">
        <v>3014</v>
      </c>
      <c r="I1469" t="s">
        <v>3018</v>
      </c>
      <c r="K1469" t="str">
        <f t="shared" si="156"/>
        <v>Business Owner</v>
      </c>
      <c r="L1469">
        <v>13</v>
      </c>
      <c r="M1469">
        <v>1932844</v>
      </c>
      <c r="N1469">
        <f t="shared" si="157"/>
        <v>1932844</v>
      </c>
      <c r="O1469">
        <v>110009</v>
      </c>
      <c r="P1469">
        <v>8.9700000000000006</v>
      </c>
      <c r="Q1469">
        <v>48</v>
      </c>
      <c r="R1469" t="s">
        <v>3047</v>
      </c>
      <c r="S1469" t="str">
        <f t="shared" si="158"/>
        <v>Personal</v>
      </c>
      <c r="T1469">
        <v>308</v>
      </c>
      <c r="U1469">
        <f t="shared" si="159"/>
        <v>308</v>
      </c>
      <c r="V1469">
        <v>7</v>
      </c>
      <c r="W1469" t="s">
        <v>3055</v>
      </c>
      <c r="X1469" s="3" t="s">
        <v>3279</v>
      </c>
      <c r="Y1469" s="3">
        <f t="shared" si="160"/>
        <v>44589</v>
      </c>
      <c r="Z1469">
        <v>5.6899999999999999E-2</v>
      </c>
    </row>
    <row r="1470" spans="1:26" x14ac:dyDescent="0.35">
      <c r="A1470" t="s">
        <v>1469</v>
      </c>
      <c r="B1470" t="str">
        <f t="shared" si="161"/>
        <v>OK</v>
      </c>
      <c r="C1470" t="s">
        <v>2952</v>
      </c>
      <c r="D1470" s="2">
        <v>45</v>
      </c>
      <c r="E1470">
        <f>IF(OR(D1470&lt;18, D1470&gt;100),AD1469,D1470)</f>
        <v>45</v>
      </c>
      <c r="F1470" t="s">
        <v>2990</v>
      </c>
      <c r="G1470" t="str">
        <f t="shared" si="155"/>
        <v>Male</v>
      </c>
      <c r="H1470" t="s">
        <v>3001</v>
      </c>
      <c r="I1470" t="s">
        <v>3020</v>
      </c>
      <c r="K1470" t="str">
        <f t="shared" si="156"/>
        <v>Self-Employed</v>
      </c>
      <c r="L1470">
        <v>27</v>
      </c>
      <c r="M1470">
        <v>1983919</v>
      </c>
      <c r="N1470">
        <f t="shared" si="157"/>
        <v>1983919</v>
      </c>
      <c r="O1470">
        <v>720406</v>
      </c>
      <c r="P1470">
        <v>13.92</v>
      </c>
      <c r="Q1470">
        <v>12</v>
      </c>
      <c r="R1470" t="s">
        <v>3048</v>
      </c>
      <c r="S1470" t="str">
        <f t="shared" si="158"/>
        <v>Home Improvement</v>
      </c>
      <c r="T1470">
        <v>403</v>
      </c>
      <c r="U1470">
        <f t="shared" si="159"/>
        <v>403</v>
      </c>
      <c r="V1470">
        <v>7</v>
      </c>
      <c r="W1470" t="s">
        <v>3052</v>
      </c>
      <c r="X1470" s="3" t="s">
        <v>3977</v>
      </c>
      <c r="Y1470" s="3">
        <f t="shared" si="160"/>
        <v>44507</v>
      </c>
      <c r="Z1470">
        <v>0.36309999999999998</v>
      </c>
    </row>
    <row r="1471" spans="1:26" x14ac:dyDescent="0.35">
      <c r="A1471" t="s">
        <v>1470</v>
      </c>
      <c r="B1471" t="str">
        <f t="shared" si="161"/>
        <v>OK</v>
      </c>
      <c r="C1471" t="s">
        <v>2953</v>
      </c>
      <c r="D1471" s="2">
        <v>21</v>
      </c>
      <c r="E1471">
        <f>IF(OR(D1471&lt;18, D1471&gt;100),AD1470,D1471)</f>
        <v>21</v>
      </c>
      <c r="F1471" t="s">
        <v>2990</v>
      </c>
      <c r="G1471" t="str">
        <f t="shared" si="155"/>
        <v>Male</v>
      </c>
      <c r="H1471" t="s">
        <v>3006</v>
      </c>
      <c r="I1471" t="s">
        <v>3020</v>
      </c>
      <c r="K1471" t="str">
        <f t="shared" si="156"/>
        <v>Self-Employed</v>
      </c>
      <c r="L1471">
        <v>3</v>
      </c>
      <c r="M1471">
        <v>202431</v>
      </c>
      <c r="N1471">
        <f t="shared" si="157"/>
        <v>202431</v>
      </c>
      <c r="O1471">
        <v>314025</v>
      </c>
      <c r="P1471">
        <v>19.920000000000002</v>
      </c>
      <c r="Q1471">
        <v>36</v>
      </c>
      <c r="R1471" t="s">
        <v>3048</v>
      </c>
      <c r="S1471" t="str">
        <f t="shared" si="158"/>
        <v>Home Improvement</v>
      </c>
      <c r="T1471">
        <v>529</v>
      </c>
      <c r="U1471">
        <f t="shared" si="159"/>
        <v>529</v>
      </c>
      <c r="V1471">
        <v>2</v>
      </c>
      <c r="W1471" t="s">
        <v>3055</v>
      </c>
      <c r="X1471" s="3" t="s">
        <v>3872</v>
      </c>
      <c r="Y1471" s="3">
        <f t="shared" si="160"/>
        <v>44442</v>
      </c>
      <c r="Z1471">
        <v>1.5512999999999999</v>
      </c>
    </row>
    <row r="1472" spans="1:26" x14ac:dyDescent="0.35">
      <c r="A1472" t="s">
        <v>1471</v>
      </c>
      <c r="B1472" t="str">
        <f t="shared" si="161"/>
        <v>OK</v>
      </c>
      <c r="C1472" t="s">
        <v>2954</v>
      </c>
      <c r="D1472" s="2">
        <v>59</v>
      </c>
      <c r="E1472">
        <f>IF(OR(D1472&lt;18, D1472&gt;100),AD1471,D1472)</f>
        <v>59</v>
      </c>
      <c r="F1472" t="s">
        <v>2990</v>
      </c>
      <c r="G1472" t="str">
        <f t="shared" si="155"/>
        <v>Male</v>
      </c>
      <c r="H1472" t="s">
        <v>3006</v>
      </c>
      <c r="I1472" t="s">
        <v>3020</v>
      </c>
      <c r="K1472" t="str">
        <f t="shared" si="156"/>
        <v>Self-Employed</v>
      </c>
      <c r="L1472">
        <v>19</v>
      </c>
      <c r="M1472">
        <v>1175843</v>
      </c>
      <c r="N1472">
        <f t="shared" si="157"/>
        <v>1175843</v>
      </c>
      <c r="O1472">
        <v>162980</v>
      </c>
      <c r="P1472">
        <v>26.65</v>
      </c>
      <c r="Q1472">
        <v>24</v>
      </c>
      <c r="R1472" t="s">
        <v>3049</v>
      </c>
      <c r="S1472" t="str">
        <f t="shared" si="158"/>
        <v>Business</v>
      </c>
      <c r="T1472">
        <v>592</v>
      </c>
      <c r="U1472">
        <f t="shared" si="159"/>
        <v>592</v>
      </c>
      <c r="V1472">
        <v>1</v>
      </c>
      <c r="W1472" t="s">
        <v>3055</v>
      </c>
      <c r="X1472" s="3" t="s">
        <v>3618</v>
      </c>
      <c r="Y1472" s="3">
        <f t="shared" si="160"/>
        <v>43976</v>
      </c>
      <c r="Z1472">
        <v>0.1386</v>
      </c>
    </row>
    <row r="1473" spans="1:26" x14ac:dyDescent="0.35">
      <c r="A1473" t="s">
        <v>1472</v>
      </c>
      <c r="B1473" t="str">
        <f t="shared" si="161"/>
        <v>OK</v>
      </c>
      <c r="C1473" t="s">
        <v>2955</v>
      </c>
      <c r="D1473" s="2">
        <v>25</v>
      </c>
      <c r="E1473">
        <f>IF(OR(D1473&lt;18, D1473&gt;100),AD1472,D1473)</f>
        <v>25</v>
      </c>
      <c r="F1473" t="s">
        <v>2990</v>
      </c>
      <c r="G1473" t="str">
        <f t="shared" si="155"/>
        <v>Male</v>
      </c>
      <c r="H1473" t="s">
        <v>3006</v>
      </c>
      <c r="I1473" t="s">
        <v>3021</v>
      </c>
      <c r="K1473" t="str">
        <f t="shared" si="156"/>
        <v>Unemployed</v>
      </c>
      <c r="L1473">
        <v>13</v>
      </c>
      <c r="M1473">
        <v>853218</v>
      </c>
      <c r="N1473">
        <f t="shared" si="157"/>
        <v>853218</v>
      </c>
      <c r="O1473">
        <v>423157</v>
      </c>
      <c r="P1473">
        <v>9.8000000000000007</v>
      </c>
      <c r="Q1473">
        <v>12</v>
      </c>
      <c r="R1473" t="s">
        <v>3050</v>
      </c>
      <c r="S1473" t="str">
        <f t="shared" si="158"/>
        <v>Agriculture</v>
      </c>
      <c r="T1473">
        <v>802</v>
      </c>
      <c r="U1473">
        <f t="shared" si="159"/>
        <v>802</v>
      </c>
      <c r="V1473">
        <v>7</v>
      </c>
      <c r="W1473" t="s">
        <v>3052</v>
      </c>
      <c r="X1473" s="3" t="s">
        <v>4053</v>
      </c>
      <c r="Y1473" s="3">
        <f t="shared" si="160"/>
        <v>44848</v>
      </c>
      <c r="Z1473">
        <v>0.496</v>
      </c>
    </row>
    <row r="1474" spans="1:26" x14ac:dyDescent="0.35">
      <c r="A1474" t="s">
        <v>1473</v>
      </c>
      <c r="B1474" t="str">
        <f t="shared" si="161"/>
        <v>OK</v>
      </c>
      <c r="C1474" t="s">
        <v>2956</v>
      </c>
      <c r="D1474" s="2">
        <v>54</v>
      </c>
      <c r="E1474">
        <f>IF(OR(D1474&lt;18, D1474&gt;100),AD1473,D1474)</f>
        <v>54</v>
      </c>
      <c r="F1474" t="s">
        <v>2990</v>
      </c>
      <c r="G1474" t="str">
        <f t="shared" si="155"/>
        <v>Male</v>
      </c>
      <c r="H1474" t="s">
        <v>3000</v>
      </c>
      <c r="K1474" t="str">
        <f t="shared" si="156"/>
        <v>Unknown</v>
      </c>
      <c r="L1474">
        <v>1</v>
      </c>
      <c r="M1474">
        <v>1184001</v>
      </c>
      <c r="N1474">
        <f t="shared" si="157"/>
        <v>1184001</v>
      </c>
      <c r="O1474">
        <v>45939</v>
      </c>
      <c r="P1474">
        <v>11.74</v>
      </c>
      <c r="Q1474">
        <v>48</v>
      </c>
      <c r="R1474" t="s">
        <v>3051</v>
      </c>
      <c r="S1474" t="str">
        <f t="shared" si="158"/>
        <v>Education</v>
      </c>
      <c r="T1474">
        <v>683</v>
      </c>
      <c r="U1474">
        <f t="shared" si="159"/>
        <v>683</v>
      </c>
      <c r="V1474">
        <v>7</v>
      </c>
      <c r="W1474" t="s">
        <v>3056</v>
      </c>
      <c r="X1474" s="3" t="s">
        <v>4054</v>
      </c>
      <c r="Y1474" s="3">
        <f t="shared" si="160"/>
        <v>44510</v>
      </c>
      <c r="Z1474">
        <v>3.8800000000000001E-2</v>
      </c>
    </row>
    <row r="1475" spans="1:26" x14ac:dyDescent="0.35">
      <c r="A1475" t="s">
        <v>1474</v>
      </c>
      <c r="B1475" t="str">
        <f t="shared" si="161"/>
        <v>OK</v>
      </c>
      <c r="C1475" t="s">
        <v>2957</v>
      </c>
      <c r="D1475" s="2">
        <v>28</v>
      </c>
      <c r="E1475">
        <f>IF(OR(D1475&lt;18, D1475&gt;100),AD1474,D1475)</f>
        <v>28</v>
      </c>
      <c r="F1475" t="s">
        <v>2990</v>
      </c>
      <c r="G1475" t="str">
        <f t="shared" ref="G1475:G1507" si="162">IF(F1475="", "Unknown", IF(OR(F1475="F", F1475="FEMALE", F1475="Female"), "Female", IF(OR(F1475="M", F1475="MALE", F1475="Male"), "Male", "Other")))</f>
        <v>Male</v>
      </c>
      <c r="H1475" t="s">
        <v>3000</v>
      </c>
      <c r="I1475" t="s">
        <v>3020</v>
      </c>
      <c r="K1475" t="str">
        <f t="shared" ref="K1475:K1507" si="163">IF(I1475="", "Unknown", I1475)</f>
        <v>Self-Employed</v>
      </c>
      <c r="L1475">
        <v>6</v>
      </c>
      <c r="M1475">
        <v>2226475</v>
      </c>
      <c r="N1475">
        <f t="shared" ref="N1475:N1507" si="164">IF(OR(M1475="",M1475&lt;0),$AD$3,M1475)</f>
        <v>2226475</v>
      </c>
      <c r="O1475">
        <v>199767</v>
      </c>
      <c r="P1475">
        <v>12.75</v>
      </c>
      <c r="Q1475">
        <v>60</v>
      </c>
      <c r="R1475" t="s">
        <v>3051</v>
      </c>
      <c r="S1475" t="str">
        <f t="shared" ref="S1475:S1507" si="165">IF(R1475="", "Unknown", R1475)</f>
        <v>Education</v>
      </c>
      <c r="T1475">
        <v>417</v>
      </c>
      <c r="U1475">
        <f t="shared" ref="U1475:U1507" si="166">IF(OR(T1475="",T1475&gt;999),$AD$2,T1475)</f>
        <v>417</v>
      </c>
      <c r="V1475">
        <v>6</v>
      </c>
      <c r="W1475" t="s">
        <v>3057</v>
      </c>
      <c r="X1475" s="3" t="s">
        <v>3172</v>
      </c>
      <c r="Y1475" s="3">
        <f t="shared" ref="Y1475:Y1507" si="167">IF(ISNUMBER(X1475), X1475, DATEVALUE(X1475))</f>
        <v>45132</v>
      </c>
      <c r="Z1475">
        <v>8.9700000000000002E-2</v>
      </c>
    </row>
    <row r="1476" spans="1:26" x14ac:dyDescent="0.35">
      <c r="A1476" t="s">
        <v>1475</v>
      </c>
      <c r="B1476" t="str">
        <f t="shared" si="161"/>
        <v>OK</v>
      </c>
      <c r="C1476" t="s">
        <v>2958</v>
      </c>
      <c r="D1476" s="2">
        <v>57</v>
      </c>
      <c r="E1476">
        <f>IF(OR(D1476&lt;18, D1476&gt;100),AD1475,D1476)</f>
        <v>57</v>
      </c>
      <c r="F1476" t="s">
        <v>2990</v>
      </c>
      <c r="G1476" t="str">
        <f t="shared" si="162"/>
        <v>Male</v>
      </c>
      <c r="H1476" t="s">
        <v>3003</v>
      </c>
      <c r="I1476" t="s">
        <v>3018</v>
      </c>
      <c r="K1476" t="str">
        <f t="shared" si="163"/>
        <v>Business Owner</v>
      </c>
      <c r="L1476">
        <v>2</v>
      </c>
      <c r="M1476">
        <v>338588</v>
      </c>
      <c r="N1476">
        <f t="shared" si="164"/>
        <v>338588</v>
      </c>
      <c r="O1476">
        <v>412118</v>
      </c>
      <c r="P1476">
        <v>13.97</v>
      </c>
      <c r="Q1476">
        <v>36</v>
      </c>
      <c r="R1476" t="s">
        <v>3051</v>
      </c>
      <c r="S1476" t="str">
        <f t="shared" si="165"/>
        <v>Education</v>
      </c>
      <c r="T1476">
        <v>748</v>
      </c>
      <c r="U1476">
        <f t="shared" si="166"/>
        <v>748</v>
      </c>
      <c r="V1476">
        <v>4</v>
      </c>
      <c r="W1476" t="s">
        <v>3057</v>
      </c>
      <c r="X1476" s="3" t="s">
        <v>3897</v>
      </c>
      <c r="Y1476" s="3">
        <f t="shared" si="167"/>
        <v>43942</v>
      </c>
      <c r="Z1476">
        <v>1.2172000000000001</v>
      </c>
    </row>
    <row r="1477" spans="1:26" x14ac:dyDescent="0.35">
      <c r="A1477" t="s">
        <v>1476</v>
      </c>
      <c r="B1477" t="str">
        <f t="shared" si="161"/>
        <v>OK</v>
      </c>
      <c r="C1477" t="s">
        <v>2959</v>
      </c>
      <c r="D1477" s="2">
        <v>37</v>
      </c>
      <c r="E1477">
        <f>IF(OR(D1477&lt;18, D1477&gt;100),AD1476,D1477)</f>
        <v>37</v>
      </c>
      <c r="F1477" t="s">
        <v>2990</v>
      </c>
      <c r="G1477" t="str">
        <f t="shared" si="162"/>
        <v>Male</v>
      </c>
      <c r="H1477" t="s">
        <v>3004</v>
      </c>
      <c r="I1477" t="s">
        <v>3019</v>
      </c>
      <c r="K1477" t="str">
        <f t="shared" si="163"/>
        <v>Employed</v>
      </c>
      <c r="L1477">
        <v>28</v>
      </c>
      <c r="M1477">
        <v>2053722</v>
      </c>
      <c r="N1477">
        <f t="shared" si="164"/>
        <v>2053722</v>
      </c>
      <c r="O1477">
        <v>80272</v>
      </c>
      <c r="P1477">
        <v>19.43</v>
      </c>
      <c r="Q1477">
        <v>60</v>
      </c>
      <c r="R1477" t="s">
        <v>3049</v>
      </c>
      <c r="S1477" t="str">
        <f t="shared" si="165"/>
        <v>Business</v>
      </c>
      <c r="T1477">
        <v>401</v>
      </c>
      <c r="U1477">
        <f t="shared" si="166"/>
        <v>401</v>
      </c>
      <c r="V1477">
        <v>2</v>
      </c>
      <c r="W1477" t="s">
        <v>3053</v>
      </c>
      <c r="X1477" s="3" t="s">
        <v>3785</v>
      </c>
      <c r="Y1477" s="3">
        <f t="shared" si="167"/>
        <v>44065</v>
      </c>
      <c r="Z1477">
        <v>3.9100000000000003E-2</v>
      </c>
    </row>
    <row r="1478" spans="1:26" x14ac:dyDescent="0.35">
      <c r="A1478" t="s">
        <v>1477</v>
      </c>
      <c r="B1478" t="str">
        <f t="shared" si="161"/>
        <v>OK</v>
      </c>
      <c r="C1478" t="s">
        <v>2960</v>
      </c>
      <c r="D1478" s="2">
        <v>59</v>
      </c>
      <c r="E1478">
        <f>IF(OR(D1478&lt;18, D1478&gt;100),AD1477,D1478)</f>
        <v>59</v>
      </c>
      <c r="F1478" t="s">
        <v>2990</v>
      </c>
      <c r="G1478" t="str">
        <f t="shared" si="162"/>
        <v>Male</v>
      </c>
      <c r="H1478" t="s">
        <v>3000</v>
      </c>
      <c r="I1478" t="s">
        <v>3021</v>
      </c>
      <c r="K1478" t="str">
        <f t="shared" si="163"/>
        <v>Unemployed</v>
      </c>
      <c r="L1478">
        <v>11</v>
      </c>
      <c r="M1478">
        <v>303257</v>
      </c>
      <c r="N1478">
        <f t="shared" si="164"/>
        <v>303257</v>
      </c>
      <c r="O1478">
        <v>639055</v>
      </c>
      <c r="P1478">
        <v>26.05</v>
      </c>
      <c r="Q1478">
        <v>36</v>
      </c>
      <c r="R1478" t="s">
        <v>3047</v>
      </c>
      <c r="S1478" t="str">
        <f t="shared" si="165"/>
        <v>Personal</v>
      </c>
      <c r="T1478">
        <v>363</v>
      </c>
      <c r="U1478">
        <f t="shared" si="166"/>
        <v>363</v>
      </c>
      <c r="V1478">
        <v>6</v>
      </c>
      <c r="W1478" t="s">
        <v>3052</v>
      </c>
      <c r="X1478" s="3" t="s">
        <v>3524</v>
      </c>
      <c r="Y1478" s="3">
        <f t="shared" si="167"/>
        <v>43913</v>
      </c>
      <c r="Z1478">
        <v>2.1073</v>
      </c>
    </row>
    <row r="1479" spans="1:26" x14ac:dyDescent="0.35">
      <c r="A1479" t="s">
        <v>1478</v>
      </c>
      <c r="B1479" t="str">
        <f t="shared" si="161"/>
        <v>OK</v>
      </c>
      <c r="C1479" t="s">
        <v>2961</v>
      </c>
      <c r="D1479" s="2">
        <v>58</v>
      </c>
      <c r="E1479">
        <f>IF(OR(D1479&lt;18, D1479&gt;100),AD1478,D1479)</f>
        <v>58</v>
      </c>
      <c r="F1479" t="s">
        <v>2990</v>
      </c>
      <c r="G1479" t="str">
        <f t="shared" si="162"/>
        <v>Male</v>
      </c>
      <c r="H1479" t="s">
        <v>2999</v>
      </c>
      <c r="I1479" t="s">
        <v>3019</v>
      </c>
      <c r="K1479" t="str">
        <f t="shared" si="163"/>
        <v>Employed</v>
      </c>
      <c r="L1479">
        <v>20</v>
      </c>
      <c r="M1479">
        <v>1420351</v>
      </c>
      <c r="N1479">
        <f t="shared" si="164"/>
        <v>1420351</v>
      </c>
      <c r="O1479">
        <v>546930</v>
      </c>
      <c r="P1479">
        <v>19.09</v>
      </c>
      <c r="Q1479">
        <v>36</v>
      </c>
      <c r="R1479" t="s">
        <v>3048</v>
      </c>
      <c r="S1479" t="str">
        <f t="shared" si="165"/>
        <v>Home Improvement</v>
      </c>
      <c r="T1479">
        <v>372</v>
      </c>
      <c r="U1479">
        <f t="shared" si="166"/>
        <v>372</v>
      </c>
      <c r="V1479">
        <v>0</v>
      </c>
      <c r="W1479" t="s">
        <v>3056</v>
      </c>
      <c r="X1479" s="3" t="s">
        <v>3096</v>
      </c>
      <c r="Y1479" s="3">
        <f t="shared" si="167"/>
        <v>45202</v>
      </c>
      <c r="Z1479">
        <v>0.3851</v>
      </c>
    </row>
    <row r="1480" spans="1:26" x14ac:dyDescent="0.35">
      <c r="A1480" t="s">
        <v>1479</v>
      </c>
      <c r="B1480" t="str">
        <f t="shared" si="161"/>
        <v>OK</v>
      </c>
      <c r="C1480" t="s">
        <v>2962</v>
      </c>
      <c r="D1480" s="2">
        <v>58</v>
      </c>
      <c r="E1480">
        <f>IF(OR(D1480&lt;18, D1480&gt;100),AD1479,D1480)</f>
        <v>58</v>
      </c>
      <c r="F1480" t="s">
        <v>2990</v>
      </c>
      <c r="G1480" t="str">
        <f t="shared" si="162"/>
        <v>Male</v>
      </c>
      <c r="H1480" t="s">
        <v>3007</v>
      </c>
      <c r="I1480" t="s">
        <v>3019</v>
      </c>
      <c r="K1480" t="str">
        <f t="shared" si="163"/>
        <v>Employed</v>
      </c>
      <c r="L1480">
        <v>23</v>
      </c>
      <c r="M1480">
        <v>1497630</v>
      </c>
      <c r="N1480">
        <f t="shared" si="164"/>
        <v>1497630</v>
      </c>
      <c r="O1480">
        <v>281445</v>
      </c>
      <c r="P1480">
        <v>15.66</v>
      </c>
      <c r="Q1480">
        <v>48</v>
      </c>
      <c r="R1480" t="s">
        <v>3050</v>
      </c>
      <c r="S1480" t="str">
        <f t="shared" si="165"/>
        <v>Agriculture</v>
      </c>
      <c r="T1480">
        <v>529</v>
      </c>
      <c r="U1480">
        <f t="shared" si="166"/>
        <v>529</v>
      </c>
      <c r="V1480">
        <v>3</v>
      </c>
      <c r="W1480" t="s">
        <v>3056</v>
      </c>
      <c r="X1480" s="3" t="s">
        <v>4040</v>
      </c>
      <c r="Y1480" s="3">
        <f t="shared" si="167"/>
        <v>43894</v>
      </c>
      <c r="Z1480">
        <v>0.18790000000000001</v>
      </c>
    </row>
    <row r="1481" spans="1:26" x14ac:dyDescent="0.35">
      <c r="A1481" t="s">
        <v>1480</v>
      </c>
      <c r="B1481" t="str">
        <f t="shared" si="161"/>
        <v>OK</v>
      </c>
      <c r="C1481" t="s">
        <v>2963</v>
      </c>
      <c r="D1481" s="2">
        <v>27</v>
      </c>
      <c r="E1481">
        <f>IF(OR(D1481&lt;18, D1481&gt;100),AD1480,D1481)</f>
        <v>27</v>
      </c>
      <c r="F1481" t="s">
        <v>2990</v>
      </c>
      <c r="G1481" t="str">
        <f t="shared" si="162"/>
        <v>Male</v>
      </c>
      <c r="H1481" t="s">
        <v>3006</v>
      </c>
      <c r="I1481" t="s">
        <v>3019</v>
      </c>
      <c r="K1481" t="str">
        <f t="shared" si="163"/>
        <v>Employed</v>
      </c>
      <c r="L1481">
        <v>12</v>
      </c>
      <c r="M1481">
        <v>1606445</v>
      </c>
      <c r="N1481">
        <f t="shared" si="164"/>
        <v>1606445</v>
      </c>
      <c r="O1481">
        <v>392397</v>
      </c>
      <c r="P1481" t="s">
        <v>3045</v>
      </c>
      <c r="Q1481">
        <v>36</v>
      </c>
      <c r="R1481" t="s">
        <v>3046</v>
      </c>
      <c r="S1481" t="str">
        <f t="shared" si="165"/>
        <v>Medical</v>
      </c>
      <c r="T1481">
        <v>578</v>
      </c>
      <c r="U1481">
        <f t="shared" si="166"/>
        <v>578</v>
      </c>
      <c r="V1481">
        <v>6</v>
      </c>
      <c r="W1481" t="s">
        <v>3053</v>
      </c>
      <c r="X1481" s="3" t="s">
        <v>3294</v>
      </c>
      <c r="Y1481" s="3">
        <f t="shared" si="167"/>
        <v>44843</v>
      </c>
      <c r="Z1481">
        <v>0.24429999999999999</v>
      </c>
    </row>
    <row r="1482" spans="1:26" x14ac:dyDescent="0.35">
      <c r="A1482" t="s">
        <v>1481</v>
      </c>
      <c r="B1482" t="str">
        <f t="shared" si="161"/>
        <v>OK</v>
      </c>
      <c r="C1482" t="s">
        <v>2964</v>
      </c>
      <c r="D1482" s="2">
        <v>22</v>
      </c>
      <c r="E1482">
        <f>IF(OR(D1482&lt;18, D1482&gt;100),AD1481,D1482)</f>
        <v>22</v>
      </c>
      <c r="F1482" t="s">
        <v>2992</v>
      </c>
      <c r="G1482" t="str">
        <f t="shared" si="162"/>
        <v>Female</v>
      </c>
      <c r="H1482" t="s">
        <v>3001</v>
      </c>
      <c r="I1482" t="s">
        <v>3021</v>
      </c>
      <c r="K1482" t="str">
        <f t="shared" si="163"/>
        <v>Unemployed</v>
      </c>
      <c r="L1482">
        <v>20</v>
      </c>
      <c r="M1482">
        <v>650452</v>
      </c>
      <c r="N1482">
        <f t="shared" si="164"/>
        <v>650452</v>
      </c>
      <c r="O1482">
        <v>633369</v>
      </c>
      <c r="P1482">
        <v>23.21</v>
      </c>
      <c r="Q1482">
        <v>24</v>
      </c>
      <c r="R1482" t="s">
        <v>3048</v>
      </c>
      <c r="S1482" t="str">
        <f t="shared" si="165"/>
        <v>Home Improvement</v>
      </c>
      <c r="T1482">
        <v>412</v>
      </c>
      <c r="U1482">
        <f t="shared" si="166"/>
        <v>412</v>
      </c>
      <c r="V1482">
        <v>1</v>
      </c>
      <c r="W1482" t="s">
        <v>3057</v>
      </c>
      <c r="X1482" s="3" t="s">
        <v>4055</v>
      </c>
      <c r="Y1482" s="3">
        <f t="shared" si="167"/>
        <v>44372</v>
      </c>
      <c r="Z1482">
        <v>0.97370000000000001</v>
      </c>
    </row>
    <row r="1483" spans="1:26" x14ac:dyDescent="0.35">
      <c r="A1483" t="s">
        <v>1482</v>
      </c>
      <c r="B1483" t="str">
        <f t="shared" si="161"/>
        <v>OK</v>
      </c>
      <c r="C1483" t="s">
        <v>2965</v>
      </c>
      <c r="D1483" s="2">
        <v>30</v>
      </c>
      <c r="E1483">
        <f>IF(OR(D1483&lt;18, D1483&gt;100),AD1482,D1483)</f>
        <v>30</v>
      </c>
      <c r="G1483" t="str">
        <f t="shared" si="162"/>
        <v>Unknown</v>
      </c>
      <c r="H1483" t="s">
        <v>3001</v>
      </c>
      <c r="I1483" t="s">
        <v>3019</v>
      </c>
      <c r="K1483" t="str">
        <f t="shared" si="163"/>
        <v>Employed</v>
      </c>
      <c r="L1483">
        <v>24</v>
      </c>
      <c r="M1483">
        <v>1413741</v>
      </c>
      <c r="N1483">
        <f t="shared" si="164"/>
        <v>1413741</v>
      </c>
      <c r="O1483">
        <v>515916</v>
      </c>
      <c r="P1483">
        <v>11.7</v>
      </c>
      <c r="Q1483">
        <v>36</v>
      </c>
      <c r="R1483" t="s">
        <v>3050</v>
      </c>
      <c r="S1483" t="str">
        <f t="shared" si="165"/>
        <v>Agriculture</v>
      </c>
      <c r="T1483">
        <v>609</v>
      </c>
      <c r="U1483">
        <f t="shared" si="166"/>
        <v>609</v>
      </c>
      <c r="V1483">
        <v>1</v>
      </c>
      <c r="W1483" t="s">
        <v>3052</v>
      </c>
      <c r="X1483" s="3" t="s">
        <v>4056</v>
      </c>
      <c r="Y1483" s="3">
        <f t="shared" si="167"/>
        <v>44166</v>
      </c>
      <c r="Z1483">
        <v>0.3649</v>
      </c>
    </row>
    <row r="1484" spans="1:26" x14ac:dyDescent="0.35">
      <c r="A1484" t="s">
        <v>1483</v>
      </c>
      <c r="B1484" t="str">
        <f t="shared" si="161"/>
        <v>OK</v>
      </c>
      <c r="C1484" t="s">
        <v>2966</v>
      </c>
      <c r="D1484" s="2">
        <v>24</v>
      </c>
      <c r="E1484">
        <f>IF(OR(D1484&lt;18, D1484&gt;100),AD1483,D1484)</f>
        <v>24</v>
      </c>
      <c r="F1484" t="s">
        <v>2990</v>
      </c>
      <c r="G1484" t="str">
        <f t="shared" si="162"/>
        <v>Male</v>
      </c>
      <c r="H1484" t="s">
        <v>3000</v>
      </c>
      <c r="I1484" t="s">
        <v>3019</v>
      </c>
      <c r="K1484" t="str">
        <f t="shared" si="163"/>
        <v>Employed</v>
      </c>
      <c r="L1484">
        <v>18</v>
      </c>
      <c r="M1484">
        <v>325788</v>
      </c>
      <c r="N1484">
        <f t="shared" si="164"/>
        <v>325788</v>
      </c>
      <c r="O1484">
        <v>316063</v>
      </c>
      <c r="P1484">
        <v>21.87</v>
      </c>
      <c r="Q1484">
        <v>36</v>
      </c>
      <c r="R1484" t="s">
        <v>3051</v>
      </c>
      <c r="S1484" t="str">
        <f t="shared" si="165"/>
        <v>Education</v>
      </c>
      <c r="T1484">
        <v>352</v>
      </c>
      <c r="U1484">
        <f t="shared" si="166"/>
        <v>352</v>
      </c>
      <c r="V1484">
        <v>4</v>
      </c>
      <c r="W1484" t="s">
        <v>3057</v>
      </c>
      <c r="X1484" s="3" t="s">
        <v>3997</v>
      </c>
      <c r="Y1484" s="3">
        <f t="shared" si="167"/>
        <v>43925</v>
      </c>
      <c r="Z1484">
        <v>0.97009999999999996</v>
      </c>
    </row>
    <row r="1485" spans="1:26" x14ac:dyDescent="0.35">
      <c r="A1485" t="s">
        <v>1484</v>
      </c>
      <c r="B1485" t="str">
        <f t="shared" si="161"/>
        <v>OK</v>
      </c>
      <c r="C1485" t="s">
        <v>2967</v>
      </c>
      <c r="D1485" s="2">
        <v>47</v>
      </c>
      <c r="E1485">
        <f>IF(OR(D1485&lt;18, D1485&gt;100),AD1484,D1485)</f>
        <v>47</v>
      </c>
      <c r="F1485" t="s">
        <v>2990</v>
      </c>
      <c r="G1485" t="str">
        <f t="shared" si="162"/>
        <v>Male</v>
      </c>
      <c r="H1485" t="s">
        <v>3002</v>
      </c>
      <c r="I1485" t="s">
        <v>3019</v>
      </c>
      <c r="K1485" t="str">
        <f t="shared" si="163"/>
        <v>Employed</v>
      </c>
      <c r="L1485">
        <v>27</v>
      </c>
      <c r="M1485">
        <v>1365574</v>
      </c>
      <c r="N1485">
        <f t="shared" si="164"/>
        <v>1365574</v>
      </c>
      <c r="O1485">
        <v>239128</v>
      </c>
      <c r="P1485">
        <v>27.79</v>
      </c>
      <c r="Q1485">
        <v>48</v>
      </c>
      <c r="R1485" t="s">
        <v>3046</v>
      </c>
      <c r="S1485" t="str">
        <f t="shared" si="165"/>
        <v>Medical</v>
      </c>
      <c r="T1485">
        <v>663</v>
      </c>
      <c r="U1485">
        <f t="shared" si="166"/>
        <v>663</v>
      </c>
      <c r="V1485">
        <v>1</v>
      </c>
      <c r="W1485" t="s">
        <v>3057</v>
      </c>
      <c r="X1485" s="3" t="s">
        <v>4057</v>
      </c>
      <c r="Y1485" s="3">
        <f t="shared" si="167"/>
        <v>44899</v>
      </c>
      <c r="Z1485">
        <v>0.17510000000000001</v>
      </c>
    </row>
    <row r="1486" spans="1:26" x14ac:dyDescent="0.35">
      <c r="A1486" t="s">
        <v>1485</v>
      </c>
      <c r="B1486" t="str">
        <f t="shared" si="161"/>
        <v>OK</v>
      </c>
      <c r="C1486" t="s">
        <v>2968</v>
      </c>
      <c r="D1486" s="2">
        <v>31</v>
      </c>
      <c r="E1486">
        <f>IF(OR(D1486&lt;18, D1486&gt;100),AD1485,D1486)</f>
        <v>31</v>
      </c>
      <c r="F1486" t="s">
        <v>2992</v>
      </c>
      <c r="G1486" t="str">
        <f t="shared" si="162"/>
        <v>Female</v>
      </c>
      <c r="H1486" t="s">
        <v>3001</v>
      </c>
      <c r="I1486" t="s">
        <v>3019</v>
      </c>
      <c r="K1486" t="str">
        <f t="shared" si="163"/>
        <v>Employed</v>
      </c>
      <c r="L1486">
        <v>0</v>
      </c>
      <c r="M1486">
        <v>474746</v>
      </c>
      <c r="N1486">
        <f t="shared" si="164"/>
        <v>474746</v>
      </c>
      <c r="O1486">
        <v>787669</v>
      </c>
      <c r="P1486">
        <v>13.41</v>
      </c>
      <c r="Q1486">
        <v>36</v>
      </c>
      <c r="R1486" t="s">
        <v>3048</v>
      </c>
      <c r="S1486" t="str">
        <f t="shared" si="165"/>
        <v>Home Improvement</v>
      </c>
      <c r="T1486">
        <v>355</v>
      </c>
      <c r="U1486">
        <f t="shared" si="166"/>
        <v>355</v>
      </c>
      <c r="V1486">
        <v>6</v>
      </c>
      <c r="W1486" t="s">
        <v>3055</v>
      </c>
      <c r="X1486" s="3" t="s">
        <v>3380</v>
      </c>
      <c r="Y1486" s="3">
        <f t="shared" si="167"/>
        <v>44942</v>
      </c>
      <c r="Z1486">
        <v>1.6591</v>
      </c>
    </row>
    <row r="1487" spans="1:26" x14ac:dyDescent="0.35">
      <c r="A1487" t="s">
        <v>1486</v>
      </c>
      <c r="B1487" t="str">
        <f t="shared" si="161"/>
        <v>OK</v>
      </c>
      <c r="C1487" t="s">
        <v>2969</v>
      </c>
      <c r="D1487" s="2">
        <v>45</v>
      </c>
      <c r="E1487">
        <f>IF(OR(D1487&lt;18, D1487&gt;100),AD1486,D1487)</f>
        <v>45</v>
      </c>
      <c r="F1487" t="s">
        <v>2992</v>
      </c>
      <c r="G1487" t="str">
        <f t="shared" si="162"/>
        <v>Female</v>
      </c>
      <c r="H1487" t="s">
        <v>3001</v>
      </c>
      <c r="I1487" t="s">
        <v>3019</v>
      </c>
      <c r="K1487" t="str">
        <f t="shared" si="163"/>
        <v>Employed</v>
      </c>
      <c r="L1487">
        <v>21</v>
      </c>
      <c r="M1487">
        <v>2345160</v>
      </c>
      <c r="N1487">
        <f t="shared" si="164"/>
        <v>2345160</v>
      </c>
      <c r="O1487">
        <v>171538</v>
      </c>
      <c r="P1487">
        <v>18.96</v>
      </c>
      <c r="Q1487">
        <v>48</v>
      </c>
      <c r="R1487" t="s">
        <v>3046</v>
      </c>
      <c r="S1487" t="str">
        <f t="shared" si="165"/>
        <v>Medical</v>
      </c>
      <c r="T1487">
        <v>740</v>
      </c>
      <c r="U1487">
        <f t="shared" si="166"/>
        <v>740</v>
      </c>
      <c r="V1487">
        <v>0</v>
      </c>
      <c r="W1487" t="s">
        <v>3054</v>
      </c>
      <c r="X1487" s="3" t="s">
        <v>4058</v>
      </c>
      <c r="Y1487" s="3">
        <f t="shared" si="167"/>
        <v>44053</v>
      </c>
      <c r="Z1487">
        <v>7.3099999999999998E-2</v>
      </c>
    </row>
    <row r="1488" spans="1:26" x14ac:dyDescent="0.35">
      <c r="A1488" t="s">
        <v>1487</v>
      </c>
      <c r="B1488" t="str">
        <f t="shared" si="161"/>
        <v>OK</v>
      </c>
      <c r="C1488" t="s">
        <v>2970</v>
      </c>
      <c r="D1488" s="2">
        <v>46</v>
      </c>
      <c r="E1488">
        <f>IF(OR(D1488&lt;18, D1488&gt;100),AD1487,D1488)</f>
        <v>46</v>
      </c>
      <c r="F1488" t="s">
        <v>2990</v>
      </c>
      <c r="G1488" t="str">
        <f t="shared" si="162"/>
        <v>Male</v>
      </c>
      <c r="H1488" t="s">
        <v>2998</v>
      </c>
      <c r="I1488" t="s">
        <v>3020</v>
      </c>
      <c r="K1488" t="str">
        <f t="shared" si="163"/>
        <v>Self-Employed</v>
      </c>
      <c r="L1488">
        <v>16</v>
      </c>
      <c r="M1488">
        <v>1741588</v>
      </c>
      <c r="N1488">
        <f t="shared" si="164"/>
        <v>1741588</v>
      </c>
      <c r="O1488">
        <v>293820</v>
      </c>
      <c r="P1488">
        <v>14.26</v>
      </c>
      <c r="Q1488">
        <v>12</v>
      </c>
      <c r="R1488" t="s">
        <v>3048</v>
      </c>
      <c r="S1488" t="str">
        <f t="shared" si="165"/>
        <v>Home Improvement</v>
      </c>
      <c r="T1488">
        <v>605</v>
      </c>
      <c r="U1488">
        <f t="shared" si="166"/>
        <v>605</v>
      </c>
      <c r="V1488">
        <v>4</v>
      </c>
      <c r="W1488" t="s">
        <v>3055</v>
      </c>
      <c r="X1488" s="3" t="s">
        <v>3268</v>
      </c>
      <c r="Y1488" s="3">
        <f t="shared" si="167"/>
        <v>44189</v>
      </c>
      <c r="Z1488">
        <v>0.16869999999999999</v>
      </c>
    </row>
    <row r="1489" spans="1:26" x14ac:dyDescent="0.35">
      <c r="A1489" t="s">
        <v>1488</v>
      </c>
      <c r="B1489" t="str">
        <f t="shared" si="161"/>
        <v>OK</v>
      </c>
      <c r="C1489" t="s">
        <v>2971</v>
      </c>
      <c r="D1489" s="2">
        <v>24</v>
      </c>
      <c r="E1489">
        <f>IF(OR(D1489&lt;18, D1489&gt;100),AD1488,D1489)</f>
        <v>24</v>
      </c>
      <c r="F1489" t="s">
        <v>2992</v>
      </c>
      <c r="G1489" t="str">
        <f t="shared" si="162"/>
        <v>Female</v>
      </c>
      <c r="H1489" t="s">
        <v>3005</v>
      </c>
      <c r="I1489" t="s">
        <v>3019</v>
      </c>
      <c r="K1489" t="str">
        <f t="shared" si="163"/>
        <v>Employed</v>
      </c>
      <c r="L1489">
        <v>2</v>
      </c>
      <c r="M1489">
        <v>1287229</v>
      </c>
      <c r="N1489">
        <f t="shared" si="164"/>
        <v>1287229</v>
      </c>
      <c r="O1489">
        <v>796372</v>
      </c>
      <c r="P1489">
        <v>20.05</v>
      </c>
      <c r="Q1489">
        <v>12</v>
      </c>
      <c r="R1489" t="s">
        <v>3046</v>
      </c>
      <c r="S1489" t="str">
        <f t="shared" si="165"/>
        <v>Medical</v>
      </c>
      <c r="T1489">
        <v>470</v>
      </c>
      <c r="U1489">
        <f t="shared" si="166"/>
        <v>470</v>
      </c>
      <c r="V1489">
        <v>3</v>
      </c>
      <c r="W1489" t="s">
        <v>3056</v>
      </c>
      <c r="X1489" s="3" t="s">
        <v>4059</v>
      </c>
      <c r="Y1489" s="3">
        <f t="shared" si="167"/>
        <v>44255</v>
      </c>
      <c r="Z1489">
        <v>0.61870000000000003</v>
      </c>
    </row>
    <row r="1490" spans="1:26" x14ac:dyDescent="0.35">
      <c r="A1490" t="s">
        <v>1489</v>
      </c>
      <c r="B1490" t="str">
        <f t="shared" si="161"/>
        <v>OK</v>
      </c>
      <c r="C1490" t="s">
        <v>2972</v>
      </c>
      <c r="D1490" s="2">
        <v>46</v>
      </c>
      <c r="E1490">
        <f>IF(OR(D1490&lt;18, D1490&gt;100),AD1489,D1490)</f>
        <v>46</v>
      </c>
      <c r="F1490" t="s">
        <v>2992</v>
      </c>
      <c r="G1490" t="str">
        <f t="shared" si="162"/>
        <v>Female</v>
      </c>
      <c r="H1490" t="s">
        <v>3005</v>
      </c>
      <c r="I1490" t="s">
        <v>3019</v>
      </c>
      <c r="K1490" t="str">
        <f t="shared" si="163"/>
        <v>Employed</v>
      </c>
      <c r="L1490">
        <v>12</v>
      </c>
      <c r="M1490">
        <v>384366</v>
      </c>
      <c r="N1490">
        <f t="shared" si="164"/>
        <v>384366</v>
      </c>
      <c r="O1490">
        <v>536612</v>
      </c>
      <c r="P1490">
        <v>27.39</v>
      </c>
      <c r="Q1490">
        <v>48</v>
      </c>
      <c r="R1490" t="s">
        <v>3049</v>
      </c>
      <c r="S1490" t="str">
        <f t="shared" si="165"/>
        <v>Business</v>
      </c>
      <c r="T1490">
        <v>763</v>
      </c>
      <c r="U1490">
        <f t="shared" si="166"/>
        <v>763</v>
      </c>
      <c r="V1490">
        <v>1</v>
      </c>
      <c r="W1490" t="s">
        <v>3056</v>
      </c>
      <c r="X1490" s="3" t="s">
        <v>4060</v>
      </c>
      <c r="Y1490" s="3">
        <f t="shared" si="167"/>
        <v>44518</v>
      </c>
      <c r="Z1490">
        <v>1.3960999999999999</v>
      </c>
    </row>
    <row r="1491" spans="1:26" x14ac:dyDescent="0.35">
      <c r="A1491" t="s">
        <v>1490</v>
      </c>
      <c r="B1491" t="str">
        <f t="shared" si="161"/>
        <v>OK</v>
      </c>
      <c r="C1491" t="s">
        <v>2973</v>
      </c>
      <c r="D1491" s="2">
        <v>23</v>
      </c>
      <c r="E1491">
        <f>IF(OR(D1491&lt;18, D1491&gt;100),AD1490,D1491)</f>
        <v>23</v>
      </c>
      <c r="F1491" t="s">
        <v>2992</v>
      </c>
      <c r="G1491" t="str">
        <f t="shared" si="162"/>
        <v>Female</v>
      </c>
      <c r="H1491" t="s">
        <v>3001</v>
      </c>
      <c r="I1491" t="s">
        <v>3019</v>
      </c>
      <c r="K1491" t="str">
        <f t="shared" si="163"/>
        <v>Employed</v>
      </c>
      <c r="L1491">
        <v>11</v>
      </c>
      <c r="M1491">
        <v>1870696</v>
      </c>
      <c r="N1491">
        <f t="shared" si="164"/>
        <v>1870696</v>
      </c>
      <c r="O1491">
        <v>457940</v>
      </c>
      <c r="P1491">
        <v>27.61</v>
      </c>
      <c r="Q1491">
        <v>48</v>
      </c>
      <c r="R1491" t="s">
        <v>3047</v>
      </c>
      <c r="S1491" t="str">
        <f t="shared" si="165"/>
        <v>Personal</v>
      </c>
      <c r="T1491">
        <v>630</v>
      </c>
      <c r="U1491">
        <f t="shared" si="166"/>
        <v>630</v>
      </c>
      <c r="V1491">
        <v>2</v>
      </c>
      <c r="W1491" t="s">
        <v>3053</v>
      </c>
      <c r="X1491" s="3" t="s">
        <v>3504</v>
      </c>
      <c r="Y1491" s="3">
        <f t="shared" si="167"/>
        <v>44006</v>
      </c>
      <c r="Z1491">
        <v>0.24479999999999999</v>
      </c>
    </row>
    <row r="1492" spans="1:26" x14ac:dyDescent="0.35">
      <c r="A1492" t="s">
        <v>1491</v>
      </c>
      <c r="B1492" t="str">
        <f t="shared" si="161"/>
        <v>OK</v>
      </c>
      <c r="C1492" t="s">
        <v>2974</v>
      </c>
      <c r="D1492" s="2">
        <v>29</v>
      </c>
      <c r="E1492">
        <f>IF(OR(D1492&lt;18, D1492&gt;100),AD1491,D1492)</f>
        <v>29</v>
      </c>
      <c r="F1492" t="s">
        <v>2990</v>
      </c>
      <c r="G1492" t="str">
        <f t="shared" si="162"/>
        <v>Male</v>
      </c>
      <c r="H1492" t="s">
        <v>3003</v>
      </c>
      <c r="I1492" t="s">
        <v>3018</v>
      </c>
      <c r="K1492" t="str">
        <f t="shared" si="163"/>
        <v>Business Owner</v>
      </c>
      <c r="L1492">
        <v>5</v>
      </c>
      <c r="M1492">
        <v>888140</v>
      </c>
      <c r="N1492">
        <f t="shared" si="164"/>
        <v>888140</v>
      </c>
      <c r="O1492">
        <v>277438</v>
      </c>
      <c r="P1492">
        <v>15.55</v>
      </c>
      <c r="Q1492">
        <v>12</v>
      </c>
      <c r="R1492" t="s">
        <v>3047</v>
      </c>
      <c r="S1492" t="str">
        <f t="shared" si="165"/>
        <v>Personal</v>
      </c>
      <c r="T1492">
        <v>576</v>
      </c>
      <c r="U1492">
        <f t="shared" si="166"/>
        <v>576</v>
      </c>
      <c r="V1492">
        <v>6</v>
      </c>
      <c r="W1492" t="s">
        <v>3054</v>
      </c>
      <c r="X1492" s="3" t="s">
        <v>3585</v>
      </c>
      <c r="Y1492" s="3">
        <f t="shared" si="167"/>
        <v>44331</v>
      </c>
      <c r="Z1492">
        <v>0.31240000000000001</v>
      </c>
    </row>
    <row r="1493" spans="1:26" x14ac:dyDescent="0.35">
      <c r="A1493" t="s">
        <v>1492</v>
      </c>
      <c r="B1493" t="str">
        <f t="shared" si="161"/>
        <v>OK</v>
      </c>
      <c r="C1493" t="s">
        <v>2975</v>
      </c>
      <c r="D1493" s="2">
        <v>48</v>
      </c>
      <c r="E1493">
        <f>IF(OR(D1493&lt;18, D1493&gt;100),AD1492,D1493)</f>
        <v>48</v>
      </c>
      <c r="F1493" t="s">
        <v>2990</v>
      </c>
      <c r="G1493" t="str">
        <f t="shared" si="162"/>
        <v>Male</v>
      </c>
      <c r="H1493" t="s">
        <v>3003</v>
      </c>
      <c r="I1493" t="s">
        <v>3018</v>
      </c>
      <c r="K1493" t="str">
        <f t="shared" si="163"/>
        <v>Business Owner</v>
      </c>
      <c r="L1493">
        <v>9</v>
      </c>
      <c r="M1493">
        <v>1571538</v>
      </c>
      <c r="N1493">
        <f t="shared" si="164"/>
        <v>1571538</v>
      </c>
      <c r="O1493">
        <v>543406</v>
      </c>
      <c r="P1493">
        <v>8.65</v>
      </c>
      <c r="Q1493">
        <v>60</v>
      </c>
      <c r="R1493" t="s">
        <v>3049</v>
      </c>
      <c r="S1493" t="str">
        <f t="shared" si="165"/>
        <v>Business</v>
      </c>
      <c r="T1493">
        <v>508</v>
      </c>
      <c r="U1493">
        <f t="shared" si="166"/>
        <v>508</v>
      </c>
      <c r="V1493">
        <v>3</v>
      </c>
      <c r="W1493" t="s">
        <v>3053</v>
      </c>
      <c r="X1493" s="3" t="s">
        <v>3312</v>
      </c>
      <c r="Y1493" s="3">
        <f t="shared" si="167"/>
        <v>44825</v>
      </c>
      <c r="Z1493">
        <v>0.3458</v>
      </c>
    </row>
    <row r="1494" spans="1:26" x14ac:dyDescent="0.35">
      <c r="A1494" t="s">
        <v>1493</v>
      </c>
      <c r="B1494" t="str">
        <f t="shared" si="161"/>
        <v>OK</v>
      </c>
      <c r="C1494" t="s">
        <v>2976</v>
      </c>
      <c r="D1494" s="2">
        <v>51</v>
      </c>
      <c r="E1494">
        <f>IF(OR(D1494&lt;18, D1494&gt;100),AD1493,D1494)</f>
        <v>51</v>
      </c>
      <c r="F1494" t="s">
        <v>2990</v>
      </c>
      <c r="G1494" t="str">
        <f t="shared" si="162"/>
        <v>Male</v>
      </c>
      <c r="H1494" t="s">
        <v>3005</v>
      </c>
      <c r="I1494" t="s">
        <v>3018</v>
      </c>
      <c r="K1494" t="str">
        <f t="shared" si="163"/>
        <v>Business Owner</v>
      </c>
      <c r="L1494">
        <v>25</v>
      </c>
      <c r="N1494">
        <f t="shared" si="164"/>
        <v>1333224</v>
      </c>
      <c r="O1494">
        <v>525633</v>
      </c>
      <c r="P1494">
        <v>19.010000000000002</v>
      </c>
      <c r="Q1494">
        <v>36</v>
      </c>
      <c r="S1494" t="str">
        <f t="shared" si="165"/>
        <v>Unknown</v>
      </c>
      <c r="T1494">
        <v>422</v>
      </c>
      <c r="U1494">
        <f t="shared" si="166"/>
        <v>422</v>
      </c>
      <c r="V1494">
        <v>0</v>
      </c>
      <c r="W1494" t="s">
        <v>3052</v>
      </c>
      <c r="X1494" s="3" t="s">
        <v>4061</v>
      </c>
      <c r="Y1494" s="3">
        <f t="shared" si="167"/>
        <v>44117</v>
      </c>
      <c r="Z1494">
        <v>0.67190000000000005</v>
      </c>
    </row>
    <row r="1495" spans="1:26" x14ac:dyDescent="0.35">
      <c r="A1495" t="s">
        <v>1494</v>
      </c>
      <c r="B1495" t="str">
        <f t="shared" si="161"/>
        <v>OK</v>
      </c>
      <c r="C1495" t="s">
        <v>2977</v>
      </c>
      <c r="D1495" s="2">
        <v>22</v>
      </c>
      <c r="E1495">
        <f>IF(OR(D1495&lt;18, D1495&gt;100),AD1494,D1495)</f>
        <v>22</v>
      </c>
      <c r="F1495" t="s">
        <v>2992</v>
      </c>
      <c r="G1495" t="str">
        <f t="shared" si="162"/>
        <v>Female</v>
      </c>
      <c r="H1495" t="s">
        <v>3006</v>
      </c>
      <c r="I1495" t="s">
        <v>3021</v>
      </c>
      <c r="K1495" t="str">
        <f t="shared" si="163"/>
        <v>Unemployed</v>
      </c>
      <c r="L1495">
        <v>17</v>
      </c>
      <c r="M1495">
        <v>780530</v>
      </c>
      <c r="N1495">
        <f t="shared" si="164"/>
        <v>780530</v>
      </c>
      <c r="O1495">
        <v>563296</v>
      </c>
      <c r="P1495">
        <v>14.81</v>
      </c>
      <c r="Q1495">
        <v>60</v>
      </c>
      <c r="R1495" t="s">
        <v>3049</v>
      </c>
      <c r="S1495" t="str">
        <f t="shared" si="165"/>
        <v>Business</v>
      </c>
      <c r="T1495">
        <v>668</v>
      </c>
      <c r="U1495">
        <f t="shared" si="166"/>
        <v>668</v>
      </c>
      <c r="V1495">
        <v>2</v>
      </c>
      <c r="W1495" t="s">
        <v>3054</v>
      </c>
      <c r="X1495" s="3" t="s">
        <v>4062</v>
      </c>
      <c r="Y1495" s="3">
        <f t="shared" si="167"/>
        <v>45013</v>
      </c>
      <c r="Z1495">
        <v>0.72170000000000001</v>
      </c>
    </row>
    <row r="1496" spans="1:26" x14ac:dyDescent="0.35">
      <c r="A1496" t="s">
        <v>1495</v>
      </c>
      <c r="B1496" t="str">
        <f t="shared" si="161"/>
        <v>OK</v>
      </c>
      <c r="C1496" t="s">
        <v>2978</v>
      </c>
      <c r="D1496" s="2">
        <v>42</v>
      </c>
      <c r="E1496">
        <f>IF(OR(D1496&lt;18, D1496&gt;100),AD1495,D1496)</f>
        <v>42</v>
      </c>
      <c r="F1496" t="s">
        <v>2992</v>
      </c>
      <c r="G1496" t="str">
        <f t="shared" si="162"/>
        <v>Female</v>
      </c>
      <c r="H1496" t="s">
        <v>2999</v>
      </c>
      <c r="I1496" t="s">
        <v>3021</v>
      </c>
      <c r="K1496" t="str">
        <f t="shared" si="163"/>
        <v>Unemployed</v>
      </c>
      <c r="L1496">
        <v>5</v>
      </c>
      <c r="M1496">
        <v>371420</v>
      </c>
      <c r="N1496">
        <f t="shared" si="164"/>
        <v>371420</v>
      </c>
      <c r="O1496">
        <v>347350</v>
      </c>
      <c r="P1496">
        <v>15.05</v>
      </c>
      <c r="Q1496">
        <v>36</v>
      </c>
      <c r="R1496" t="s">
        <v>3048</v>
      </c>
      <c r="S1496" t="str">
        <f t="shared" si="165"/>
        <v>Home Improvement</v>
      </c>
      <c r="T1496">
        <v>421</v>
      </c>
      <c r="U1496">
        <f t="shared" si="166"/>
        <v>421</v>
      </c>
      <c r="V1496">
        <v>1</v>
      </c>
      <c r="W1496" t="s">
        <v>3054</v>
      </c>
      <c r="X1496" s="3" t="s">
        <v>4063</v>
      </c>
      <c r="Y1496" s="3">
        <f t="shared" si="167"/>
        <v>44179</v>
      </c>
      <c r="Z1496">
        <v>0.93520000000000003</v>
      </c>
    </row>
    <row r="1497" spans="1:26" x14ac:dyDescent="0.35">
      <c r="A1497" t="s">
        <v>1496</v>
      </c>
      <c r="B1497" t="str">
        <f t="shared" si="161"/>
        <v>OK</v>
      </c>
      <c r="C1497" t="s">
        <v>2979</v>
      </c>
      <c r="D1497" s="2">
        <v>28</v>
      </c>
      <c r="E1497">
        <f>IF(OR(D1497&lt;18, D1497&gt;100),AD1496,D1497)</f>
        <v>28</v>
      </c>
      <c r="F1497" t="s">
        <v>2990</v>
      </c>
      <c r="G1497" t="str">
        <f t="shared" si="162"/>
        <v>Male</v>
      </c>
      <c r="H1497" t="s">
        <v>3004</v>
      </c>
      <c r="I1497" t="s">
        <v>3020</v>
      </c>
      <c r="K1497" t="str">
        <f t="shared" si="163"/>
        <v>Self-Employed</v>
      </c>
      <c r="L1497">
        <v>20</v>
      </c>
      <c r="M1497">
        <v>1448300</v>
      </c>
      <c r="N1497">
        <f t="shared" si="164"/>
        <v>1448300</v>
      </c>
      <c r="O1497">
        <v>336275</v>
      </c>
      <c r="P1497">
        <v>22.66</v>
      </c>
      <c r="Q1497">
        <v>12</v>
      </c>
      <c r="R1497" t="s">
        <v>3047</v>
      </c>
      <c r="S1497" t="str">
        <f t="shared" si="165"/>
        <v>Personal</v>
      </c>
      <c r="T1497">
        <v>385</v>
      </c>
      <c r="U1497">
        <f t="shared" si="166"/>
        <v>385</v>
      </c>
      <c r="V1497">
        <v>2</v>
      </c>
      <c r="W1497" t="s">
        <v>3056</v>
      </c>
      <c r="X1497" s="3" t="s">
        <v>3637</v>
      </c>
      <c r="Y1497" s="3">
        <f t="shared" si="167"/>
        <v>44161</v>
      </c>
      <c r="Z1497">
        <v>0.23219999999999999</v>
      </c>
    </row>
    <row r="1498" spans="1:26" x14ac:dyDescent="0.35">
      <c r="A1498" t="s">
        <v>1497</v>
      </c>
      <c r="B1498" t="str">
        <f t="shared" si="161"/>
        <v>OK</v>
      </c>
      <c r="C1498" t="s">
        <v>2980</v>
      </c>
      <c r="D1498" s="2">
        <v>43</v>
      </c>
      <c r="E1498">
        <f>IF(OR(D1498&lt;18, D1498&gt;100),AD1497,D1498)</f>
        <v>43</v>
      </c>
      <c r="F1498" t="s">
        <v>2997</v>
      </c>
      <c r="G1498" t="str">
        <f t="shared" si="162"/>
        <v>Male</v>
      </c>
      <c r="H1498" t="s">
        <v>3000</v>
      </c>
      <c r="I1498" t="s">
        <v>3018</v>
      </c>
      <c r="K1498" t="str">
        <f t="shared" si="163"/>
        <v>Business Owner</v>
      </c>
      <c r="L1498">
        <v>15</v>
      </c>
      <c r="M1498">
        <v>1174170</v>
      </c>
      <c r="N1498">
        <f t="shared" si="164"/>
        <v>1174170</v>
      </c>
      <c r="O1498">
        <v>302844</v>
      </c>
      <c r="P1498">
        <v>14.61</v>
      </c>
      <c r="Q1498">
        <v>24</v>
      </c>
      <c r="S1498" t="str">
        <f t="shared" si="165"/>
        <v>Unknown</v>
      </c>
      <c r="T1498">
        <v>325</v>
      </c>
      <c r="U1498">
        <f t="shared" si="166"/>
        <v>325</v>
      </c>
      <c r="V1498">
        <v>0</v>
      </c>
      <c r="W1498" t="s">
        <v>3055</v>
      </c>
      <c r="X1498" s="3" t="s">
        <v>3779</v>
      </c>
      <c r="Y1498" s="3">
        <f t="shared" si="167"/>
        <v>44261</v>
      </c>
      <c r="Z1498">
        <v>0.25790000000000002</v>
      </c>
    </row>
    <row r="1499" spans="1:26" x14ac:dyDescent="0.35">
      <c r="A1499" t="s">
        <v>1498</v>
      </c>
      <c r="B1499" t="str">
        <f t="shared" si="161"/>
        <v>OK</v>
      </c>
      <c r="C1499" t="s">
        <v>2981</v>
      </c>
      <c r="D1499" s="2">
        <v>37</v>
      </c>
      <c r="E1499">
        <f>IF(OR(D1499&lt;18, D1499&gt;100),AD1498,D1499)</f>
        <v>37</v>
      </c>
      <c r="F1499" t="s">
        <v>2990</v>
      </c>
      <c r="G1499" t="str">
        <f t="shared" si="162"/>
        <v>Male</v>
      </c>
      <c r="H1499" t="s">
        <v>3002</v>
      </c>
      <c r="I1499" t="s">
        <v>3018</v>
      </c>
      <c r="K1499" t="str">
        <f t="shared" si="163"/>
        <v>Business Owner</v>
      </c>
      <c r="L1499">
        <v>5</v>
      </c>
      <c r="M1499">
        <v>343038</v>
      </c>
      <c r="N1499">
        <f t="shared" si="164"/>
        <v>343038</v>
      </c>
      <c r="O1499">
        <v>799128</v>
      </c>
      <c r="P1499">
        <v>24.55</v>
      </c>
      <c r="Q1499">
        <v>60</v>
      </c>
      <c r="R1499" t="s">
        <v>3050</v>
      </c>
      <c r="S1499" t="str">
        <f t="shared" si="165"/>
        <v>Agriculture</v>
      </c>
      <c r="T1499">
        <v>538</v>
      </c>
      <c r="U1499">
        <f t="shared" si="166"/>
        <v>538</v>
      </c>
      <c r="V1499">
        <v>1</v>
      </c>
      <c r="W1499" t="s">
        <v>3053</v>
      </c>
      <c r="X1499" s="3" t="s">
        <v>3432</v>
      </c>
      <c r="Y1499" s="3">
        <f t="shared" si="167"/>
        <v>44431</v>
      </c>
      <c r="Z1499">
        <v>2.3296000000000001</v>
      </c>
    </row>
    <row r="1500" spans="1:26" x14ac:dyDescent="0.35">
      <c r="A1500" t="s">
        <v>1499</v>
      </c>
      <c r="B1500" t="str">
        <f t="shared" si="161"/>
        <v>OK</v>
      </c>
      <c r="C1500" t="s">
        <v>2982</v>
      </c>
      <c r="D1500" s="2">
        <v>27</v>
      </c>
      <c r="E1500">
        <f>IF(OR(D1500&lt;18, D1500&gt;100),AD1499,D1500)</f>
        <v>27</v>
      </c>
      <c r="F1500" t="s">
        <v>2990</v>
      </c>
      <c r="G1500" t="str">
        <f t="shared" si="162"/>
        <v>Male</v>
      </c>
      <c r="H1500" t="s">
        <v>2999</v>
      </c>
      <c r="I1500" t="s">
        <v>3018</v>
      </c>
      <c r="K1500" t="str">
        <f t="shared" si="163"/>
        <v>Business Owner</v>
      </c>
      <c r="L1500">
        <v>28</v>
      </c>
      <c r="M1500">
        <v>650529</v>
      </c>
      <c r="N1500">
        <f t="shared" si="164"/>
        <v>650529</v>
      </c>
      <c r="O1500">
        <v>624056</v>
      </c>
      <c r="P1500">
        <v>20.86</v>
      </c>
      <c r="Q1500">
        <v>48</v>
      </c>
      <c r="R1500" t="s">
        <v>3049</v>
      </c>
      <c r="S1500" t="str">
        <f t="shared" si="165"/>
        <v>Business</v>
      </c>
      <c r="T1500">
        <v>419</v>
      </c>
      <c r="U1500">
        <f t="shared" si="166"/>
        <v>419</v>
      </c>
      <c r="V1500">
        <v>6</v>
      </c>
      <c r="W1500" t="s">
        <v>3053</v>
      </c>
      <c r="X1500" s="3" t="s">
        <v>3345</v>
      </c>
      <c r="Y1500" s="3">
        <f t="shared" si="167"/>
        <v>44766</v>
      </c>
      <c r="Z1500">
        <v>0.95930000000000004</v>
      </c>
    </row>
    <row r="1501" spans="1:26" x14ac:dyDescent="0.35">
      <c r="A1501" t="s">
        <v>1500</v>
      </c>
      <c r="B1501" t="str">
        <f t="shared" si="161"/>
        <v>OK</v>
      </c>
      <c r="C1501" t="s">
        <v>2983</v>
      </c>
      <c r="D1501" s="2">
        <v>62</v>
      </c>
      <c r="E1501">
        <f>IF(OR(D1501&lt;18, D1501&gt;100),AD1500,D1501)</f>
        <v>62</v>
      </c>
      <c r="F1501" t="s">
        <v>2990</v>
      </c>
      <c r="G1501" t="str">
        <f t="shared" si="162"/>
        <v>Male</v>
      </c>
      <c r="H1501" t="s">
        <v>3001</v>
      </c>
      <c r="I1501" t="s">
        <v>3018</v>
      </c>
      <c r="K1501" t="str">
        <f t="shared" si="163"/>
        <v>Business Owner</v>
      </c>
      <c r="L1501">
        <v>8</v>
      </c>
      <c r="M1501">
        <v>1069497</v>
      </c>
      <c r="N1501">
        <f t="shared" si="164"/>
        <v>1069497</v>
      </c>
      <c r="O1501">
        <v>75863</v>
      </c>
      <c r="P1501">
        <v>23.54</v>
      </c>
      <c r="Q1501">
        <v>12</v>
      </c>
      <c r="R1501" t="s">
        <v>3046</v>
      </c>
      <c r="S1501" t="str">
        <f t="shared" si="165"/>
        <v>Medical</v>
      </c>
      <c r="T1501">
        <v>724</v>
      </c>
      <c r="U1501">
        <f t="shared" si="166"/>
        <v>724</v>
      </c>
      <c r="V1501">
        <v>7</v>
      </c>
      <c r="W1501" t="s">
        <v>3052</v>
      </c>
      <c r="X1501" s="3" t="s">
        <v>4007</v>
      </c>
      <c r="Y1501" s="3">
        <f t="shared" si="167"/>
        <v>44833</v>
      </c>
      <c r="Z1501">
        <v>7.0900000000000005E-2</v>
      </c>
    </row>
    <row r="1502" spans="1:26" x14ac:dyDescent="0.35">
      <c r="A1502" t="s">
        <v>1501</v>
      </c>
      <c r="B1502" t="str">
        <f t="shared" si="161"/>
        <v>OK</v>
      </c>
      <c r="C1502" t="s">
        <v>2984</v>
      </c>
      <c r="D1502" s="2">
        <v>57</v>
      </c>
      <c r="E1502">
        <f>IF(OR(D1502&lt;18, D1502&gt;100),AD1501,D1502)</f>
        <v>57</v>
      </c>
      <c r="F1502" t="s">
        <v>2992</v>
      </c>
      <c r="G1502" t="str">
        <f t="shared" si="162"/>
        <v>Female</v>
      </c>
      <c r="H1502" t="s">
        <v>3000</v>
      </c>
      <c r="I1502" t="s">
        <v>3019</v>
      </c>
      <c r="K1502" t="str">
        <f t="shared" si="163"/>
        <v>Employed</v>
      </c>
      <c r="L1502">
        <v>17</v>
      </c>
      <c r="M1502">
        <v>1508263</v>
      </c>
      <c r="N1502">
        <f t="shared" si="164"/>
        <v>1508263</v>
      </c>
      <c r="O1502">
        <v>43386</v>
      </c>
      <c r="P1502">
        <v>25.76</v>
      </c>
      <c r="Q1502">
        <v>24</v>
      </c>
      <c r="R1502" t="s">
        <v>3048</v>
      </c>
      <c r="S1502" t="str">
        <f t="shared" si="165"/>
        <v>Home Improvement</v>
      </c>
      <c r="T1502">
        <v>485</v>
      </c>
      <c r="U1502">
        <f t="shared" si="166"/>
        <v>485</v>
      </c>
      <c r="V1502">
        <v>1</v>
      </c>
      <c r="W1502" t="s">
        <v>3056</v>
      </c>
      <c r="X1502" s="3" t="s">
        <v>4064</v>
      </c>
      <c r="Y1502" s="3">
        <f t="shared" si="167"/>
        <v>44719</v>
      </c>
      <c r="Z1502">
        <v>2.8799999999999999E-2</v>
      </c>
    </row>
    <row r="1503" spans="1:26" x14ac:dyDescent="0.35">
      <c r="A1503" t="s">
        <v>1502</v>
      </c>
      <c r="B1503" t="str">
        <f t="shared" si="161"/>
        <v>OK</v>
      </c>
      <c r="C1503" t="s">
        <v>2985</v>
      </c>
      <c r="D1503" s="2">
        <v>60</v>
      </c>
      <c r="E1503">
        <f>IF(OR(D1503&lt;18, D1503&gt;100),AD1502,D1503)</f>
        <v>60</v>
      </c>
      <c r="F1503" t="s">
        <v>2990</v>
      </c>
      <c r="G1503" t="str">
        <f t="shared" si="162"/>
        <v>Male</v>
      </c>
      <c r="H1503" t="s">
        <v>3003</v>
      </c>
      <c r="I1503" t="s">
        <v>3018</v>
      </c>
      <c r="K1503" t="str">
        <f t="shared" si="163"/>
        <v>Business Owner</v>
      </c>
      <c r="L1503">
        <v>27</v>
      </c>
      <c r="M1503">
        <v>780517</v>
      </c>
      <c r="N1503">
        <f t="shared" si="164"/>
        <v>780517</v>
      </c>
      <c r="O1503">
        <v>129162</v>
      </c>
      <c r="P1503">
        <v>27.52</v>
      </c>
      <c r="Q1503">
        <v>12</v>
      </c>
      <c r="R1503" t="s">
        <v>3050</v>
      </c>
      <c r="S1503" t="str">
        <f t="shared" si="165"/>
        <v>Agriculture</v>
      </c>
      <c r="T1503">
        <v>733</v>
      </c>
      <c r="U1503">
        <f t="shared" si="166"/>
        <v>733</v>
      </c>
      <c r="V1503">
        <v>2</v>
      </c>
      <c r="W1503" t="s">
        <v>3057</v>
      </c>
      <c r="X1503" s="3" t="s">
        <v>3250</v>
      </c>
      <c r="Y1503" s="3">
        <f t="shared" si="167"/>
        <v>45111</v>
      </c>
      <c r="Z1503">
        <v>0.16550000000000001</v>
      </c>
    </row>
    <row r="1504" spans="1:26" x14ac:dyDescent="0.35">
      <c r="A1504" t="s">
        <v>1503</v>
      </c>
      <c r="B1504" t="str">
        <f t="shared" si="161"/>
        <v>OK</v>
      </c>
      <c r="C1504" t="s">
        <v>2986</v>
      </c>
      <c r="D1504" s="2">
        <v>24</v>
      </c>
      <c r="E1504">
        <f>IF(OR(D1504&lt;18, D1504&gt;100),AD1503,D1504)</f>
        <v>24</v>
      </c>
      <c r="F1504" t="s">
        <v>2992</v>
      </c>
      <c r="G1504" t="str">
        <f t="shared" si="162"/>
        <v>Female</v>
      </c>
      <c r="H1504" t="s">
        <v>3002</v>
      </c>
      <c r="I1504" t="s">
        <v>3020</v>
      </c>
      <c r="K1504" t="str">
        <f t="shared" si="163"/>
        <v>Self-Employed</v>
      </c>
      <c r="L1504">
        <v>23</v>
      </c>
      <c r="M1504">
        <v>268668</v>
      </c>
      <c r="N1504">
        <f t="shared" si="164"/>
        <v>268668</v>
      </c>
      <c r="O1504">
        <v>484462</v>
      </c>
      <c r="P1504">
        <v>14.6</v>
      </c>
      <c r="Q1504">
        <v>24</v>
      </c>
      <c r="R1504" t="s">
        <v>3049</v>
      </c>
      <c r="S1504" t="str">
        <f t="shared" si="165"/>
        <v>Business</v>
      </c>
      <c r="T1504">
        <v>773</v>
      </c>
      <c r="U1504">
        <f t="shared" si="166"/>
        <v>773</v>
      </c>
      <c r="V1504">
        <v>3</v>
      </c>
      <c r="W1504" t="s">
        <v>3056</v>
      </c>
      <c r="X1504" s="3" t="s">
        <v>4065</v>
      </c>
      <c r="Y1504" s="3">
        <f t="shared" si="167"/>
        <v>44670</v>
      </c>
      <c r="Z1504">
        <v>1.8031999999999999</v>
      </c>
    </row>
    <row r="1505" spans="1:26" x14ac:dyDescent="0.35">
      <c r="A1505" t="s">
        <v>1504</v>
      </c>
      <c r="B1505" t="str">
        <f t="shared" si="161"/>
        <v>OK</v>
      </c>
      <c r="C1505" t="s">
        <v>2987</v>
      </c>
      <c r="D1505" s="2">
        <v>22</v>
      </c>
      <c r="E1505">
        <f>IF(OR(D1505&lt;18, D1505&gt;100),AD1504,D1505)</f>
        <v>22</v>
      </c>
      <c r="F1505" t="s">
        <v>2990</v>
      </c>
      <c r="G1505" t="str">
        <f t="shared" si="162"/>
        <v>Male</v>
      </c>
      <c r="H1505" t="s">
        <v>2999</v>
      </c>
      <c r="I1505" t="s">
        <v>3021</v>
      </c>
      <c r="K1505" t="str">
        <f t="shared" si="163"/>
        <v>Unemployed</v>
      </c>
      <c r="L1505">
        <v>25</v>
      </c>
      <c r="M1505">
        <v>1793447</v>
      </c>
      <c r="N1505">
        <f t="shared" si="164"/>
        <v>1793447</v>
      </c>
      <c r="O1505">
        <v>641825</v>
      </c>
      <c r="P1505">
        <v>9.56</v>
      </c>
      <c r="Q1505">
        <v>60</v>
      </c>
      <c r="R1505" t="s">
        <v>3047</v>
      </c>
      <c r="S1505" t="str">
        <f t="shared" si="165"/>
        <v>Personal</v>
      </c>
      <c r="T1505">
        <v>599</v>
      </c>
      <c r="U1505">
        <f t="shared" si="166"/>
        <v>599</v>
      </c>
      <c r="V1505">
        <v>3</v>
      </c>
      <c r="W1505" t="s">
        <v>3053</v>
      </c>
      <c r="X1505" s="3" t="s">
        <v>3109</v>
      </c>
      <c r="Y1505" s="3">
        <f t="shared" si="167"/>
        <v>45114</v>
      </c>
      <c r="Z1505">
        <v>0.3579</v>
      </c>
    </row>
    <row r="1506" spans="1:26" x14ac:dyDescent="0.35">
      <c r="A1506" t="s">
        <v>1505</v>
      </c>
      <c r="B1506" t="str">
        <f t="shared" si="161"/>
        <v>OK</v>
      </c>
      <c r="C1506" t="s">
        <v>2988</v>
      </c>
      <c r="D1506" s="2">
        <v>46</v>
      </c>
      <c r="E1506">
        <f>IF(OR(D1506&lt;18, D1506&gt;100),AD1505,D1506)</f>
        <v>46</v>
      </c>
      <c r="F1506" t="s">
        <v>2990</v>
      </c>
      <c r="G1506" t="str">
        <f t="shared" si="162"/>
        <v>Male</v>
      </c>
      <c r="H1506" t="s">
        <v>3006</v>
      </c>
      <c r="I1506" t="s">
        <v>3019</v>
      </c>
      <c r="K1506" t="str">
        <f t="shared" si="163"/>
        <v>Employed</v>
      </c>
      <c r="L1506">
        <v>16</v>
      </c>
      <c r="M1506">
        <v>1390578</v>
      </c>
      <c r="N1506">
        <f t="shared" si="164"/>
        <v>1390578</v>
      </c>
      <c r="O1506">
        <v>677941</v>
      </c>
      <c r="P1506">
        <v>24.73</v>
      </c>
      <c r="Q1506">
        <v>36</v>
      </c>
      <c r="R1506" t="s">
        <v>3049</v>
      </c>
      <c r="S1506" t="str">
        <f t="shared" si="165"/>
        <v>Business</v>
      </c>
      <c r="U1506">
        <f t="shared" si="166"/>
        <v>556</v>
      </c>
      <c r="V1506">
        <v>4</v>
      </c>
      <c r="W1506" t="s">
        <v>3053</v>
      </c>
      <c r="X1506" s="3" t="s">
        <v>4066</v>
      </c>
      <c r="Y1506" s="3">
        <f t="shared" si="167"/>
        <v>44513</v>
      </c>
      <c r="Z1506">
        <v>0.48749999999999999</v>
      </c>
    </row>
    <row r="1507" spans="1:26" x14ac:dyDescent="0.35">
      <c r="A1507" t="s">
        <v>1506</v>
      </c>
      <c r="B1507" t="str">
        <f t="shared" si="161"/>
        <v>OK</v>
      </c>
      <c r="C1507" t="s">
        <v>2989</v>
      </c>
      <c r="D1507" s="2">
        <v>30</v>
      </c>
      <c r="E1507">
        <f>IF(OR(D1507&lt;18, D1507&gt;100),AD1506,D1507)</f>
        <v>30</v>
      </c>
      <c r="F1507" t="s">
        <v>2992</v>
      </c>
      <c r="G1507" t="str">
        <f t="shared" si="162"/>
        <v>Female</v>
      </c>
      <c r="H1507" t="s">
        <v>3000</v>
      </c>
      <c r="I1507" t="s">
        <v>3021</v>
      </c>
      <c r="K1507" t="str">
        <f t="shared" si="163"/>
        <v>Unemployed</v>
      </c>
      <c r="L1507">
        <v>8</v>
      </c>
      <c r="N1507">
        <f t="shared" si="164"/>
        <v>1333224</v>
      </c>
      <c r="O1507">
        <v>650752</v>
      </c>
      <c r="P1507">
        <v>22.04</v>
      </c>
      <c r="Q1507">
        <v>60</v>
      </c>
      <c r="R1507" t="s">
        <v>3048</v>
      </c>
      <c r="S1507" t="str">
        <f t="shared" si="165"/>
        <v>Home Improvement</v>
      </c>
      <c r="T1507">
        <v>455</v>
      </c>
      <c r="U1507">
        <f t="shared" si="166"/>
        <v>455</v>
      </c>
      <c r="V1507">
        <v>5</v>
      </c>
      <c r="W1507" t="s">
        <v>3054</v>
      </c>
      <c r="X1507" s="3" t="s">
        <v>4067</v>
      </c>
      <c r="Y1507" s="3">
        <f t="shared" si="167"/>
        <v>44398</v>
      </c>
      <c r="Z1507">
        <v>0.9718</v>
      </c>
    </row>
  </sheetData>
  <autoFilter ref="A1:Z1507" xr:uid="{C6981394-9403-49D1-86A9-8F04656CDB9F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5073-9DFA-401A-80FE-C941DDF16658}">
  <dimension ref="A1:D13"/>
  <sheetViews>
    <sheetView workbookViewId="0">
      <selection activeCell="C4" sqref="C4"/>
    </sheetView>
  </sheetViews>
  <sheetFormatPr defaultRowHeight="14.5" x14ac:dyDescent="0.35"/>
  <cols>
    <col min="1" max="1" width="26.6328125" customWidth="1"/>
    <col min="2" max="2" width="26" customWidth="1"/>
    <col min="3" max="3" width="42.1796875" customWidth="1"/>
    <col min="4" max="4" width="34.81640625" customWidth="1"/>
  </cols>
  <sheetData>
    <row r="1" spans="1:4" ht="21" x14ac:dyDescent="0.5">
      <c r="A1" s="1" t="s">
        <v>4068</v>
      </c>
      <c r="B1" s="1" t="s">
        <v>4072</v>
      </c>
      <c r="C1" s="1" t="s">
        <v>4073</v>
      </c>
      <c r="D1" s="1" t="s">
        <v>4074</v>
      </c>
    </row>
    <row r="2" spans="1:4" x14ac:dyDescent="0.35">
      <c r="A2" t="s">
        <v>4069</v>
      </c>
      <c r="B2">
        <f>COUNTBLANK(Loan_Data!A2:A1517)</f>
        <v>10</v>
      </c>
      <c r="C2" t="s">
        <v>4087</v>
      </c>
      <c r="D2" t="s">
        <v>4088</v>
      </c>
    </row>
    <row r="3" spans="1:4" x14ac:dyDescent="0.35">
      <c r="A3" t="s">
        <v>4070</v>
      </c>
      <c r="B3">
        <f>COUNTIFS(Loan_Data!C2:C1517, "&lt;18") + COUNTIFS(Loan_Data!C2:C1517, "&gt;100")</f>
        <v>10</v>
      </c>
      <c r="C3" t="s">
        <v>4092</v>
      </c>
      <c r="D3" t="s">
        <v>4093</v>
      </c>
    </row>
    <row r="4" spans="1:4" x14ac:dyDescent="0.35">
      <c r="A4" t="s">
        <v>4071</v>
      </c>
      <c r="B4">
        <f>COUNTIF(Loan_Data!H2:H1517, "&lt;0")</f>
        <v>14</v>
      </c>
      <c r="C4" t="s">
        <v>4112</v>
      </c>
      <c r="D4" t="s">
        <v>4095</v>
      </c>
    </row>
    <row r="5" spans="1:4" x14ac:dyDescent="0.35">
      <c r="A5" t="s">
        <v>4075</v>
      </c>
      <c r="B5" t="s">
        <v>4077</v>
      </c>
      <c r="C5" t="s">
        <v>4097</v>
      </c>
      <c r="D5" t="s">
        <v>4098</v>
      </c>
    </row>
    <row r="6" spans="1:4" x14ac:dyDescent="0.35">
      <c r="A6" t="s">
        <v>4076</v>
      </c>
      <c r="B6">
        <f>COUNTBLANK(Loan_Data!D2:D1517)</f>
        <v>38</v>
      </c>
      <c r="C6" t="s">
        <v>4099</v>
      </c>
    </row>
    <row r="7" spans="1:4" x14ac:dyDescent="0.35">
      <c r="A7" t="s">
        <v>4078</v>
      </c>
      <c r="B7">
        <f>COUNTBLANK(Loan_Data!F2:F1517)</f>
        <v>31</v>
      </c>
      <c r="C7" t="s">
        <v>4104</v>
      </c>
      <c r="D7" t="s">
        <v>4105</v>
      </c>
    </row>
    <row r="8" spans="1:4" x14ac:dyDescent="0.35">
      <c r="A8" t="s">
        <v>4079</v>
      </c>
      <c r="B8">
        <f>COUNTBLANK(Loan_Data!H2:H1517)</f>
        <v>49</v>
      </c>
      <c r="C8" t="s">
        <v>4109</v>
      </c>
    </row>
    <row r="9" spans="1:4" x14ac:dyDescent="0.35">
      <c r="A9" t="s">
        <v>4080</v>
      </c>
      <c r="B9">
        <f>COUNTBLANK(Loan_Data!L2:L1517)</f>
        <v>58</v>
      </c>
      <c r="C9" t="s">
        <v>4110</v>
      </c>
    </row>
    <row r="10" spans="1:4" x14ac:dyDescent="0.35">
      <c r="A10" t="s">
        <v>4081</v>
      </c>
      <c r="B10">
        <f>COUNTBLANK(Loan_Data!M2:M1517)</f>
        <v>55</v>
      </c>
      <c r="C10" t="s">
        <v>4111</v>
      </c>
    </row>
    <row r="11" spans="1:4" x14ac:dyDescent="0.35">
      <c r="A11" t="s">
        <v>4082</v>
      </c>
      <c r="B11" t="s">
        <v>4083</v>
      </c>
      <c r="C11" t="s">
        <v>4101</v>
      </c>
      <c r="D11" t="s">
        <v>4102</v>
      </c>
    </row>
    <row r="12" spans="1:4" x14ac:dyDescent="0.35">
      <c r="B12" t="s">
        <v>4084</v>
      </c>
    </row>
    <row r="13" spans="1:4" x14ac:dyDescent="0.35">
      <c r="B13" t="s">
        <v>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Loan_Data</vt:lpstr>
      <vt:lpstr>Cleaned_Loan_Data</vt:lpstr>
      <vt:lpstr>Data_Quality_Doc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Lilian Cheuno</cp:lastModifiedBy>
  <dcterms:created xsi:type="dcterms:W3CDTF">2026-04-27T06:26:09Z</dcterms:created>
  <dcterms:modified xsi:type="dcterms:W3CDTF">2026-05-13T17:18:21Z</dcterms:modified>
</cp:coreProperties>
</file>